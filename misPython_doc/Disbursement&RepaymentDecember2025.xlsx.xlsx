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dil\Documents\Disbursement &amp; Repayment (MIS)\Disbursement Repayment 2025\12. December 2025\"/>
    </mc:Choice>
  </mc:AlternateContent>
  <xr:revisionPtr revIDLastSave="0" documentId="13_ncr:1_{4ABC3B47-584F-4452-96FF-83CFC487E8C9}" xr6:coauthVersionLast="47" xr6:coauthVersionMax="47" xr10:uidLastSave="{00000000-0000-0000-0000-000000000000}"/>
  <bookViews>
    <workbookView xWindow="-108" yWindow="-108" windowWidth="23256" windowHeight="12456" xr2:uid="{A38C5640-0046-4A25-9554-8729005E2D24}"/>
  </bookViews>
  <sheets>
    <sheet name="Disbursement Islamic" sheetId="3" r:id="rId1"/>
    <sheet name="Repayment Islamic" sheetId="4" r:id="rId2"/>
    <sheet name="Disbursement Conventional" sheetId="2" r:id="rId3"/>
    <sheet name="Repayment Conventional" sheetId="1" r:id="rId4"/>
    <sheet name="Sheet4" sheetId="5" r:id="rId5"/>
  </sheets>
  <definedNames>
    <definedName name="_xlnm._FilterDatabase" localSheetId="0" hidden="1">'Disbursement Islamic'!$A$2:$Q$1142</definedName>
    <definedName name="_xlnm._FilterDatabase" localSheetId="3" hidden="1">'Repayment Conventional'!$A$2:$Q$57</definedName>
    <definedName name="_xlnm._FilterDatabase" localSheetId="1" hidden="1">'Repayment Islamic'!$A$2:$Q$1859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9" i="3" l="1"/>
  <c r="K767" i="3"/>
  <c r="B9" i="5"/>
  <c r="B6" i="5"/>
  <c r="B5" i="5"/>
  <c r="B11" i="5" s="1"/>
  <c r="N130" i="4"/>
  <c r="N132" i="4" s="1"/>
  <c r="K130" i="4"/>
  <c r="K132" i="4" s="1"/>
  <c r="B12" i="5" l="1"/>
  <c r="B13" i="5" s="1"/>
</calcChain>
</file>

<file path=xl/sharedStrings.xml><?xml version="1.0" encoding="utf-8"?>
<sst xmlns="http://schemas.openxmlformats.org/spreadsheetml/2006/main" count="8452" uniqueCount="853">
  <si>
    <t xml:space="preserve"> Customer</t>
  </si>
  <si>
    <t xml:space="preserve"> Company Code</t>
  </si>
  <si>
    <t>EXIM</t>
  </si>
  <si>
    <t xml:space="preserve"> Name</t>
  </si>
  <si>
    <t>Istanbul Sabiha Gocken Uluslararasi</t>
  </si>
  <si>
    <t xml:space="preserve"> City</t>
  </si>
  <si>
    <t>St</t>
  </si>
  <si>
    <t>Assignment</t>
  </si>
  <si>
    <t>DocumentNo</t>
  </si>
  <si>
    <t>Doc. Date</t>
  </si>
  <si>
    <t>S</t>
  </si>
  <si>
    <t>Pstng Date</t>
  </si>
  <si>
    <t>DD</t>
  </si>
  <si>
    <t xml:space="preserve">   Amt in loc.cur.</t>
  </si>
  <si>
    <t>LCurr</t>
  </si>
  <si>
    <t>Clrng doc.</t>
  </si>
  <si>
    <t xml:space="preserve">      Amount in DC</t>
  </si>
  <si>
    <t>Curr.</t>
  </si>
  <si>
    <t>Text</t>
  </si>
  <si>
    <t xml:space="preserve"> Eff.ex.rate</t>
  </si>
  <si>
    <t>Repayment</t>
  </si>
  <si>
    <t>08.12.2025</t>
  </si>
  <si>
    <t>MYR</t>
  </si>
  <si>
    <t>EUR</t>
  </si>
  <si>
    <t>Istanbul Sabiha - Principal Repayment</t>
  </si>
  <si>
    <t>*</t>
  </si>
  <si>
    <t>**</t>
  </si>
  <si>
    <t>Account 500749</t>
  </si>
  <si>
    <t>OM Materials (Sarawak) Sdn Bhd</t>
  </si>
  <si>
    <t>OPF 3</t>
  </si>
  <si>
    <t>26.12.2025</t>
  </si>
  <si>
    <t>USD</t>
  </si>
  <si>
    <t>OM Materials - Principal Repayment</t>
  </si>
  <si>
    <t>Account 501230</t>
  </si>
  <si>
    <t>Vantris Energy Berhad</t>
  </si>
  <si>
    <t>OIF3</t>
  </si>
  <si>
    <t>24.12.2025</t>
  </si>
  <si>
    <t>Vantris OIF-3 - Principal Repayment</t>
  </si>
  <si>
    <t>Account 501296</t>
  </si>
  <si>
    <t>***</t>
  </si>
  <si>
    <t>EXIB</t>
  </si>
  <si>
    <t>Whitex Garments Sdn Bhd</t>
  </si>
  <si>
    <t>SFi - 1</t>
  </si>
  <si>
    <t>Disburseme</t>
  </si>
  <si>
    <t>02.12.2025</t>
  </si>
  <si>
    <t>WHITEX 0715 - Disbursement Dec'25</t>
  </si>
  <si>
    <t>10.12.2025</t>
  </si>
  <si>
    <t>WHITEX 0716 - Disbursement Dec'25</t>
  </si>
  <si>
    <t>12.12.2025</t>
  </si>
  <si>
    <t>WHITEX 0717 - Disbursement Dec'25</t>
  </si>
  <si>
    <t>17.12.2025</t>
  </si>
  <si>
    <t>WHITEX 0718 - Disbursement Dec'25</t>
  </si>
  <si>
    <t>Account 500605</t>
  </si>
  <si>
    <t>Mewaholeo Industries Sdn Bhd</t>
  </si>
  <si>
    <t>05.12.2025</t>
  </si>
  <si>
    <t>MEWAHO 0965 - Disbursement Dec'25</t>
  </si>
  <si>
    <t>MEWAHO 0966 - Disbursement Dec'25</t>
  </si>
  <si>
    <t>09.12.2025</t>
  </si>
  <si>
    <t>MEWAHO 0967 - Disbursement Dec'25</t>
  </si>
  <si>
    <t>16.12.2025</t>
  </si>
  <si>
    <t>MEWAHO 0968 - Disbursement Dec'25</t>
  </si>
  <si>
    <t>18.12.2025</t>
  </si>
  <si>
    <t>MEWAHO 0969 - Disbursement Dec'25</t>
  </si>
  <si>
    <t>MEWAHO 0970 - Disbursement Dec'25</t>
  </si>
  <si>
    <t>30.12.2025</t>
  </si>
  <si>
    <t>MEWAHO 0971 - Disbursement Dec'25</t>
  </si>
  <si>
    <t>31.12.2025</t>
  </si>
  <si>
    <t>MAS2 0024 - Disbursement Dec'25</t>
  </si>
  <si>
    <t>Account 500783</t>
  </si>
  <si>
    <t>Felda Global Ventures Capital</t>
  </si>
  <si>
    <t>SF-i</t>
  </si>
  <si>
    <t>FGV 0346 - Disbursement Dec'25</t>
  </si>
  <si>
    <t>FGV 0347 - Disbursement Dec'25</t>
  </si>
  <si>
    <t>FGV 0348 - Disbursement Dec'25</t>
  </si>
  <si>
    <t>FGV 0349 - Disbursement Dec'25</t>
  </si>
  <si>
    <t>FGV 0350 - Disbursement Dec'25</t>
  </si>
  <si>
    <t>FGV 0351 - Disbursement Dec'25</t>
  </si>
  <si>
    <t>29.12.2025</t>
  </si>
  <si>
    <t>FGV 0352 - Disbursement Dec'25</t>
  </si>
  <si>
    <t>FGV 0353 - Disbursement Dec'25</t>
  </si>
  <si>
    <t>Account 500784</t>
  </si>
  <si>
    <t>Mewah-Oils Sdn Bhd</t>
  </si>
  <si>
    <t>MEWOIL 0830 - Disbursement Dec'25</t>
  </si>
  <si>
    <t>MEWOIL 0831 - Disbursement Dec'25</t>
  </si>
  <si>
    <t>MEWOIL 0832 - Disbursement Dec'25</t>
  </si>
  <si>
    <t>15.12.2025</t>
  </si>
  <si>
    <t>MEWOIL 0833 - Disbursement Dec'25</t>
  </si>
  <si>
    <t>MEWOIL 0834 - Disbursement Dec'25</t>
  </si>
  <si>
    <t>19.12.2025</t>
  </si>
  <si>
    <t>MEWOIL 0835 - Disbursement Dec'25</t>
  </si>
  <si>
    <t>23.12.2025</t>
  </si>
  <si>
    <t>MEWOIL 0836 - Disbursement Dec'25</t>
  </si>
  <si>
    <t>MEWOIL 0837 - Disbursement Dec'25</t>
  </si>
  <si>
    <t>MEWOIL 0838 - Disbursement Dec'25</t>
  </si>
  <si>
    <t>MEWOIL 0839 - Disbursement Dec'25</t>
  </si>
  <si>
    <t>MEWOIL 0840 - Disbursement Dec'25</t>
  </si>
  <si>
    <t>Account 500790</t>
  </si>
  <si>
    <t>Zaid Ibrahim &amp; Co.</t>
  </si>
  <si>
    <t>ZICO 0280 - Disbursement Dec'25</t>
  </si>
  <si>
    <t>ZICO 0282 - Disbursement Dec'25</t>
  </si>
  <si>
    <t>ZICO 0279 - Disbursement Dec'25 (Rollover)</t>
  </si>
  <si>
    <t>ZICO 0264 - Disbursement Dec'25 (Rollover)</t>
  </si>
  <si>
    <t>Account 500995</t>
  </si>
  <si>
    <t>Radysis Asia Sdn. Bhd.</t>
  </si>
  <si>
    <t>01.12.2025</t>
  </si>
  <si>
    <t>RAD 0001 - Disbursement Dec'25</t>
  </si>
  <si>
    <t>Account 501105</t>
  </si>
  <si>
    <t>PTS Goldkist Industries Sdn Bhd</t>
  </si>
  <si>
    <t>SF-i 1</t>
  </si>
  <si>
    <t>PTSG 0096 - Disbursement Dec'25</t>
  </si>
  <si>
    <t>Account 501110</t>
  </si>
  <si>
    <t>Well-Built Alloy Industries Sdn Bhd</t>
  </si>
  <si>
    <t>WB 0014 - Disbursement Dec'25</t>
  </si>
  <si>
    <t>22.12.2025</t>
  </si>
  <si>
    <t>WB 0015 - Disbursement Dec'25</t>
  </si>
  <si>
    <t>Account 501123</t>
  </si>
  <si>
    <t>Siti Khadijah Apparel Sdn Bhd</t>
  </si>
  <si>
    <t>SKA 0025 - Disbursement Dec'25</t>
  </si>
  <si>
    <t>SKA 0026 - Disbursement Dec'25</t>
  </si>
  <si>
    <t>Account 501124</t>
  </si>
  <si>
    <t>Hernan Corporation Sdn Bhd</t>
  </si>
  <si>
    <t>MO_SFi</t>
  </si>
  <si>
    <t>HCSB 0069 - Disbursement Dec'25</t>
  </si>
  <si>
    <t>03.12.2025</t>
  </si>
  <si>
    <t>HCSB 0070 - Disbursement Dec'25</t>
  </si>
  <si>
    <t>HCSB 0071 - Disbursement Dec'25</t>
  </si>
  <si>
    <t>HCSB 0072 - Disbursement Dec'25</t>
  </si>
  <si>
    <t>HCSB 0073 - Disbursement Dec'25</t>
  </si>
  <si>
    <t>HCSB 0074 - Disbursement Dec'25</t>
  </si>
  <si>
    <t>HCSB 0075 - Disbursement Dec'25</t>
  </si>
  <si>
    <t>HCSB 0076 - Disbursement Dec'25</t>
  </si>
  <si>
    <t>Account 501128</t>
  </si>
  <si>
    <t>AMC Cincaria Sdn Bhd</t>
  </si>
  <si>
    <t>AMCC 0085 - Disbursement Dec'25</t>
  </si>
  <si>
    <t>AMCC 0086 - Disbursement Dec'25</t>
  </si>
  <si>
    <t>AMCC 0087 - Disbursement Dec'25</t>
  </si>
  <si>
    <t>AMCC 0088 - Disbursement Dec'25</t>
  </si>
  <si>
    <t>Account 501129</t>
  </si>
  <si>
    <t>Ingress Industrial (Malaysia)</t>
  </si>
  <si>
    <t>IIM 0065 - Disbursement Dec'25</t>
  </si>
  <si>
    <t>IIM 0066 - Disbursement Dec'25</t>
  </si>
  <si>
    <t>IIM 0068 - Disbursement Dec'25</t>
  </si>
  <si>
    <t>IIM 0067 - Disbursement Dec'25</t>
  </si>
  <si>
    <t>IIM 0069 - Disbursement Dec'25</t>
  </si>
  <si>
    <t>IIM 0071 - Disbursement Dec'25</t>
  </si>
  <si>
    <t>IIM 0070 - Disbursement Dec'25</t>
  </si>
  <si>
    <t>IIM 0072 - Disbursement Dec'25</t>
  </si>
  <si>
    <t>IIM 0048 - Cost payment</t>
  </si>
  <si>
    <t>IIM 0050 - Cost payment</t>
  </si>
  <si>
    <t>Account 501133</t>
  </si>
  <si>
    <t>Bertambest Sdn. Bhd.</t>
  </si>
  <si>
    <t>BB 0073 - Disbursement Dec'25</t>
  </si>
  <si>
    <t>BB 0074 - Disbursement Dec'25</t>
  </si>
  <si>
    <t>BB 0075 - Disbursement Dec'25</t>
  </si>
  <si>
    <t>Account 501137</t>
  </si>
  <si>
    <t>Impact Metal Resources</t>
  </si>
  <si>
    <t>IMR 0035 - Disbursement Dec'25</t>
  </si>
  <si>
    <t>IMR 0036 - Disbursement Dec'25</t>
  </si>
  <si>
    <t>IMR 0037 - Disbursement Dec'25</t>
  </si>
  <si>
    <t>Account 501140</t>
  </si>
  <si>
    <t>Choon Eng (Sarawak) Sdn Bhd</t>
  </si>
  <si>
    <t>CES 0050 - Disbursement Dec'25</t>
  </si>
  <si>
    <t>11.12.2025</t>
  </si>
  <si>
    <t>CES 0051 - Disbursement Dec'25</t>
  </si>
  <si>
    <t>CES 0049 - Disbursement Dec25 (Extention CES 0037)</t>
  </si>
  <si>
    <t>CES 0052 - Disbursement Dec'25</t>
  </si>
  <si>
    <t>Account 501142</t>
  </si>
  <si>
    <t>Gemilang Coachwork Sdn. Bhd.</t>
  </si>
  <si>
    <t>GC 0125 - Disbursement Dec'25</t>
  </si>
  <si>
    <t>Account 501147</t>
  </si>
  <si>
    <t>Southeast Asia Fruits Industry</t>
  </si>
  <si>
    <t>SAFI 0017 - Disbursement Dec'25</t>
  </si>
  <si>
    <t>SAFI 0018 - Disbursement Dec'25</t>
  </si>
  <si>
    <t>SAFI 0019 - Disbursement Dec'25</t>
  </si>
  <si>
    <t>Account 501148</t>
  </si>
  <si>
    <t>Glide Technology Sdn Bhd</t>
  </si>
  <si>
    <t>GT 0019 - Disbursement Dec'25</t>
  </si>
  <si>
    <t>GT 0020 - Disbursement Dec'25</t>
  </si>
  <si>
    <t>GT 0021 - Disbursement Dec'25</t>
  </si>
  <si>
    <t>Account 501149</t>
  </si>
  <si>
    <t>Whitex Garments Sdn. Bhd.</t>
  </si>
  <si>
    <t>SFi - 2</t>
  </si>
  <si>
    <t>04.12.2025</t>
  </si>
  <si>
    <t>WGSB2 0082 - Disbursement Dec'25</t>
  </si>
  <si>
    <t>WGSB2 0083 - Disbursement Dec'25</t>
  </si>
  <si>
    <t>WGSB2 0084 - Disbursement Dec'25</t>
  </si>
  <si>
    <t>WGSB2 0085 - Disbursement Dec'25</t>
  </si>
  <si>
    <t>WGSB2 0086 - Disbursement Dec'25</t>
  </si>
  <si>
    <t>WGSB2 0087 - Disbursement Dec'25</t>
  </si>
  <si>
    <t>WGSB2 0088 - Disbursement Dec'25</t>
  </si>
  <si>
    <t>Account 501157</t>
  </si>
  <si>
    <t>Kyoto Energy Ventures Sdn Bhd</t>
  </si>
  <si>
    <t>SF-i - 1</t>
  </si>
  <si>
    <t>KEV 0185 - Disbursement Dec'25</t>
  </si>
  <si>
    <t>KEV 0186 - Disbursement Dec'25</t>
  </si>
  <si>
    <t>KEV 0187 - Disbursement Dec'25</t>
  </si>
  <si>
    <t>KEV 0188 - Disbursement Dec'25</t>
  </si>
  <si>
    <t>KEV 0189 - Disbursement Dec'25</t>
  </si>
  <si>
    <t>KEV 0190 - Disbursement Dec'25</t>
  </si>
  <si>
    <t>KEV 0191 - Disbursement Dec'25</t>
  </si>
  <si>
    <t>KEV 0192 - Disbursement Dec'25</t>
  </si>
  <si>
    <t>KEV 0193 - Disbursement Dec'25</t>
  </si>
  <si>
    <t>Account 501160</t>
  </si>
  <si>
    <t>Global Tower Corporation Pty Ltd</t>
  </si>
  <si>
    <t>RC-i</t>
  </si>
  <si>
    <t>Global Tower RCi - 12th Disbursement</t>
  </si>
  <si>
    <t>Account 501171</t>
  </si>
  <si>
    <t>Pipesway Furniture Sdn Bhd</t>
  </si>
  <si>
    <t>PWF 0028 - Disbursement Dec'25</t>
  </si>
  <si>
    <t>PWF 0029 - Disbursement Dec'25</t>
  </si>
  <si>
    <t>Account 501175</t>
  </si>
  <si>
    <t>Fathopes Energy Sdn Bhd</t>
  </si>
  <si>
    <t>FE 0053 - Disbursement Dec'25</t>
  </si>
  <si>
    <t>FE 0054 - Disbursement Dec'25</t>
  </si>
  <si>
    <t>FE 0055 - Disbursement Dec'25</t>
  </si>
  <si>
    <t>FE 0056 - Disbursement Dec'25</t>
  </si>
  <si>
    <t>FE 0057 - Disbursement Dec'25</t>
  </si>
  <si>
    <t>Account 501181</t>
  </si>
  <si>
    <t>Sage Promaster Sdn Bhd</t>
  </si>
  <si>
    <t>Sage Promaster RCi - 3rd Disbursement</t>
  </si>
  <si>
    <t>Account 501184</t>
  </si>
  <si>
    <t xml:space="preserve"> OPFi - 1</t>
  </si>
  <si>
    <t>Global Tower OPFi-1 - 17th Disbursement</t>
  </si>
  <si>
    <t>Global Tower OPFi1 - 18th Disbursement</t>
  </si>
  <si>
    <t>Account 501190</t>
  </si>
  <si>
    <t>HY-Fresh Industries Sdn Bhd</t>
  </si>
  <si>
    <t>HYFI 0196 - Disbursement Dec'25</t>
  </si>
  <si>
    <t>HYFI 0197 - Disbursement Dec'25</t>
  </si>
  <si>
    <t>HYFI 0198 - Disbursement Dec'25</t>
  </si>
  <si>
    <t>HYFI 0199 - Disbursement Dec'25</t>
  </si>
  <si>
    <t>HYFI 0200 - Disbursement Dec'25</t>
  </si>
  <si>
    <t>HYFI 0201 - Disbursement Dec'25</t>
  </si>
  <si>
    <t>HYFI 0202 - Disbursement Dec'25</t>
  </si>
  <si>
    <t>HYFI 0203 - Disbursement Dec'25</t>
  </si>
  <si>
    <t>HYFI 0204 - Disbursement Dec'25</t>
  </si>
  <si>
    <t>HYFI 0205 - Disbursement Dec'25</t>
  </si>
  <si>
    <t>HYFI 0206 - Disbursement Dec'25</t>
  </si>
  <si>
    <t>Account 501194</t>
  </si>
  <si>
    <t>SF-i 2</t>
  </si>
  <si>
    <t>IMR2 0053 - Disbursement Dec'25</t>
  </si>
  <si>
    <t>IMR2 0054 - Disbursement Dec'25</t>
  </si>
  <si>
    <t>Account 501195</t>
  </si>
  <si>
    <t>Saragreen Sdn Bhd</t>
  </si>
  <si>
    <t>SG 0040 - Disbursement Dec'25</t>
  </si>
  <si>
    <t>SG 0041 - Disbursement Dec'25</t>
  </si>
  <si>
    <t>Account 501196</t>
  </si>
  <si>
    <t>Malaysia Steel Works (KL) Bhd</t>
  </si>
  <si>
    <t>MAS2 0012 - Disbursement Dec'25</t>
  </si>
  <si>
    <t>MAS2 0013 - Disbursement Dec'25</t>
  </si>
  <si>
    <t>MAS2 0014 - Disbursement Dec'25</t>
  </si>
  <si>
    <t>MAS2 0015 - Disbursement Dec'25</t>
  </si>
  <si>
    <t>MAS2 0016 - Disbursement Dec'25</t>
  </si>
  <si>
    <t>MAS2 0017 - Disbursement Dec'25</t>
  </si>
  <si>
    <t>MAS2 0018 - Disbursement Dec'25</t>
  </si>
  <si>
    <t>MAS2 0019 - Disbursement Dec'25</t>
  </si>
  <si>
    <t>MAS2 0020 - Disbursement Dec'25</t>
  </si>
  <si>
    <t>MAS2 0021 - Disbursement Dec'25</t>
  </si>
  <si>
    <t>MAS2 0022 - Disbursement Dec'25</t>
  </si>
  <si>
    <t>MAS2 0023 - Disbursement Dec'25</t>
  </si>
  <si>
    <t>Account 501201</t>
  </si>
  <si>
    <t>Rizman Ruzaini Creations</t>
  </si>
  <si>
    <t>Rizman RCi - 5th Disbursement (Rollover)</t>
  </si>
  <si>
    <t>Rizman RCi - 6th Disbursement (Rollover)</t>
  </si>
  <si>
    <t>Account 501206</t>
  </si>
  <si>
    <t>FE2 0039 - Disbursement Dec'25</t>
  </si>
  <si>
    <t>FE2 0040 - Disbursement Dec'25</t>
  </si>
  <si>
    <t>FE2 0041 - Disbursement Dec'25</t>
  </si>
  <si>
    <t>FE2 0042 - Disbursement Dec'25</t>
  </si>
  <si>
    <t>FE2 0043 - Disbursement Dec'25</t>
  </si>
  <si>
    <t>FE2 0044 - Disbursement Dec'25</t>
  </si>
  <si>
    <t>FE2 0045 - Disbursement Dec'25</t>
  </si>
  <si>
    <t>FE2 0046 - Disbursement Dec'25</t>
  </si>
  <si>
    <t>FE2 0047 - Disbursement Dec'25</t>
  </si>
  <si>
    <t>Account 501208</t>
  </si>
  <si>
    <t>Master Suppliers Sdn Bhd</t>
  </si>
  <si>
    <t>MS 0025 - Disbursement Dec'25</t>
  </si>
  <si>
    <t>Account 501211</t>
  </si>
  <si>
    <t>Pusan Furniture Industries (M)</t>
  </si>
  <si>
    <t>PUSAN 0033 - Disbursement Dec'25</t>
  </si>
  <si>
    <t>PUSAN 0034 - Disbursement Dec'25</t>
  </si>
  <si>
    <t>Account 501218</t>
  </si>
  <si>
    <t>Duta Marine Sdn Bhd</t>
  </si>
  <si>
    <t>TF-i</t>
  </si>
  <si>
    <t>Duta Marine TFi -  2nd Disbursement</t>
  </si>
  <si>
    <t>Account 501219</t>
  </si>
  <si>
    <t>Mac World Industries Sdn Bhd</t>
  </si>
  <si>
    <t>MW 0043 - Disbursement Dec'25</t>
  </si>
  <si>
    <t>MW 0044 - Disbursement Dec'25</t>
  </si>
  <si>
    <t>Account 501220</t>
  </si>
  <si>
    <t>A-T Precision Engineering Sdn Bhd</t>
  </si>
  <si>
    <t>ATP 0035 - Disbursement Dec'25 (EXTENSION ATP0019)</t>
  </si>
  <si>
    <t>ATP 0036 - Disbursement Dec'25 (EXTENSION ATP0020)</t>
  </si>
  <si>
    <t>ATP 0037 - Disbursement Dec'25 (EXTENSION ATP0021)</t>
  </si>
  <si>
    <t>ATP 0034 - Disbursement Dec'25 (EXTENSION ATP0018)</t>
  </si>
  <si>
    <t>ATP 0033 - Disbursement Dec'25 (EXTENSION ATP0017)</t>
  </si>
  <si>
    <t>ATP 0032 - Disbursement Dec'25 (EXTENSION ATP0016)</t>
  </si>
  <si>
    <t>ATP 0040 - Disbursement Dec'25 (EXTENSION ATP0024)</t>
  </si>
  <si>
    <t>ATP 0039 - Disbursement Dec'25 (EXTENSION ATP0023)</t>
  </si>
  <si>
    <t>ATP 0038 - Disbursement Dec'25 (EXTENSION ATP0022)</t>
  </si>
  <si>
    <t>ATP 0025 - Disbursement Dec'25 (EXTENSION ATP0009)</t>
  </si>
  <si>
    <t>ATP 0031 - Disbursement Dec'25 (EXTENSION ATP0015)</t>
  </si>
  <si>
    <t>ATP 0030 - Disbursement Dec'25 (EXTENSION ATP0014)</t>
  </si>
  <si>
    <t>ATP 0029 - Disbursement Dec'25 (EXTENSION ATP0013)</t>
  </si>
  <si>
    <t>ATP 0026 - Disbursement Dec'25 (EXTENSION ATP0010)</t>
  </si>
  <si>
    <t>ATP 0027 - Disbursement Dec'25 (EXTENSION ATP0011)</t>
  </si>
  <si>
    <t>ATP 0028 - Disbursement Dec'25 (EXTENSION ATP0012)</t>
  </si>
  <si>
    <t>Account 501231</t>
  </si>
  <si>
    <t>Fabulous Sunview Sdn Bhd</t>
  </si>
  <si>
    <t>MULTI_SFi</t>
  </si>
  <si>
    <t>FSSB 0014 - Disbursement Dec'25</t>
  </si>
  <si>
    <t>FSSB 0015 - Disbursement Dec'25</t>
  </si>
  <si>
    <t>Account 501232</t>
  </si>
  <si>
    <t>Confast Mobile Sdn. Bhd.</t>
  </si>
  <si>
    <t>RCI</t>
  </si>
  <si>
    <t>Confast RCi - 5th Disbursement (Rollover 3rd Disb)</t>
  </si>
  <si>
    <t>Account 501234</t>
  </si>
  <si>
    <t>Enviros Survey &amp; Consultancy Sdn Bh</t>
  </si>
  <si>
    <t>ESC 0001 - Disbursement Dec'25</t>
  </si>
  <si>
    <t>ESC 0002 - Disbursement Dec'25</t>
  </si>
  <si>
    <t>ESC 0003 - Disbursement Dec'25</t>
  </si>
  <si>
    <t>Account 501235</t>
  </si>
  <si>
    <t>LC/TR-I</t>
  </si>
  <si>
    <t>OMS 0038 - Disbursement Dec'25</t>
  </si>
  <si>
    <t>OMS 0039 - Disbursement Dec'25</t>
  </si>
  <si>
    <t>Account 501241</t>
  </si>
  <si>
    <t>Ping Petroleum Sdn Bhd</t>
  </si>
  <si>
    <t>Ping Petroleum - 1st Disbursement</t>
  </si>
  <si>
    <t>Ping Petroluem - 2nd Disbursement</t>
  </si>
  <si>
    <t>Account 501254</t>
  </si>
  <si>
    <t>N.K Rubber (M) Sdn. Bhd.</t>
  </si>
  <si>
    <t>SFi</t>
  </si>
  <si>
    <t>NKR 0020 - Disbursement Dec'25</t>
  </si>
  <si>
    <t>NKR 0021 - Disbursement Dec'25</t>
  </si>
  <si>
    <t>Account 501255</t>
  </si>
  <si>
    <t>Whitex Garments Sdn.Bhd.</t>
  </si>
  <si>
    <t>Whitex Garments RCi - 2nd Disbursement</t>
  </si>
  <si>
    <t>Whitex Garments RCi - 3rd Disbursement</t>
  </si>
  <si>
    <t>Whitex Garments RCi - 4th Disbursement</t>
  </si>
  <si>
    <t>Account 501259</t>
  </si>
  <si>
    <t>FR Development  Asia Sdn Bhd</t>
  </si>
  <si>
    <t>FR 0001 - Disbursement Dec'25</t>
  </si>
  <si>
    <t>Account 501261</t>
  </si>
  <si>
    <t>Pertama Ferroalloys Sdn. Bhd.</t>
  </si>
  <si>
    <t>PF 0002 - Disbursement (EXTENSION PF 0001)</t>
  </si>
  <si>
    <t>Account 501263</t>
  </si>
  <si>
    <t>Kennwu Manufacturing (M) Sdn. Bhd</t>
  </si>
  <si>
    <t>KWM 0036 - Disbursement Dec'25</t>
  </si>
  <si>
    <t>KWM 0037 - Disbursement Dec'25</t>
  </si>
  <si>
    <t>KWM 0038 - Disbursement Dec'25</t>
  </si>
  <si>
    <t>KWM 0039 - Disbursement Dec'25</t>
  </si>
  <si>
    <t>Account 501270</t>
  </si>
  <si>
    <t>Ace Champion Sdn Bhd</t>
  </si>
  <si>
    <t>ACE 0009 - Disbursement Dec'25</t>
  </si>
  <si>
    <t>ACE 0010 - Disbursement Dec'25</t>
  </si>
  <si>
    <t>ACE 0011 - Disbursement Dec'25</t>
  </si>
  <si>
    <t>ACE 0012 - Disbursement Dec'25</t>
  </si>
  <si>
    <t>ACE 0013 - Disbursement Dec'25</t>
  </si>
  <si>
    <t>ACE 0014 - Disbursement Dec'25</t>
  </si>
  <si>
    <t>ACE 0015 - Disbursement Dec'25</t>
  </si>
  <si>
    <t>Account 501285</t>
  </si>
  <si>
    <t>MHC Cold Storage Sdn Bhd</t>
  </si>
  <si>
    <t>SF-i - 2</t>
  </si>
  <si>
    <t>MHC2 0006 - Disbursement Dec'25</t>
  </si>
  <si>
    <t>MHC2 0007 - Disbursement Dec'25</t>
  </si>
  <si>
    <t>Account 501286</t>
  </si>
  <si>
    <t>Agro 19 Industries Sdn Bhd</t>
  </si>
  <si>
    <t>TF-i (Tranche 2)</t>
  </si>
  <si>
    <t>Agro 19 Industries T2 - 2nd Disbursement (Final)</t>
  </si>
  <si>
    <t>Account 501288</t>
  </si>
  <si>
    <t>Evergreen Fibreboard Berhad</t>
  </si>
  <si>
    <t>EFB 0002 - Disbursement Dec'25</t>
  </si>
  <si>
    <t>EFB 0003 - Disbursement Dec'25</t>
  </si>
  <si>
    <t>EFB 0004 - Disbursement Dec'25</t>
  </si>
  <si>
    <t>Account 501290</t>
  </si>
  <si>
    <t>Coco Oro Jewellery Sdn Bhd</t>
  </si>
  <si>
    <t>CCO 0001 - Disbursement Dec'25</t>
  </si>
  <si>
    <t>CCO 0002 - Disbursement Dec'25</t>
  </si>
  <si>
    <t>Account 501293</t>
  </si>
  <si>
    <t>GLOBAL TOWER CORPORATION PTY LTD</t>
  </si>
  <si>
    <t>OPFi2</t>
  </si>
  <si>
    <t>Global Tower OPFi-2 - 3rd Disbursement</t>
  </si>
  <si>
    <t>Global Tower OPFi2 - 4th Disbursement</t>
  </si>
  <si>
    <t>Account 501298</t>
  </si>
  <si>
    <t>Trenergy Infrastructure Sdn Bhd</t>
  </si>
  <si>
    <t>TFi-2</t>
  </si>
  <si>
    <t>Trenergy TFi-2 - 3rd Disbursement</t>
  </si>
  <si>
    <t>Trenergy TFi-2 - 2nd Disbursement</t>
  </si>
  <si>
    <t>Account 501309</t>
  </si>
  <si>
    <t>FR Development Asia Sdn Bhd</t>
  </si>
  <si>
    <t>FRRC 0002 - Disbursement Dec'25</t>
  </si>
  <si>
    <t>Account 501310</t>
  </si>
  <si>
    <t>Ignis Group Berhad</t>
  </si>
  <si>
    <t>TF-i 2</t>
  </si>
  <si>
    <t>Ignis Group TFi2 - 1st Disbursement (Tong Sheng)</t>
  </si>
  <si>
    <t>Account 501315</t>
  </si>
  <si>
    <t>TF-i 3</t>
  </si>
  <si>
    <t>Ignis Group TFi3 - 1st Disbursement (Tong Sheng)</t>
  </si>
  <si>
    <t>Account 501316</t>
  </si>
  <si>
    <t>HRC 0001 - Disbursement Dec'25</t>
  </si>
  <si>
    <t>HRC 0002 - Disbursement Dec'25</t>
  </si>
  <si>
    <t>Account 501317</t>
  </si>
  <si>
    <t>COCO 0001 - Disbursement Dec'25</t>
  </si>
  <si>
    <t>Account 501318</t>
  </si>
  <si>
    <t>Mac World Food Industries L.L.C</t>
  </si>
  <si>
    <t>Mac World - 1st Disbursement</t>
  </si>
  <si>
    <t>Mac World - 2nd Disbursement</t>
  </si>
  <si>
    <t>Mac World - 3rd Disbursement</t>
  </si>
  <si>
    <t>Account 501319</t>
  </si>
  <si>
    <t>MAS1 0001 - Disbursement Dec'25</t>
  </si>
  <si>
    <t>MAS1 0002 - Disbursement Dec'25</t>
  </si>
  <si>
    <t>MAS1 0003 - Disbursement Dec'25</t>
  </si>
  <si>
    <t>MAS1 0004 - Disbursement Dec'25</t>
  </si>
  <si>
    <t>MAS1 0005 - Disbursement Dec'25</t>
  </si>
  <si>
    <t>MAS1 0006 - Disbursement Dec'25</t>
  </si>
  <si>
    <t>MAS1 0007 - Disbursement Dec'25</t>
  </si>
  <si>
    <t>MAS1 0008 - Disbursement Dec'25</t>
  </si>
  <si>
    <t>MAS1 0009 - Disbursement Dec'25</t>
  </si>
  <si>
    <t>MAS1 0010 - Disbursement Dec'25</t>
  </si>
  <si>
    <t>MAS1 0011 - Disbursement Dec'25</t>
  </si>
  <si>
    <t>MAS1 0012 - Disbursement Dec'25</t>
  </si>
  <si>
    <t>Account 501320</t>
  </si>
  <si>
    <t>SF-i 3</t>
  </si>
  <si>
    <t>MHC3 0001 - Disbursement Dec'25</t>
  </si>
  <si>
    <t>Account 501321</t>
  </si>
  <si>
    <t>Account 501322</t>
  </si>
  <si>
    <t>WHITEX 0703 - Cost payment</t>
  </si>
  <si>
    <t>WHITEX 0702 - Cost payment</t>
  </si>
  <si>
    <t>WHITEX 0701 - Cost payment</t>
  </si>
  <si>
    <t>Eagle Xpress Air Sdn Bhd</t>
  </si>
  <si>
    <t>Eaglexpress - Cost Payment</t>
  </si>
  <si>
    <t>Account 500676</t>
  </si>
  <si>
    <t>MEWAHO 0960 - Cost payment</t>
  </si>
  <si>
    <t>MEWAHO 0961 - Cost payment</t>
  </si>
  <si>
    <t>MEWAHO 0962 - Cost payment</t>
  </si>
  <si>
    <t>MEWAHO 0963 - Cost payment</t>
  </si>
  <si>
    <t>MEWAHO 0964 - Cost payment</t>
  </si>
  <si>
    <t>MEWAHO 0966 - Cost payment</t>
  </si>
  <si>
    <t>MEWAHO 0965 - Cost payment</t>
  </si>
  <si>
    <t>FGV 0344 - Cost payment</t>
  </si>
  <si>
    <t>FGV 0345 - Cost payment</t>
  </si>
  <si>
    <t>FGV 0346 - Cost payment</t>
  </si>
  <si>
    <t>FGV 0347 - Cost payment</t>
  </si>
  <si>
    <t>FGV 0348 - Cost payment</t>
  </si>
  <si>
    <t>FGV 0350 - Cost payment</t>
  </si>
  <si>
    <t>FGV 0351 - Cost payment</t>
  </si>
  <si>
    <t>FGV 0352 - Cost payment</t>
  </si>
  <si>
    <t>MEWOIL 0820 - Cost payment</t>
  </si>
  <si>
    <t>MEWOIL 0827 - Cost payment</t>
  </si>
  <si>
    <t>MEWOIL 0825 - Cost payment</t>
  </si>
  <si>
    <t>MEWOIL 0823 - Cost payment</t>
  </si>
  <si>
    <t>MEWOIL 0821 - Cost payment</t>
  </si>
  <si>
    <t>MEWOIL 0822 - Cost payment</t>
  </si>
  <si>
    <t>MEWOIL 0826 - Cost payment</t>
  </si>
  <si>
    <t>MEWOIL 0824 - Cost payment</t>
  </si>
  <si>
    <t>MEWOIL 0828 - Cost payment</t>
  </si>
  <si>
    <t>PWN Excellence Sdn Bhd</t>
  </si>
  <si>
    <t>PWN Excellence TFi-3 - 26th Cost Payment</t>
  </si>
  <si>
    <t>Account 500943</t>
  </si>
  <si>
    <t>IMPIANA SEMINYAK (LABUAN) CO. LTD 1</t>
  </si>
  <si>
    <t>Impiana Seminyak - Cost Payment</t>
  </si>
  <si>
    <t>Account 500947</t>
  </si>
  <si>
    <t>ZICO 0261 - Cost payment</t>
  </si>
  <si>
    <t>ZICO 0262 - Cost payment</t>
  </si>
  <si>
    <t>ZICO 0263 - Cost payment</t>
  </si>
  <si>
    <t>ZICO 0265 - Cost payment</t>
  </si>
  <si>
    <t>ZICO 0264 - Cost payment (Rollover)</t>
  </si>
  <si>
    <t>ZICO 0266 - Cost payment</t>
  </si>
  <si>
    <t>ZICO 0267 - Cost payment</t>
  </si>
  <si>
    <t>EVERSENDAI CORPORATION BERHAD</t>
  </si>
  <si>
    <t>Eversendai - Cost Payment</t>
  </si>
  <si>
    <t>Account 501018</t>
  </si>
  <si>
    <t>Joyeria Kohinoor Sdn Bhd</t>
  </si>
  <si>
    <t>SRF-TF-i</t>
  </si>
  <si>
    <t>Joyeria SRF - 57th Cost Payment</t>
  </si>
  <si>
    <t>Account 501027</t>
  </si>
  <si>
    <t>OPFi</t>
  </si>
  <si>
    <t>Whitex OPFi - 38th Cost Payment</t>
  </si>
  <si>
    <t>Account 501049</t>
  </si>
  <si>
    <t>Taiace Energy Services Sdn Bhd</t>
  </si>
  <si>
    <t>TF-i 1</t>
  </si>
  <si>
    <t>Taiace Energy TFi1 - 38th Cost Payment</t>
  </si>
  <si>
    <t>Account 501056</t>
  </si>
  <si>
    <t>Taiace Energy TFi2 - 38th Cost Payment</t>
  </si>
  <si>
    <t>Account 501057</t>
  </si>
  <si>
    <t>Taiace Energy TFi3 - 38th Cost Payment</t>
  </si>
  <si>
    <t>Account 501058</t>
  </si>
  <si>
    <t>14.12.2025</t>
  </si>
  <si>
    <t>Joyeria TFi-1 - 29th Cost Payment</t>
  </si>
  <si>
    <t>Account 501060</t>
  </si>
  <si>
    <t>Joyeria TFi-2 - 29th Cost Payment</t>
  </si>
  <si>
    <t>Account 501061</t>
  </si>
  <si>
    <t>SMH Rail Sdn Bhd</t>
  </si>
  <si>
    <t>SMH 0006</t>
  </si>
  <si>
    <t>SMH Rail 6 - 35th Cost Payment</t>
  </si>
  <si>
    <t>Account 501070</t>
  </si>
  <si>
    <t>TF-i 4</t>
  </si>
  <si>
    <t>Taiace Energy TFi4 - 28th Cost Payment</t>
  </si>
  <si>
    <t>Account 501071</t>
  </si>
  <si>
    <t>PT Envirotech Akwa Indonesia</t>
  </si>
  <si>
    <t>PT Envirotech - 19th Cost Payment</t>
  </si>
  <si>
    <t>Account 501096</t>
  </si>
  <si>
    <t>Tiong Nam Logistics Solutions</t>
  </si>
  <si>
    <t>Tiong Nam 1 - 8th Cost Payment</t>
  </si>
  <si>
    <t>Account 501097</t>
  </si>
  <si>
    <t>Biforst Logistic Sdn Bhd</t>
  </si>
  <si>
    <t>TFi - 1</t>
  </si>
  <si>
    <t>Biforst TFi1 - 24th Cost Payment</t>
  </si>
  <si>
    <t>Account 501106</t>
  </si>
  <si>
    <t>TFi - 2</t>
  </si>
  <si>
    <t>Biforst TFi2 - 24th Cost Payment</t>
  </si>
  <si>
    <t>Account 501107</t>
  </si>
  <si>
    <t>TFi - 3</t>
  </si>
  <si>
    <t>Biforst TFi3 - 24th Cost Payment</t>
  </si>
  <si>
    <t>Account 501108</t>
  </si>
  <si>
    <t>TFi - 5</t>
  </si>
  <si>
    <t>Biforst TFi-5 - 24th Cost Payment</t>
  </si>
  <si>
    <t>Account 501109</t>
  </si>
  <si>
    <t>Bhavani Foods (M) Sdn Bhd</t>
  </si>
  <si>
    <t>Bhavani Foods - 24th Cost Payment</t>
  </si>
  <si>
    <t>Account 501114</t>
  </si>
  <si>
    <t>Asia Cargo Network Sdn Bhd</t>
  </si>
  <si>
    <t>Asia Cargo - Cost Payment</t>
  </si>
  <si>
    <t>Account 501116</t>
  </si>
  <si>
    <t>Radysis Asia Sdn Bhd</t>
  </si>
  <si>
    <t>Radysis Asia - 24th Cost Payment</t>
  </si>
  <si>
    <t>Account 501118</t>
  </si>
  <si>
    <t>Urban Pinnacle Sdn. Bhd.</t>
  </si>
  <si>
    <t>Urban Pinnacle 2 - 23rd Cost Payment</t>
  </si>
  <si>
    <t>Account 501121</t>
  </si>
  <si>
    <t>Urban Pinnacle 3 - 23rd Cost Payment</t>
  </si>
  <si>
    <t>Account 501122</t>
  </si>
  <si>
    <t>WB 0006 - Cost payment</t>
  </si>
  <si>
    <t>WB 0010 - Cost payment</t>
  </si>
  <si>
    <t>SKA 0012 - Cost payment</t>
  </si>
  <si>
    <t>SKA 0013 - Cost payment</t>
  </si>
  <si>
    <t>SKA 0014 - Cost payment</t>
  </si>
  <si>
    <t>SKA 0015 - Cost payment</t>
  </si>
  <si>
    <t>SKA 0016 - Cost payment</t>
  </si>
  <si>
    <t>Urban Pinnacle 4 - 22nd Cost Payment</t>
  </si>
  <si>
    <t>Account 501126</t>
  </si>
  <si>
    <t>Siti Khadijah - 16th Cost Payment</t>
  </si>
  <si>
    <t>Account 501127</t>
  </si>
  <si>
    <t>HCSB 0045 - Cost payment</t>
  </si>
  <si>
    <t>HCSB 0044 - Cost payment</t>
  </si>
  <si>
    <t>HCSB 0047 - Cost payment</t>
  </si>
  <si>
    <t>HCSB 0046 - Cost payment</t>
  </si>
  <si>
    <t>HCSB 0051 - Cost payment</t>
  </si>
  <si>
    <t>HCSB 0052 - Cost payment</t>
  </si>
  <si>
    <t>HCSB 0053 - Cost payment</t>
  </si>
  <si>
    <t>HCSB 0048 - Cost payment</t>
  </si>
  <si>
    <t>HCSB 0049 - Cost payment</t>
  </si>
  <si>
    <t>HCSB 0050 - Cost payment</t>
  </si>
  <si>
    <t>HCSB 0060 - Cost payment</t>
  </si>
  <si>
    <t>HCSB 0059 - Cost payment</t>
  </si>
  <si>
    <t>HCSB 0058 - Cost payment</t>
  </si>
  <si>
    <t>HCSB 0057 - Cost payment</t>
  </si>
  <si>
    <t>HCSB 0056 - Cost payment</t>
  </si>
  <si>
    <t>HCSB 0055 - Cost payment</t>
  </si>
  <si>
    <t>HCSB 0054 - Cost payment</t>
  </si>
  <si>
    <t>AMCC 0082 - Cost payment</t>
  </si>
  <si>
    <t>AMCC 0080 - Cost payment</t>
  </si>
  <si>
    <t>AMCC 0081 - Cost payment</t>
  </si>
  <si>
    <t>AMCC 0079 - Cost payment</t>
  </si>
  <si>
    <t>Helms Geomarine Sdn Bhd</t>
  </si>
  <si>
    <t>TFi</t>
  </si>
  <si>
    <t>25.11.2025</t>
  </si>
  <si>
    <t>Helms Geomarine - 15th Cost  Payment</t>
  </si>
  <si>
    <t>Account 501130</t>
  </si>
  <si>
    <t>BFSB 0051 - Cost payment</t>
  </si>
  <si>
    <t>BFSB 0057 - Cost payment</t>
  </si>
  <si>
    <t>BFSB 0061 - Cost payment</t>
  </si>
  <si>
    <t>BFSB 0060 - Cost payment</t>
  </si>
  <si>
    <t>BFSB 0063 - Cost payment</t>
  </si>
  <si>
    <t>BFSB 0058 - Cost payment</t>
  </si>
  <si>
    <t>BFSB 0075 - Cost payment</t>
  </si>
  <si>
    <t>BFSB 0059 - Cost payment</t>
  </si>
  <si>
    <t>BFSB 0064 - Cost payment</t>
  </si>
  <si>
    <t>BFSB 0066 - Cost payment</t>
  </si>
  <si>
    <t>BFSB 0062 - Cost payment</t>
  </si>
  <si>
    <t>Account 501131</t>
  </si>
  <si>
    <t>IIM 0044 - Cost payment</t>
  </si>
  <si>
    <t>IIM 0045 - Cost payment</t>
  </si>
  <si>
    <t>IIM 0046 - Cost payment</t>
  </si>
  <si>
    <t>IIM 0047 - Cost payment</t>
  </si>
  <si>
    <t>UB Acrylic (M) Sdn Bhd</t>
  </si>
  <si>
    <t>UB 0013 - Cost payment</t>
  </si>
  <si>
    <t>UB 0012 - Cost payment</t>
  </si>
  <si>
    <t>UB 0015 - Cost payment</t>
  </si>
  <si>
    <t>UB 0014 - Cost payment</t>
  </si>
  <si>
    <t>Account 501134</t>
  </si>
  <si>
    <t>BB 0068 - Cost payment</t>
  </si>
  <si>
    <t>BB 0070 - Cost payment</t>
  </si>
  <si>
    <t>BB 0072 - Cost payment</t>
  </si>
  <si>
    <t>IMR 0029 - Cost payment</t>
  </si>
  <si>
    <t>IMR 0030 - Cost payment</t>
  </si>
  <si>
    <t>Glide Technology - 18th Cost Payment</t>
  </si>
  <si>
    <t>Account 501141</t>
  </si>
  <si>
    <t>CES 0037 - Cost payment (Extention CES 0049)</t>
  </si>
  <si>
    <t>CES 0038 - Cost payment</t>
  </si>
  <si>
    <t>CES 0045 - Cost payment</t>
  </si>
  <si>
    <t>CES 0047 - Cost payment</t>
  </si>
  <si>
    <t>CES 0046 - Cost payment</t>
  </si>
  <si>
    <t>CES 0039 - Cost payment</t>
  </si>
  <si>
    <t>CES 0048 - Cost payment</t>
  </si>
  <si>
    <t>Kian Joo Cans Distribution Sdn Bhd</t>
  </si>
  <si>
    <t>Kian Joo - 6th Cost Payment</t>
  </si>
  <si>
    <t>Account 501146</t>
  </si>
  <si>
    <t>GC 0098 - Cost payment</t>
  </si>
  <si>
    <t>GC 0097 - Cost payment</t>
  </si>
  <si>
    <t>GC 0096 - Cost payment</t>
  </si>
  <si>
    <t>SAFI 0007 - Cost payment</t>
  </si>
  <si>
    <t>SAFI 0009 - Cost payment</t>
  </si>
  <si>
    <t>GT 0015 - Cost payment</t>
  </si>
  <si>
    <t>KR Travel &amp; Tours Sdn Bhd</t>
  </si>
  <si>
    <t>KR Travel - 16th Cost Payment</t>
  </si>
  <si>
    <t>Account 501150</t>
  </si>
  <si>
    <t>Sky Blue Media Sdn Bhd</t>
  </si>
  <si>
    <t>Sky Blue - 10th Cost Payment</t>
  </si>
  <si>
    <t>Account 501155</t>
  </si>
  <si>
    <t>WGSB2 0062 - Cost payment</t>
  </si>
  <si>
    <t>WGSB2 0064 - Cost payment</t>
  </si>
  <si>
    <t>WGSB2 0063 - Cost payment</t>
  </si>
  <si>
    <t>WGSB2 0065 - Cost payment</t>
  </si>
  <si>
    <t>WGSB2 0067 - Cost payment</t>
  </si>
  <si>
    <t>WGSB2 0077 - Cost payment</t>
  </si>
  <si>
    <t>WGSB2 0068 - Cost payment</t>
  </si>
  <si>
    <t>WGSB2 0069 - Cost payment</t>
  </si>
  <si>
    <t>WGSB2 0074 - Cost payment</t>
  </si>
  <si>
    <t>WGSB2 0071 - Cost payment</t>
  </si>
  <si>
    <t>Tabco Food Services</t>
  </si>
  <si>
    <t>AUD</t>
  </si>
  <si>
    <t>Tabco Food - 13th Cost Payment</t>
  </si>
  <si>
    <t>Account 501158</t>
  </si>
  <si>
    <t>Bumi Armada Holdings Labuan</t>
  </si>
  <si>
    <t>Bumi Armada - Cost Payment</t>
  </si>
  <si>
    <t>Account 501159</t>
  </si>
  <si>
    <t>Ann Joo Integrated Steel</t>
  </si>
  <si>
    <t>MO_SFI -i</t>
  </si>
  <si>
    <t>AJ 0017 - Cost payment</t>
  </si>
  <si>
    <t>Account 501161</t>
  </si>
  <si>
    <t>Purebleach Sdn Bhd</t>
  </si>
  <si>
    <t>Purebleach - 14th Cost Payment</t>
  </si>
  <si>
    <t>Account 501170</t>
  </si>
  <si>
    <t>TF-i (Tranche 1)</t>
  </si>
  <si>
    <t>Agro 19 TFi-1 T2 - 15th Cost Payment</t>
  </si>
  <si>
    <t>Account 501173</t>
  </si>
  <si>
    <t>MKRS Bumi (M) Sdn Bhd</t>
  </si>
  <si>
    <t>MKRS Bumi - 3rd Cost Payment</t>
  </si>
  <si>
    <t>Account 501174</t>
  </si>
  <si>
    <t>PWF 0019 - Cost payment</t>
  </si>
  <si>
    <t>PWF 0018 - Cost payment</t>
  </si>
  <si>
    <t>PWF 0017 - Cost payment</t>
  </si>
  <si>
    <t>Marine Creation Sdn Bhd</t>
  </si>
  <si>
    <t>Marine Creation 1 - 13th Cost Payment</t>
  </si>
  <si>
    <t>Account 501176</t>
  </si>
  <si>
    <t>Hyrax Oil Sdn Bhd</t>
  </si>
  <si>
    <t>OPF-i</t>
  </si>
  <si>
    <t>Hyrax Oil OPFi - 15th Cost Payment</t>
  </si>
  <si>
    <t>Account 501178</t>
  </si>
  <si>
    <t>Hyrax Oil TFi - 15th Cost Payment</t>
  </si>
  <si>
    <t>Account 501179</t>
  </si>
  <si>
    <t>Aemulus Corporation Sdn Bhd</t>
  </si>
  <si>
    <t>Aemulus - 12th Cost Payment</t>
  </si>
  <si>
    <t>Account 501180</t>
  </si>
  <si>
    <t>FE 0042 - Cost payment</t>
  </si>
  <si>
    <t>FE 0039 - Cost payment</t>
  </si>
  <si>
    <t>FE 0035 - Cost payment</t>
  </si>
  <si>
    <t>FE 0043 - Cost payment</t>
  </si>
  <si>
    <t>FE 0041 - Cost payment</t>
  </si>
  <si>
    <t>FE 0044 - Cost payment</t>
  </si>
  <si>
    <t>FE 0040 - Cost payment</t>
  </si>
  <si>
    <t>FE 0045 - Cost payment</t>
  </si>
  <si>
    <t>FE 0038 - Cost payment</t>
  </si>
  <si>
    <t>Thai Aroi Rice Vermicelli</t>
  </si>
  <si>
    <t>Thai Aroi - 8th Cost Payment</t>
  </si>
  <si>
    <t>Account 501182</t>
  </si>
  <si>
    <t>Sage Promaster RCi - Cost Payment (1st Disb)</t>
  </si>
  <si>
    <t>Sage Promaster - 5th Cost Payment</t>
  </si>
  <si>
    <t>Account 501185</t>
  </si>
  <si>
    <t>Marine Creation 2 - 13th Cost Payment</t>
  </si>
  <si>
    <t>Account 501186</t>
  </si>
  <si>
    <t>Marine Creation 3 - 13th Cost Payment</t>
  </si>
  <si>
    <t>Account 501187</t>
  </si>
  <si>
    <t>Ocean21 Offshore Sdn Bhd</t>
  </si>
  <si>
    <t>TFi-1</t>
  </si>
  <si>
    <t>Ocean21 - 13th Cost Payment</t>
  </si>
  <si>
    <t>Account 501188</t>
  </si>
  <si>
    <t>Ignis Environment Initiatives</t>
  </si>
  <si>
    <t>Ignis TFi-1 - 1st Cost Payment</t>
  </si>
  <si>
    <t>Account 501191</t>
  </si>
  <si>
    <t>Ignis TFi-2 - 1st Cost Payment</t>
  </si>
  <si>
    <t>Account 501192</t>
  </si>
  <si>
    <t>HYFI 0134 - Cost payment</t>
  </si>
  <si>
    <t>HYFI 0135 - Cost payment</t>
  </si>
  <si>
    <t>HYFI 0137 - Cost payment</t>
  </si>
  <si>
    <t>HYFI 0136 - Cost payment</t>
  </si>
  <si>
    <t>HYFI 0133 - Cost payment</t>
  </si>
  <si>
    <t>HYFI 0140 - Cost payment</t>
  </si>
  <si>
    <t>HYFI 0138 - Cost payment</t>
  </si>
  <si>
    <t>HYFI 0139 - Cost payment</t>
  </si>
  <si>
    <t>HYFI 0141 - Cost payment</t>
  </si>
  <si>
    <t>HYFI 0142 - Cost payment</t>
  </si>
  <si>
    <t>HYFI 0146 - Cost payment</t>
  </si>
  <si>
    <t>HYFI 0148 - Cost payment</t>
  </si>
  <si>
    <t>HYFI 0149 - Cost payment</t>
  </si>
  <si>
    <t>IMR2 0037 - Cost payment</t>
  </si>
  <si>
    <t>IMR2 0039 - Cost payment</t>
  </si>
  <si>
    <t>IMR2 0038 - Cost payment</t>
  </si>
  <si>
    <t>SG 0016 - Cost payment</t>
  </si>
  <si>
    <t>SG 0017 - Cost payment</t>
  </si>
  <si>
    <t>SG 0018 - Cost payment</t>
  </si>
  <si>
    <t>YH Polymer Sdn Bhd</t>
  </si>
  <si>
    <t>YH Polymer - 11th Cost Payment</t>
  </si>
  <si>
    <t>Account 501198</t>
  </si>
  <si>
    <t>Rizman Ruzaini Creations (M)</t>
  </si>
  <si>
    <t>Rizman TFi-3 - 6th Cost Payment</t>
  </si>
  <si>
    <t>Account 501203</t>
  </si>
  <si>
    <t>Marine Creation 4 - 12th Cost Payment</t>
  </si>
  <si>
    <t>Account 501204</t>
  </si>
  <si>
    <t>TF-i 5</t>
  </si>
  <si>
    <t>Marine Creation 5 - 12th Cost Payment</t>
  </si>
  <si>
    <t>Account 501205</t>
  </si>
  <si>
    <t>Rizman RCi - Cost Payment (Rollover 3rd Disb)</t>
  </si>
  <si>
    <t>Rizman RCi - Cost Payment (Rollover 4th Disb)</t>
  </si>
  <si>
    <t>FE2 0037 - Cost payment</t>
  </si>
  <si>
    <t>Hextar Global Berhad</t>
  </si>
  <si>
    <t>Hextar Global TFi - 12th Cost Payment</t>
  </si>
  <si>
    <t>Account 501210</t>
  </si>
  <si>
    <t>MS 0014 - Cost payment</t>
  </si>
  <si>
    <t>MS 0018 - Cost payment</t>
  </si>
  <si>
    <t>MS 0019 - Cost payment</t>
  </si>
  <si>
    <t>MS 0017 - Cost payment</t>
  </si>
  <si>
    <t>MS 0016 - Cost payment</t>
  </si>
  <si>
    <t>MS 0015 - Cost payment</t>
  </si>
  <si>
    <t>JFC Food Industries Sdn Bhd</t>
  </si>
  <si>
    <t>JFC Food - 3rd Cost Payment</t>
  </si>
  <si>
    <t>Account 501215</t>
  </si>
  <si>
    <t>TF-i 7</t>
  </si>
  <si>
    <t>Taiace Energy TFi7 - 4th Cost Payment</t>
  </si>
  <si>
    <t>Account 501217</t>
  </si>
  <si>
    <t>13.12.2025</t>
  </si>
  <si>
    <t>PUSAN 0015 - Cost payment</t>
  </si>
  <si>
    <t>PUSAN 0014 - Cost payment</t>
  </si>
  <si>
    <t>MW 0031 - Cost payment</t>
  </si>
  <si>
    <t>MW 0032 - Cost payment</t>
  </si>
  <si>
    <t>MW 0033 - Cost payment</t>
  </si>
  <si>
    <t>PTSG2 0029 - Cost payment</t>
  </si>
  <si>
    <t>PTSG2 0032 - Cost payment</t>
  </si>
  <si>
    <t>PTSG2 0031 - Cost payment</t>
  </si>
  <si>
    <t>PTSG2 0030 - Cost payment</t>
  </si>
  <si>
    <t>PTSG2 0033 - Cost payment</t>
  </si>
  <si>
    <t>PTSG2 0034 - Cost payment</t>
  </si>
  <si>
    <t>PTSG2 0035 - Cost payment</t>
  </si>
  <si>
    <t>Account 501224</t>
  </si>
  <si>
    <t>Sunnite Timur Sdn. Bhd.</t>
  </si>
  <si>
    <t>ST 0001 - Cost payment</t>
  </si>
  <si>
    <t>Account 501225</t>
  </si>
  <si>
    <t>ATP 0009 - Cost payment</t>
  </si>
  <si>
    <t>ATP 0008 - Cost payment</t>
  </si>
  <si>
    <t>ATP 0007 - Cost payment</t>
  </si>
  <si>
    <t>ATP 0006 - Cost payment</t>
  </si>
  <si>
    <t>ATP 0005 - Cost payment</t>
  </si>
  <si>
    <t>ATP 0020 - Cost payment</t>
  </si>
  <si>
    <t>ATP 0019 - Cost payment</t>
  </si>
  <si>
    <t>ATP 0021 - Cost payment</t>
  </si>
  <si>
    <t>ATP 0018 - Cost payment</t>
  </si>
  <si>
    <t>ATP 0017 - Cost payment</t>
  </si>
  <si>
    <t>ATP 0016 - Cost payment</t>
  </si>
  <si>
    <t>ATP 0024 - Cost payment</t>
  </si>
  <si>
    <t>ATP 0023 - Cost payment</t>
  </si>
  <si>
    <t>ATP 0022 - Cost payment</t>
  </si>
  <si>
    <t>ATP 0010 - Cost payment</t>
  </si>
  <si>
    <t>ATP 0015 - Cost payment</t>
  </si>
  <si>
    <t>ATP 0014 - Cost payment</t>
  </si>
  <si>
    <t>ATP 0013 - Cost payment</t>
  </si>
  <si>
    <t>ATP 0011 - Cost payment</t>
  </si>
  <si>
    <t>ATP 0012 - Cost payment</t>
  </si>
  <si>
    <t>Confast Mobile TFi - 7th Cost Payment</t>
  </si>
  <si>
    <t>Account 501233</t>
  </si>
  <si>
    <t>Confast RCi - Cost Payment (Rollover 3rd Disb)</t>
  </si>
  <si>
    <t>OMS 0024 - Cost payment</t>
  </si>
  <si>
    <t>OMS 0023 - Cost payment</t>
  </si>
  <si>
    <t>OMS 0028 - Cost payment</t>
  </si>
  <si>
    <t>iRadar Sdn Bhd</t>
  </si>
  <si>
    <t>IRRC 0001 - Cost payment</t>
  </si>
  <si>
    <t>Account 501245</t>
  </si>
  <si>
    <t>Marrybrown Australia Pty Ltd</t>
  </si>
  <si>
    <t>Marrybrown - 6th Cost Payment</t>
  </si>
  <si>
    <t>Account 501248</t>
  </si>
  <si>
    <t>Marrybrown TFi2 - 6th Cost Payment</t>
  </si>
  <si>
    <t>Account 501249</t>
  </si>
  <si>
    <t>TFi-3 - SUB1</t>
  </si>
  <si>
    <t>Marrybrown TFi3 (S1) - 4th Cost Payment</t>
  </si>
  <si>
    <t>Account 501250</t>
  </si>
  <si>
    <t>Marrybrown Deer Park Pty Ltd</t>
  </si>
  <si>
    <t>Marrybrown Deer - 6th Cost Payemnt</t>
  </si>
  <si>
    <t>Account 501251</t>
  </si>
  <si>
    <t>MB Burwood Pty Ltd</t>
  </si>
  <si>
    <t>MB Burwood - 6th Cost Payment</t>
  </si>
  <si>
    <t>Account 501252</t>
  </si>
  <si>
    <t>MB Melbourne Central Pty Ltd</t>
  </si>
  <si>
    <t>MB Melbourne - 6th Cost Payment</t>
  </si>
  <si>
    <t>Account 501253</t>
  </si>
  <si>
    <t>NKR 0012 - Cost payment</t>
  </si>
  <si>
    <t>NKR 0011 - Cost payment</t>
  </si>
  <si>
    <t>Fuciphagus Agritech Sdn Bhd</t>
  </si>
  <si>
    <t>21.12.2025</t>
  </si>
  <si>
    <t>Fuciphagus - Cost Payment</t>
  </si>
  <si>
    <t>Account 501256</t>
  </si>
  <si>
    <t>Whitex RCi - Cost Payment</t>
  </si>
  <si>
    <t>SKS Claremont Pty Ltd</t>
  </si>
  <si>
    <t>SKS Claremont TFi1 - 5th Cost Payment</t>
  </si>
  <si>
    <t>Account 501262</t>
  </si>
  <si>
    <t>PF 0001 - Repayment (EXTENSION PF 0002)</t>
  </si>
  <si>
    <t>KWM 0016 - Cost payment</t>
  </si>
  <si>
    <t>KWM 0029 - Cost payment</t>
  </si>
  <si>
    <t>TFi-3 - SUB2</t>
  </si>
  <si>
    <t>Marrybrown TFi3 (S2) - 4th Cost Payment</t>
  </si>
  <si>
    <t>Account 501271</t>
  </si>
  <si>
    <t>TFi-3 - SUB3</t>
  </si>
  <si>
    <t>Marrybrown TFi3 (S3) - 4th Cost Payment</t>
  </si>
  <si>
    <t>Account 501272</t>
  </si>
  <si>
    <t>TFi-3 - SUB4</t>
  </si>
  <si>
    <t>Marrybrown TFi3 (S4) - 4th Cost Payment</t>
  </si>
  <si>
    <t>Account 501273</t>
  </si>
  <si>
    <t>TFi-3 - SUB5</t>
  </si>
  <si>
    <t>Marrybrown TFi3 (S5) - 4th Cost Payment</t>
  </si>
  <si>
    <t>Account 501274</t>
  </si>
  <si>
    <t>06.12.2025</t>
  </si>
  <si>
    <t>Agro 19 TFi-1 (T2) - 3rd Cost Payment</t>
  </si>
  <si>
    <t>SKS Claremont TFi2 - 2nd Cost Payment</t>
  </si>
  <si>
    <t>Account 501299</t>
  </si>
  <si>
    <t>YH POLYMER SDN. BHD</t>
  </si>
  <si>
    <t>YH Polymer -  1st Cost Payment</t>
  </si>
  <si>
    <t>Account 501307</t>
  </si>
  <si>
    <t>DISBURSEMENT &amp; REPAYMENT - NOVEMBER 2025</t>
  </si>
  <si>
    <t>DISBURSEMENT ISLAMIC</t>
  </si>
  <si>
    <t>REPAYMENT ISLAMIC</t>
  </si>
  <si>
    <t>DISBURSEMENT CONVENTIONAL</t>
  </si>
  <si>
    <t>REPAYMENT CONVENTIONAL</t>
  </si>
  <si>
    <t>TOTAL DISBURSEMENT</t>
  </si>
  <si>
    <t>TOTAL REPAYMENT</t>
  </si>
  <si>
    <t>DISBURSEMENT &amp; REPAYMENT - OCTOBER 2025</t>
  </si>
  <si>
    <t>DISBURSEMENT &amp; REPAYMENT - SEPTEMBER 2025</t>
  </si>
  <si>
    <t>DISBURSEMENT &amp; REPAYMENT - AUGUST 2025</t>
  </si>
  <si>
    <t>DISBURSEMENT &amp; REPAYMENT - JULY 2025</t>
  </si>
  <si>
    <t>DISBURSEMENT &amp; REPAYMENT - JUNE 2025</t>
  </si>
  <si>
    <t>DISBURSEMENT &amp; REPAYMENT - MAY 2025</t>
  </si>
  <si>
    <t>DISBURSEMENT &amp; REPAYMENT - APRIL 2025</t>
  </si>
  <si>
    <t>DISBURSEMENT &amp; REPAYMENT - MARCH 2025</t>
  </si>
  <si>
    <t>DISBURSEMENT &amp; REPAYMENT - FEBRUARY 2025</t>
  </si>
  <si>
    <t>DISBURSEMENT &amp; REPAYMENT - JANUARY 2025</t>
  </si>
  <si>
    <t>DISBURSEMENT &amp; REPAYMENT -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</si>
</sst>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72"/>
      <family val="2"/>
    </font>
    <font>
      <b/>
      <sz val="9"/>
      <color theme="1"/>
      <name val="72"/>
      <family val="2"/>
    </font>
    <font>
      <b/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4" fontId="18" fillId="33" borderId="0" xfId="0" applyNumberFormat="1" applyFont="1" applyFill="1"/>
    <xf numFmtId="0" fontId="19" fillId="34" borderId="0" xfId="0" applyFont="1" applyFill="1"/>
    <xf numFmtId="4" fontId="19" fillId="34" borderId="0" xfId="0" applyNumberFormat="1" applyFont="1" applyFill="1"/>
    <xf numFmtId="4" fontId="19" fillId="33" borderId="0" xfId="0" applyNumberFormat="1" applyFont="1" applyFill="1"/>
    <xf numFmtId="43" fontId="0" fillId="0" borderId="0" xfId="1" applyFont="1"/>
    <xf numFmtId="0" fontId="16" fillId="0" borderId="10" xfId="0" applyFont="1" applyBorder="1"/>
    <xf numFmtId="0" fontId="2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ill>
        <patternFill patternType="solid">
          <fgColor rgb="FFDAE9F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BD40-6F28-4D79-A11C-AAD19F5238CF}">
  <dimension ref="A2:Q1142"/>
  <sheetViews>
    <sheetView tabSelected="1" topLeftCell="A749" workbookViewId="0">
      <selection activeCell="K765" sqref="K765"/>
    </sheetView>
  </sheetViews>
  <sheetFormatPr defaultRowHeight="11.4" x14ac:dyDescent="0.2"/>
  <cols>
    <col min="1" max="4" width="8.88671875" style="1"/>
    <col min="5" max="5" width="12.109375" style="1" bestFit="1" customWidth="1"/>
    <col min="6" max="6" width="9" style="1" bestFit="1" customWidth="1"/>
    <col min="7" max="10" width="8.88671875" style="1"/>
    <col min="11" max="11" width="15.109375" style="1" bestFit="1" customWidth="1"/>
    <col min="12" max="13" width="8.88671875" style="1"/>
    <col min="14" max="14" width="15.109375" style="1" bestFit="1" customWidth="1"/>
    <col min="15" max="16" width="8.88671875" style="1"/>
    <col min="17" max="17" width="9" style="1" bestFit="1" customWidth="1"/>
    <col min="18" max="16384" width="8.88671875" style="1"/>
  </cols>
  <sheetData>
    <row r="2" spans="1:17" x14ac:dyDescent="0.2">
      <c r="A2" s="1" t="s">
        <v>0</v>
      </c>
      <c r="F2" s="1">
        <v>500605</v>
      </c>
    </row>
    <row r="3" spans="1:17" x14ac:dyDescent="0.2">
      <c r="A3" s="1" t="s">
        <v>1</v>
      </c>
      <c r="F3" s="1" t="s">
        <v>40</v>
      </c>
    </row>
    <row r="5" spans="1:17" x14ac:dyDescent="0.2">
      <c r="A5" s="1" t="s">
        <v>3</v>
      </c>
      <c r="F5" s="1" t="s">
        <v>41</v>
      </c>
    </row>
    <row r="6" spans="1:17" x14ac:dyDescent="0.2">
      <c r="A6" s="1" t="s">
        <v>5</v>
      </c>
      <c r="F6" s="1" t="s">
        <v>42</v>
      </c>
    </row>
    <row r="9" spans="1:17" x14ac:dyDescent="0.2">
      <c r="C9" s="1" t="s">
        <v>6</v>
      </c>
      <c r="D9" s="1" t="s">
        <v>7</v>
      </c>
      <c r="E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</row>
    <row r="11" spans="1:17" x14ac:dyDescent="0.2">
      <c r="D11" s="1" t="s">
        <v>43</v>
      </c>
      <c r="E11" s="1">
        <v>103327163</v>
      </c>
      <c r="G11" s="1" t="s">
        <v>44</v>
      </c>
      <c r="I11" s="1" t="s">
        <v>44</v>
      </c>
      <c r="K11" s="2">
        <v>1722210</v>
      </c>
      <c r="L11" s="1" t="s">
        <v>22</v>
      </c>
      <c r="N11" s="2">
        <v>417000</v>
      </c>
      <c r="O11" s="1" t="s">
        <v>31</v>
      </c>
      <c r="P11" s="1" t="s">
        <v>45</v>
      </c>
      <c r="Q11" s="1">
        <v>4.13</v>
      </c>
    </row>
    <row r="12" spans="1:17" x14ac:dyDescent="0.2">
      <c r="D12" s="1" t="s">
        <v>43</v>
      </c>
      <c r="E12" s="1">
        <v>103327220</v>
      </c>
      <c r="G12" s="1" t="s">
        <v>46</v>
      </c>
      <c r="I12" s="1" t="s">
        <v>46</v>
      </c>
      <c r="K12" s="2">
        <v>1757105</v>
      </c>
      <c r="L12" s="1" t="s">
        <v>22</v>
      </c>
      <c r="N12" s="2">
        <v>427000</v>
      </c>
      <c r="O12" s="1" t="s">
        <v>31</v>
      </c>
      <c r="P12" s="1" t="s">
        <v>47</v>
      </c>
      <c r="Q12" s="1">
        <v>4.1150000000000002</v>
      </c>
    </row>
    <row r="13" spans="1:17" x14ac:dyDescent="0.2">
      <c r="D13" s="1" t="s">
        <v>43</v>
      </c>
      <c r="E13" s="1">
        <v>103327239</v>
      </c>
      <c r="G13" s="1" t="s">
        <v>48</v>
      </c>
      <c r="I13" s="1" t="s">
        <v>48</v>
      </c>
      <c r="K13" s="2">
        <v>1710117</v>
      </c>
      <c r="L13" s="1" t="s">
        <v>22</v>
      </c>
      <c r="N13" s="2">
        <v>417000</v>
      </c>
      <c r="O13" s="1" t="s">
        <v>31</v>
      </c>
      <c r="P13" s="1" t="s">
        <v>49</v>
      </c>
      <c r="Q13" s="1">
        <v>4.101</v>
      </c>
    </row>
    <row r="14" spans="1:17" x14ac:dyDescent="0.2">
      <c r="D14" s="1" t="s">
        <v>43</v>
      </c>
      <c r="E14" s="1">
        <v>103327276</v>
      </c>
      <c r="G14" s="1" t="s">
        <v>50</v>
      </c>
      <c r="I14" s="1" t="s">
        <v>50</v>
      </c>
      <c r="K14" s="2">
        <v>2200198</v>
      </c>
      <c r="L14" s="1" t="s">
        <v>22</v>
      </c>
      <c r="N14" s="2">
        <v>539000</v>
      </c>
      <c r="O14" s="1" t="s">
        <v>31</v>
      </c>
      <c r="P14" s="1" t="s">
        <v>51</v>
      </c>
      <c r="Q14" s="1">
        <v>4.0819999999999999</v>
      </c>
    </row>
    <row r="16" spans="1:17" x14ac:dyDescent="0.2">
      <c r="B16" s="1" t="s">
        <v>25</v>
      </c>
      <c r="K16" s="2">
        <v>7389630</v>
      </c>
      <c r="L16" s="1" t="s">
        <v>22</v>
      </c>
      <c r="N16" s="2">
        <v>1800000</v>
      </c>
      <c r="O16" s="1" t="s">
        <v>31</v>
      </c>
    </row>
    <row r="18" spans="1:17" x14ac:dyDescent="0.2">
      <c r="A18" s="3"/>
      <c r="B18" s="3" t="s">
        <v>26</v>
      </c>
      <c r="C18" s="3" t="s">
        <v>52</v>
      </c>
      <c r="D18" s="3"/>
      <c r="E18" s="3"/>
      <c r="F18" s="3"/>
      <c r="G18" s="3"/>
      <c r="H18" s="3"/>
      <c r="I18" s="3"/>
      <c r="J18" s="3"/>
      <c r="K18" s="4">
        <v>7389630</v>
      </c>
      <c r="L18" s="3" t="s">
        <v>22</v>
      </c>
      <c r="M18" s="3"/>
      <c r="N18" s="4">
        <v>1800000</v>
      </c>
      <c r="O18" s="3" t="s">
        <v>31</v>
      </c>
      <c r="P18" s="3"/>
      <c r="Q18" s="3"/>
    </row>
    <row r="20" spans="1:17" x14ac:dyDescent="0.2">
      <c r="A20" s="1" t="s">
        <v>0</v>
      </c>
      <c r="F20" s="1">
        <v>500783</v>
      </c>
    </row>
    <row r="21" spans="1:17" x14ac:dyDescent="0.2">
      <c r="A21" s="1" t="s">
        <v>1</v>
      </c>
      <c r="F21" s="1" t="s">
        <v>40</v>
      </c>
    </row>
    <row r="23" spans="1:17" x14ac:dyDescent="0.2">
      <c r="A23" s="1" t="s">
        <v>3</v>
      </c>
      <c r="F23" s="1" t="s">
        <v>53</v>
      </c>
    </row>
    <row r="24" spans="1:17" x14ac:dyDescent="0.2">
      <c r="A24" s="1" t="s">
        <v>5</v>
      </c>
    </row>
    <row r="27" spans="1:17" x14ac:dyDescent="0.2">
      <c r="C27" s="1" t="s">
        <v>6</v>
      </c>
      <c r="D27" s="1" t="s">
        <v>7</v>
      </c>
      <c r="E27" s="1" t="s">
        <v>8</v>
      </c>
      <c r="G27" s="1" t="s">
        <v>9</v>
      </c>
      <c r="H27" s="1" t="s">
        <v>10</v>
      </c>
      <c r="I27" s="1" t="s">
        <v>11</v>
      </c>
      <c r="J27" s="1" t="s">
        <v>12</v>
      </c>
      <c r="K27" s="1" t="s">
        <v>13</v>
      </c>
      <c r="L27" s="1" t="s">
        <v>14</v>
      </c>
      <c r="M27" s="1" t="s">
        <v>15</v>
      </c>
      <c r="N27" s="1" t="s">
        <v>16</v>
      </c>
      <c r="O27" s="1" t="s">
        <v>17</v>
      </c>
      <c r="P27" s="1" t="s">
        <v>18</v>
      </c>
      <c r="Q27" s="1" t="s">
        <v>19</v>
      </c>
    </row>
    <row r="29" spans="1:17" x14ac:dyDescent="0.2">
      <c r="D29" s="1" t="s">
        <v>43</v>
      </c>
      <c r="E29" s="1">
        <v>103327188</v>
      </c>
      <c r="G29" s="1" t="s">
        <v>54</v>
      </c>
      <c r="I29" s="1" t="s">
        <v>54</v>
      </c>
      <c r="K29" s="2">
        <v>3000000</v>
      </c>
      <c r="L29" s="1" t="s">
        <v>22</v>
      </c>
      <c r="N29" s="2">
        <v>3000000</v>
      </c>
      <c r="O29" s="1" t="s">
        <v>22</v>
      </c>
      <c r="P29" s="1" t="s">
        <v>55</v>
      </c>
      <c r="Q29" s="1">
        <v>1</v>
      </c>
    </row>
    <row r="30" spans="1:17" x14ac:dyDescent="0.2">
      <c r="D30" s="1" t="s">
        <v>43</v>
      </c>
      <c r="E30" s="1">
        <v>103327189</v>
      </c>
      <c r="G30" s="1" t="s">
        <v>54</v>
      </c>
      <c r="I30" s="1" t="s">
        <v>54</v>
      </c>
      <c r="K30" s="2">
        <v>2000000</v>
      </c>
      <c r="L30" s="1" t="s">
        <v>22</v>
      </c>
      <c r="N30" s="2">
        <v>2000000</v>
      </c>
      <c r="O30" s="1" t="s">
        <v>22</v>
      </c>
      <c r="P30" s="1" t="s">
        <v>56</v>
      </c>
      <c r="Q30" s="1">
        <v>1</v>
      </c>
    </row>
    <row r="31" spans="1:17" x14ac:dyDescent="0.2">
      <c r="D31" s="1" t="s">
        <v>43</v>
      </c>
      <c r="E31" s="1">
        <v>103327210</v>
      </c>
      <c r="G31" s="1" t="s">
        <v>57</v>
      </c>
      <c r="I31" s="1" t="s">
        <v>57</v>
      </c>
      <c r="K31" s="2">
        <v>2000000</v>
      </c>
      <c r="L31" s="1" t="s">
        <v>22</v>
      </c>
      <c r="N31" s="2">
        <v>2000000</v>
      </c>
      <c r="O31" s="1" t="s">
        <v>22</v>
      </c>
      <c r="P31" s="1" t="s">
        <v>58</v>
      </c>
      <c r="Q31" s="1">
        <v>1</v>
      </c>
    </row>
    <row r="32" spans="1:17" x14ac:dyDescent="0.2">
      <c r="D32" s="1" t="s">
        <v>43</v>
      </c>
      <c r="E32" s="1">
        <v>103327263</v>
      </c>
      <c r="G32" s="1" t="s">
        <v>59</v>
      </c>
      <c r="I32" s="1" t="s">
        <v>59</v>
      </c>
      <c r="K32" s="2">
        <v>2000000</v>
      </c>
      <c r="L32" s="1" t="s">
        <v>22</v>
      </c>
      <c r="N32" s="2">
        <v>2000000</v>
      </c>
      <c r="O32" s="1" t="s">
        <v>22</v>
      </c>
      <c r="P32" s="1" t="s">
        <v>60</v>
      </c>
      <c r="Q32" s="1">
        <v>1</v>
      </c>
    </row>
    <row r="33" spans="1:17" x14ac:dyDescent="0.2">
      <c r="D33" s="1" t="s">
        <v>43</v>
      </c>
      <c r="E33" s="1">
        <v>103327281</v>
      </c>
      <c r="G33" s="1" t="s">
        <v>61</v>
      </c>
      <c r="I33" s="1" t="s">
        <v>61</v>
      </c>
      <c r="K33" s="2">
        <v>2000000</v>
      </c>
      <c r="L33" s="1" t="s">
        <v>22</v>
      </c>
      <c r="N33" s="2">
        <v>2000000</v>
      </c>
      <c r="O33" s="1" t="s">
        <v>22</v>
      </c>
      <c r="P33" s="1" t="s">
        <v>62</v>
      </c>
      <c r="Q33" s="1">
        <v>1</v>
      </c>
    </row>
    <row r="34" spans="1:17" x14ac:dyDescent="0.2">
      <c r="D34" s="1" t="s">
        <v>43</v>
      </c>
      <c r="E34" s="1">
        <v>103327335</v>
      </c>
      <c r="G34" s="1" t="s">
        <v>36</v>
      </c>
      <c r="I34" s="1" t="s">
        <v>36</v>
      </c>
      <c r="K34" s="2">
        <v>3000000</v>
      </c>
      <c r="L34" s="1" t="s">
        <v>22</v>
      </c>
      <c r="N34" s="2">
        <v>3000000</v>
      </c>
      <c r="O34" s="1" t="s">
        <v>22</v>
      </c>
      <c r="P34" s="1" t="s">
        <v>63</v>
      </c>
      <c r="Q34" s="1">
        <v>1</v>
      </c>
    </row>
    <row r="35" spans="1:17" x14ac:dyDescent="0.2">
      <c r="D35" s="1" t="s">
        <v>43</v>
      </c>
      <c r="E35" s="1">
        <v>103327723</v>
      </c>
      <c r="G35" s="1" t="s">
        <v>64</v>
      </c>
      <c r="I35" s="1" t="s">
        <v>64</v>
      </c>
      <c r="K35" s="2">
        <v>3000000</v>
      </c>
      <c r="L35" s="1" t="s">
        <v>22</v>
      </c>
      <c r="N35" s="2">
        <v>3000000</v>
      </c>
      <c r="O35" s="1" t="s">
        <v>22</v>
      </c>
      <c r="P35" s="1" t="s">
        <v>65</v>
      </c>
      <c r="Q35" s="1">
        <v>1</v>
      </c>
    </row>
    <row r="36" spans="1:17" x14ac:dyDescent="0.2">
      <c r="D36" s="1" t="s">
        <v>43</v>
      </c>
      <c r="E36" s="1">
        <v>103327753</v>
      </c>
      <c r="G36" s="1" t="s">
        <v>66</v>
      </c>
      <c r="I36" s="1" t="s">
        <v>66</v>
      </c>
      <c r="K36" s="2">
        <v>2000000</v>
      </c>
      <c r="L36" s="1" t="s">
        <v>22</v>
      </c>
      <c r="N36" s="2">
        <v>2000000</v>
      </c>
      <c r="O36" s="1" t="s">
        <v>22</v>
      </c>
      <c r="P36" s="1" t="s">
        <v>67</v>
      </c>
      <c r="Q36" s="1">
        <v>1</v>
      </c>
    </row>
    <row r="38" spans="1:17" x14ac:dyDescent="0.2">
      <c r="B38" s="1" t="s">
        <v>25</v>
      </c>
      <c r="K38" s="2">
        <v>19000000</v>
      </c>
      <c r="L38" s="1" t="s">
        <v>22</v>
      </c>
      <c r="N38" s="2">
        <v>19000000</v>
      </c>
      <c r="O38" s="1" t="s">
        <v>22</v>
      </c>
    </row>
    <row r="40" spans="1:17" x14ac:dyDescent="0.2">
      <c r="A40" s="3"/>
      <c r="B40" s="3" t="s">
        <v>26</v>
      </c>
      <c r="C40" s="3" t="s">
        <v>68</v>
      </c>
      <c r="D40" s="3"/>
      <c r="E40" s="3"/>
      <c r="F40" s="3"/>
      <c r="G40" s="3"/>
      <c r="H40" s="3"/>
      <c r="I40" s="3"/>
      <c r="J40" s="3"/>
      <c r="K40" s="4">
        <v>19000000</v>
      </c>
      <c r="L40" s="3" t="s">
        <v>22</v>
      </c>
      <c r="M40" s="3"/>
      <c r="N40" s="4">
        <v>19000000</v>
      </c>
      <c r="O40" s="3" t="s">
        <v>22</v>
      </c>
      <c r="P40" s="3"/>
      <c r="Q40" s="3"/>
    </row>
    <row r="42" spans="1:17" x14ac:dyDescent="0.2">
      <c r="A42" s="1" t="s">
        <v>0</v>
      </c>
      <c r="F42" s="1">
        <v>500784</v>
      </c>
    </row>
    <row r="43" spans="1:17" x14ac:dyDescent="0.2">
      <c r="A43" s="1" t="s">
        <v>1</v>
      </c>
      <c r="F43" s="1" t="s">
        <v>40</v>
      </c>
    </row>
    <row r="45" spans="1:17" x14ac:dyDescent="0.2">
      <c r="A45" s="1" t="s">
        <v>3</v>
      </c>
      <c r="F45" s="1" t="s">
        <v>69</v>
      </c>
    </row>
    <row r="46" spans="1:17" x14ac:dyDescent="0.2">
      <c r="A46" s="1" t="s">
        <v>5</v>
      </c>
      <c r="F46" s="1" t="s">
        <v>70</v>
      </c>
    </row>
    <row r="49" spans="1:17" x14ac:dyDescent="0.2">
      <c r="C49" s="1" t="s">
        <v>6</v>
      </c>
      <c r="D49" s="1" t="s">
        <v>7</v>
      </c>
      <c r="E49" s="1" t="s">
        <v>8</v>
      </c>
      <c r="G49" s="1" t="s">
        <v>9</v>
      </c>
      <c r="H49" s="1" t="s">
        <v>10</v>
      </c>
      <c r="I49" s="1" t="s">
        <v>11</v>
      </c>
      <c r="J49" s="1" t="s">
        <v>12</v>
      </c>
      <c r="K49" s="1" t="s">
        <v>13</v>
      </c>
      <c r="L49" s="1" t="s">
        <v>14</v>
      </c>
      <c r="M49" s="1" t="s">
        <v>15</v>
      </c>
      <c r="N49" s="1" t="s">
        <v>16</v>
      </c>
      <c r="O49" s="1" t="s">
        <v>17</v>
      </c>
      <c r="P49" s="1" t="s">
        <v>18</v>
      </c>
      <c r="Q49" s="1" t="s">
        <v>19</v>
      </c>
    </row>
    <row r="51" spans="1:17" x14ac:dyDescent="0.2">
      <c r="D51" s="1" t="s">
        <v>43</v>
      </c>
      <c r="E51" s="1">
        <v>103327193</v>
      </c>
      <c r="G51" s="1" t="s">
        <v>54</v>
      </c>
      <c r="I51" s="1" t="s">
        <v>54</v>
      </c>
      <c r="K51" s="2">
        <v>38000000</v>
      </c>
      <c r="L51" s="1" t="s">
        <v>22</v>
      </c>
      <c r="N51" s="2">
        <v>38000000</v>
      </c>
      <c r="O51" s="1" t="s">
        <v>22</v>
      </c>
      <c r="P51" s="1" t="s">
        <v>71</v>
      </c>
      <c r="Q51" s="1">
        <v>1</v>
      </c>
    </row>
    <row r="52" spans="1:17" x14ac:dyDescent="0.2">
      <c r="D52" s="1" t="s">
        <v>43</v>
      </c>
      <c r="E52" s="1">
        <v>103327200</v>
      </c>
      <c r="G52" s="1" t="s">
        <v>21</v>
      </c>
      <c r="I52" s="1" t="s">
        <v>21</v>
      </c>
      <c r="K52" s="2">
        <v>33000000</v>
      </c>
      <c r="L52" s="1" t="s">
        <v>22</v>
      </c>
      <c r="N52" s="2">
        <v>33000000</v>
      </c>
      <c r="O52" s="1" t="s">
        <v>22</v>
      </c>
      <c r="P52" s="1" t="s">
        <v>72</v>
      </c>
      <c r="Q52" s="1">
        <v>1</v>
      </c>
    </row>
    <row r="53" spans="1:17" x14ac:dyDescent="0.2">
      <c r="D53" s="1" t="s">
        <v>43</v>
      </c>
      <c r="E53" s="1">
        <v>103327206</v>
      </c>
      <c r="G53" s="1" t="s">
        <v>57</v>
      </c>
      <c r="I53" s="1" t="s">
        <v>57</v>
      </c>
      <c r="K53" s="2">
        <v>60000000</v>
      </c>
      <c r="L53" s="1" t="s">
        <v>22</v>
      </c>
      <c r="N53" s="2">
        <v>60000000</v>
      </c>
      <c r="O53" s="1" t="s">
        <v>22</v>
      </c>
      <c r="P53" s="1" t="s">
        <v>73</v>
      </c>
      <c r="Q53" s="1">
        <v>1</v>
      </c>
    </row>
    <row r="54" spans="1:17" x14ac:dyDescent="0.2">
      <c r="D54" s="1" t="s">
        <v>43</v>
      </c>
      <c r="E54" s="1">
        <v>103327207</v>
      </c>
      <c r="G54" s="1" t="s">
        <v>57</v>
      </c>
      <c r="I54" s="1" t="s">
        <v>57</v>
      </c>
      <c r="K54" s="2">
        <v>60000000</v>
      </c>
      <c r="L54" s="1" t="s">
        <v>22</v>
      </c>
      <c r="N54" s="2">
        <v>60000000</v>
      </c>
      <c r="O54" s="1" t="s">
        <v>22</v>
      </c>
      <c r="P54" s="1" t="s">
        <v>74</v>
      </c>
      <c r="Q54" s="1">
        <v>1</v>
      </c>
    </row>
    <row r="55" spans="1:17" x14ac:dyDescent="0.2">
      <c r="D55" s="1" t="s">
        <v>43</v>
      </c>
      <c r="E55" s="1">
        <v>103327334</v>
      </c>
      <c r="G55" s="1" t="s">
        <v>36</v>
      </c>
      <c r="I55" s="1" t="s">
        <v>36</v>
      </c>
      <c r="K55" s="2">
        <v>38000000</v>
      </c>
      <c r="L55" s="1" t="s">
        <v>22</v>
      </c>
      <c r="N55" s="2">
        <v>38000000</v>
      </c>
      <c r="O55" s="1" t="s">
        <v>22</v>
      </c>
      <c r="P55" s="1" t="s">
        <v>75</v>
      </c>
      <c r="Q55" s="1">
        <v>1</v>
      </c>
    </row>
    <row r="56" spans="1:17" x14ac:dyDescent="0.2">
      <c r="D56" s="1" t="s">
        <v>43</v>
      </c>
      <c r="E56" s="1">
        <v>103327352</v>
      </c>
      <c r="G56" s="1" t="s">
        <v>30</v>
      </c>
      <c r="I56" s="1" t="s">
        <v>30</v>
      </c>
      <c r="K56" s="2">
        <v>73000000</v>
      </c>
      <c r="L56" s="1" t="s">
        <v>22</v>
      </c>
      <c r="N56" s="2">
        <v>73000000</v>
      </c>
      <c r="O56" s="1" t="s">
        <v>22</v>
      </c>
      <c r="P56" s="1" t="s">
        <v>76</v>
      </c>
      <c r="Q56" s="1">
        <v>1</v>
      </c>
    </row>
    <row r="57" spans="1:17" x14ac:dyDescent="0.2">
      <c r="D57" s="1" t="s">
        <v>43</v>
      </c>
      <c r="E57" s="1">
        <v>103327556</v>
      </c>
      <c r="G57" s="1" t="s">
        <v>77</v>
      </c>
      <c r="I57" s="1" t="s">
        <v>77</v>
      </c>
      <c r="K57" s="2">
        <v>86000000</v>
      </c>
      <c r="L57" s="1" t="s">
        <v>22</v>
      </c>
      <c r="N57" s="2">
        <v>86000000</v>
      </c>
      <c r="O57" s="1" t="s">
        <v>22</v>
      </c>
      <c r="P57" s="1" t="s">
        <v>78</v>
      </c>
      <c r="Q57" s="1">
        <v>1</v>
      </c>
    </row>
    <row r="58" spans="1:17" x14ac:dyDescent="0.2">
      <c r="D58" s="1" t="s">
        <v>43</v>
      </c>
      <c r="E58" s="1">
        <v>103327725</v>
      </c>
      <c r="G58" s="1" t="s">
        <v>64</v>
      </c>
      <c r="I58" s="1" t="s">
        <v>64</v>
      </c>
      <c r="K58" s="2">
        <v>33000000</v>
      </c>
      <c r="L58" s="1" t="s">
        <v>22</v>
      </c>
      <c r="N58" s="2">
        <v>33000000</v>
      </c>
      <c r="O58" s="1" t="s">
        <v>22</v>
      </c>
      <c r="P58" s="1" t="s">
        <v>79</v>
      </c>
      <c r="Q58" s="1">
        <v>1</v>
      </c>
    </row>
    <row r="60" spans="1:17" x14ac:dyDescent="0.2">
      <c r="B60" s="1" t="s">
        <v>25</v>
      </c>
      <c r="K60" s="2">
        <v>421000000</v>
      </c>
      <c r="L60" s="1" t="s">
        <v>22</v>
      </c>
      <c r="N60" s="2">
        <v>421000000</v>
      </c>
      <c r="O60" s="1" t="s">
        <v>22</v>
      </c>
    </row>
    <row r="62" spans="1:17" x14ac:dyDescent="0.2">
      <c r="A62" s="3"/>
      <c r="B62" s="3" t="s">
        <v>26</v>
      </c>
      <c r="C62" s="3" t="s">
        <v>80</v>
      </c>
      <c r="D62" s="3"/>
      <c r="E62" s="3"/>
      <c r="F62" s="3"/>
      <c r="G62" s="3"/>
      <c r="H62" s="3"/>
      <c r="I62" s="3"/>
      <c r="J62" s="3"/>
      <c r="K62" s="4">
        <v>421000000</v>
      </c>
      <c r="L62" s="3" t="s">
        <v>22</v>
      </c>
      <c r="M62" s="3"/>
      <c r="N62" s="4">
        <v>421000000</v>
      </c>
      <c r="O62" s="3" t="s">
        <v>22</v>
      </c>
      <c r="P62" s="3"/>
      <c r="Q62" s="3"/>
    </row>
    <row r="64" spans="1:17" x14ac:dyDescent="0.2">
      <c r="A64" s="1" t="s">
        <v>0</v>
      </c>
      <c r="F64" s="1">
        <v>500790</v>
      </c>
    </row>
    <row r="65" spans="1:17" x14ac:dyDescent="0.2">
      <c r="A65" s="1" t="s">
        <v>1</v>
      </c>
      <c r="F65" s="1" t="s">
        <v>40</v>
      </c>
    </row>
    <row r="67" spans="1:17" x14ac:dyDescent="0.2">
      <c r="A67" s="1" t="s">
        <v>3</v>
      </c>
      <c r="F67" s="1" t="s">
        <v>81</v>
      </c>
    </row>
    <row r="68" spans="1:17" x14ac:dyDescent="0.2">
      <c r="A68" s="1" t="s">
        <v>5</v>
      </c>
    </row>
    <row r="71" spans="1:17" x14ac:dyDescent="0.2">
      <c r="C71" s="1" t="s">
        <v>6</v>
      </c>
      <c r="D71" s="1" t="s">
        <v>7</v>
      </c>
      <c r="E71" s="1" t="s">
        <v>8</v>
      </c>
      <c r="G71" s="1" t="s">
        <v>9</v>
      </c>
      <c r="H71" s="1" t="s">
        <v>10</v>
      </c>
      <c r="I71" s="1" t="s">
        <v>11</v>
      </c>
      <c r="J71" s="1" t="s">
        <v>12</v>
      </c>
      <c r="K71" s="1" t="s">
        <v>13</v>
      </c>
      <c r="L71" s="1" t="s">
        <v>14</v>
      </c>
      <c r="M71" s="1" t="s">
        <v>15</v>
      </c>
      <c r="N71" s="1" t="s">
        <v>16</v>
      </c>
      <c r="O71" s="1" t="s">
        <v>17</v>
      </c>
      <c r="P71" s="1" t="s">
        <v>18</v>
      </c>
      <c r="Q71" s="1" t="s">
        <v>19</v>
      </c>
    </row>
    <row r="73" spans="1:17" x14ac:dyDescent="0.2">
      <c r="D73" s="1" t="s">
        <v>43</v>
      </c>
      <c r="E73" s="1">
        <v>103327201</v>
      </c>
      <c r="G73" s="1" t="s">
        <v>21</v>
      </c>
      <c r="I73" s="1" t="s">
        <v>21</v>
      </c>
      <c r="K73" s="2">
        <v>3000000</v>
      </c>
      <c r="L73" s="1" t="s">
        <v>22</v>
      </c>
      <c r="N73" s="2">
        <v>3000000</v>
      </c>
      <c r="O73" s="1" t="s">
        <v>22</v>
      </c>
      <c r="P73" s="1" t="s">
        <v>82</v>
      </c>
      <c r="Q73" s="1">
        <v>1</v>
      </c>
    </row>
    <row r="74" spans="1:17" x14ac:dyDescent="0.2">
      <c r="D74" s="1" t="s">
        <v>43</v>
      </c>
      <c r="E74" s="1">
        <v>103327208</v>
      </c>
      <c r="G74" s="1" t="s">
        <v>57</v>
      </c>
      <c r="I74" s="1" t="s">
        <v>57</v>
      </c>
      <c r="K74" s="2">
        <v>4000000</v>
      </c>
      <c r="L74" s="1" t="s">
        <v>22</v>
      </c>
      <c r="N74" s="2">
        <v>4000000</v>
      </c>
      <c r="O74" s="1" t="s">
        <v>22</v>
      </c>
      <c r="P74" s="1" t="s">
        <v>83</v>
      </c>
      <c r="Q74" s="1">
        <v>1</v>
      </c>
    </row>
    <row r="75" spans="1:17" x14ac:dyDescent="0.2">
      <c r="D75" s="1" t="s">
        <v>43</v>
      </c>
      <c r="E75" s="1">
        <v>103327241</v>
      </c>
      <c r="G75" s="1" t="s">
        <v>48</v>
      </c>
      <c r="I75" s="1" t="s">
        <v>48</v>
      </c>
      <c r="K75" s="2">
        <v>4000000</v>
      </c>
      <c r="L75" s="1" t="s">
        <v>22</v>
      </c>
      <c r="N75" s="2">
        <v>4000000</v>
      </c>
      <c r="O75" s="1" t="s">
        <v>22</v>
      </c>
      <c r="P75" s="1" t="s">
        <v>84</v>
      </c>
      <c r="Q75" s="1">
        <v>1</v>
      </c>
    </row>
    <row r="76" spans="1:17" x14ac:dyDescent="0.2">
      <c r="D76" s="1" t="s">
        <v>43</v>
      </c>
      <c r="E76" s="1">
        <v>103327252</v>
      </c>
      <c r="G76" s="1" t="s">
        <v>85</v>
      </c>
      <c r="I76" s="1" t="s">
        <v>85</v>
      </c>
      <c r="K76" s="2">
        <v>3000000</v>
      </c>
      <c r="L76" s="1" t="s">
        <v>22</v>
      </c>
      <c r="N76" s="2">
        <v>3000000</v>
      </c>
      <c r="O76" s="1" t="s">
        <v>22</v>
      </c>
      <c r="P76" s="1" t="s">
        <v>86</v>
      </c>
      <c r="Q76" s="1">
        <v>1</v>
      </c>
    </row>
    <row r="77" spans="1:17" x14ac:dyDescent="0.2">
      <c r="D77" s="1" t="s">
        <v>43</v>
      </c>
      <c r="E77" s="1">
        <v>103327267</v>
      </c>
      <c r="G77" s="1" t="s">
        <v>50</v>
      </c>
      <c r="I77" s="1" t="s">
        <v>50</v>
      </c>
      <c r="K77" s="2">
        <v>3500000</v>
      </c>
      <c r="L77" s="1" t="s">
        <v>22</v>
      </c>
      <c r="N77" s="2">
        <v>3500000</v>
      </c>
      <c r="O77" s="1" t="s">
        <v>22</v>
      </c>
      <c r="P77" s="1" t="s">
        <v>87</v>
      </c>
      <c r="Q77" s="1">
        <v>1</v>
      </c>
    </row>
    <row r="78" spans="1:17" x14ac:dyDescent="0.2">
      <c r="D78" s="1" t="s">
        <v>43</v>
      </c>
      <c r="E78" s="1">
        <v>103327286</v>
      </c>
      <c r="G78" s="1" t="s">
        <v>88</v>
      </c>
      <c r="I78" s="1" t="s">
        <v>88</v>
      </c>
      <c r="K78" s="2">
        <v>3300000</v>
      </c>
      <c r="L78" s="1" t="s">
        <v>22</v>
      </c>
      <c r="N78" s="2">
        <v>3300000</v>
      </c>
      <c r="O78" s="1" t="s">
        <v>22</v>
      </c>
      <c r="P78" s="1" t="s">
        <v>89</v>
      </c>
      <c r="Q78" s="1">
        <v>1</v>
      </c>
    </row>
    <row r="79" spans="1:17" x14ac:dyDescent="0.2">
      <c r="D79" s="1" t="s">
        <v>43</v>
      </c>
      <c r="E79" s="1">
        <v>103327315</v>
      </c>
      <c r="G79" s="1" t="s">
        <v>90</v>
      </c>
      <c r="I79" s="1" t="s">
        <v>90</v>
      </c>
      <c r="K79" s="2">
        <v>3000000</v>
      </c>
      <c r="L79" s="1" t="s">
        <v>22</v>
      </c>
      <c r="N79" s="2">
        <v>3000000</v>
      </c>
      <c r="O79" s="1" t="s">
        <v>22</v>
      </c>
      <c r="P79" s="1" t="s">
        <v>91</v>
      </c>
      <c r="Q79" s="1">
        <v>1</v>
      </c>
    </row>
    <row r="80" spans="1:17" x14ac:dyDescent="0.2">
      <c r="D80" s="1" t="s">
        <v>43</v>
      </c>
      <c r="E80" s="1">
        <v>103327316</v>
      </c>
      <c r="G80" s="1" t="s">
        <v>90</v>
      </c>
      <c r="I80" s="1" t="s">
        <v>90</v>
      </c>
      <c r="K80" s="2">
        <v>3000000</v>
      </c>
      <c r="L80" s="1" t="s">
        <v>22</v>
      </c>
      <c r="N80" s="2">
        <v>3000000</v>
      </c>
      <c r="O80" s="1" t="s">
        <v>22</v>
      </c>
      <c r="P80" s="1" t="s">
        <v>92</v>
      </c>
      <c r="Q80" s="1">
        <v>1</v>
      </c>
    </row>
    <row r="81" spans="1:17" x14ac:dyDescent="0.2">
      <c r="D81" s="1" t="s">
        <v>43</v>
      </c>
      <c r="E81" s="1">
        <v>103327558</v>
      </c>
      <c r="G81" s="1" t="s">
        <v>77</v>
      </c>
      <c r="I81" s="1" t="s">
        <v>77</v>
      </c>
      <c r="K81" s="2">
        <v>3000000</v>
      </c>
      <c r="L81" s="1" t="s">
        <v>22</v>
      </c>
      <c r="N81" s="2">
        <v>3000000</v>
      </c>
      <c r="O81" s="1" t="s">
        <v>22</v>
      </c>
      <c r="P81" s="1" t="s">
        <v>93</v>
      </c>
      <c r="Q81" s="1">
        <v>1</v>
      </c>
    </row>
    <row r="82" spans="1:17" x14ac:dyDescent="0.2">
      <c r="D82" s="1" t="s">
        <v>43</v>
      </c>
      <c r="E82" s="1">
        <v>103327559</v>
      </c>
      <c r="G82" s="1" t="s">
        <v>77</v>
      </c>
      <c r="I82" s="1" t="s">
        <v>77</v>
      </c>
      <c r="K82" s="2">
        <v>4000000</v>
      </c>
      <c r="L82" s="1" t="s">
        <v>22</v>
      </c>
      <c r="N82" s="2">
        <v>4000000</v>
      </c>
      <c r="O82" s="1" t="s">
        <v>22</v>
      </c>
      <c r="P82" s="1" t="s">
        <v>94</v>
      </c>
      <c r="Q82" s="1">
        <v>1</v>
      </c>
    </row>
    <row r="83" spans="1:17" x14ac:dyDescent="0.2">
      <c r="D83" s="1" t="s">
        <v>43</v>
      </c>
      <c r="E83" s="1">
        <v>103327744</v>
      </c>
      <c r="G83" s="1" t="s">
        <v>66</v>
      </c>
      <c r="I83" s="1" t="s">
        <v>66</v>
      </c>
      <c r="K83" s="2">
        <v>2500000</v>
      </c>
      <c r="L83" s="1" t="s">
        <v>22</v>
      </c>
      <c r="N83" s="2">
        <v>2500000</v>
      </c>
      <c r="O83" s="1" t="s">
        <v>22</v>
      </c>
      <c r="P83" s="1" t="s">
        <v>95</v>
      </c>
      <c r="Q83" s="1">
        <v>1</v>
      </c>
    </row>
    <row r="85" spans="1:17" x14ac:dyDescent="0.2">
      <c r="B85" s="1" t="s">
        <v>25</v>
      </c>
      <c r="K85" s="2">
        <v>36300000</v>
      </c>
      <c r="L85" s="1" t="s">
        <v>22</v>
      </c>
      <c r="N85" s="2">
        <v>36300000</v>
      </c>
      <c r="O85" s="1" t="s">
        <v>22</v>
      </c>
    </row>
    <row r="87" spans="1:17" x14ac:dyDescent="0.2">
      <c r="A87" s="3"/>
      <c r="B87" s="3" t="s">
        <v>26</v>
      </c>
      <c r="C87" s="3" t="s">
        <v>96</v>
      </c>
      <c r="D87" s="3"/>
      <c r="E87" s="3"/>
      <c r="F87" s="3"/>
      <c r="G87" s="3"/>
      <c r="H87" s="3"/>
      <c r="I87" s="3"/>
      <c r="J87" s="3"/>
      <c r="K87" s="4">
        <v>36300000</v>
      </c>
      <c r="L87" s="3" t="s">
        <v>22</v>
      </c>
      <c r="M87" s="3"/>
      <c r="N87" s="4">
        <v>36300000</v>
      </c>
      <c r="O87" s="3" t="s">
        <v>22</v>
      </c>
      <c r="P87" s="3"/>
      <c r="Q87" s="3"/>
    </row>
    <row r="89" spans="1:17" x14ac:dyDescent="0.2">
      <c r="A89" s="1" t="s">
        <v>0</v>
      </c>
      <c r="F89" s="1">
        <v>500995</v>
      </c>
    </row>
    <row r="90" spans="1:17" x14ac:dyDescent="0.2">
      <c r="A90" s="1" t="s">
        <v>1</v>
      </c>
      <c r="F90" s="1" t="s">
        <v>40</v>
      </c>
    </row>
    <row r="92" spans="1:17" x14ac:dyDescent="0.2">
      <c r="A92" s="1" t="s">
        <v>3</v>
      </c>
      <c r="F92" s="1" t="s">
        <v>97</v>
      </c>
    </row>
    <row r="93" spans="1:17" x14ac:dyDescent="0.2">
      <c r="A93" s="1" t="s">
        <v>5</v>
      </c>
    </row>
    <row r="96" spans="1:17" x14ac:dyDescent="0.2">
      <c r="C96" s="1" t="s">
        <v>6</v>
      </c>
      <c r="D96" s="1" t="s">
        <v>7</v>
      </c>
      <c r="E96" s="1" t="s">
        <v>8</v>
      </c>
      <c r="G96" s="1" t="s">
        <v>9</v>
      </c>
      <c r="H96" s="1" t="s">
        <v>10</v>
      </c>
      <c r="I96" s="1" t="s">
        <v>11</v>
      </c>
      <c r="J96" s="1" t="s">
        <v>12</v>
      </c>
      <c r="K96" s="1" t="s">
        <v>13</v>
      </c>
      <c r="L96" s="1" t="s">
        <v>14</v>
      </c>
      <c r="M96" s="1" t="s">
        <v>15</v>
      </c>
      <c r="N96" s="1" t="s">
        <v>16</v>
      </c>
      <c r="O96" s="1" t="s">
        <v>17</v>
      </c>
      <c r="P96" s="1" t="s">
        <v>18</v>
      </c>
      <c r="Q96" s="1" t="s">
        <v>19</v>
      </c>
    </row>
    <row r="98" spans="1:17" x14ac:dyDescent="0.2">
      <c r="D98" s="1" t="s">
        <v>43</v>
      </c>
      <c r="E98" s="1">
        <v>103327268</v>
      </c>
      <c r="G98" s="1" t="s">
        <v>50</v>
      </c>
      <c r="I98" s="1" t="s">
        <v>50</v>
      </c>
      <c r="K98" s="2">
        <v>323000</v>
      </c>
      <c r="L98" s="1" t="s">
        <v>22</v>
      </c>
      <c r="N98" s="2">
        <v>323000</v>
      </c>
      <c r="O98" s="1" t="s">
        <v>22</v>
      </c>
      <c r="P98" s="1" t="s">
        <v>98</v>
      </c>
      <c r="Q98" s="1">
        <v>1</v>
      </c>
    </row>
    <row r="99" spans="1:17" x14ac:dyDescent="0.2">
      <c r="D99" s="1" t="s">
        <v>43</v>
      </c>
      <c r="E99" s="1">
        <v>103327726</v>
      </c>
      <c r="G99" s="1" t="s">
        <v>64</v>
      </c>
      <c r="I99" s="1" t="s">
        <v>64</v>
      </c>
      <c r="K99" s="2">
        <v>467000</v>
      </c>
      <c r="L99" s="1" t="s">
        <v>22</v>
      </c>
      <c r="N99" s="2">
        <v>467000</v>
      </c>
      <c r="O99" s="1" t="s">
        <v>22</v>
      </c>
      <c r="P99" s="1" t="s">
        <v>99</v>
      </c>
      <c r="Q99" s="1">
        <v>1</v>
      </c>
    </row>
    <row r="100" spans="1:17" x14ac:dyDescent="0.2">
      <c r="D100" s="1" t="s">
        <v>43</v>
      </c>
      <c r="E100" s="1">
        <v>1400013743</v>
      </c>
      <c r="G100" s="1" t="s">
        <v>57</v>
      </c>
      <c r="I100" s="1" t="s">
        <v>57</v>
      </c>
      <c r="K100" s="2">
        <v>890000</v>
      </c>
      <c r="L100" s="1" t="s">
        <v>22</v>
      </c>
      <c r="N100" s="2">
        <v>890000</v>
      </c>
      <c r="O100" s="1" t="s">
        <v>22</v>
      </c>
      <c r="P100" s="1" t="s">
        <v>100</v>
      </c>
      <c r="Q100" s="1">
        <v>1</v>
      </c>
    </row>
    <row r="101" spans="1:17" x14ac:dyDescent="0.2">
      <c r="D101" s="1" t="s">
        <v>43</v>
      </c>
      <c r="E101" s="1">
        <v>1400013775</v>
      </c>
      <c r="G101" s="1" t="s">
        <v>85</v>
      </c>
      <c r="I101" s="1" t="s">
        <v>85</v>
      </c>
      <c r="K101" s="2">
        <v>565000</v>
      </c>
      <c r="L101" s="1" t="s">
        <v>22</v>
      </c>
      <c r="N101" s="2">
        <v>565000</v>
      </c>
      <c r="O101" s="1" t="s">
        <v>22</v>
      </c>
      <c r="P101" s="1" t="s">
        <v>101</v>
      </c>
      <c r="Q101" s="1">
        <v>1</v>
      </c>
    </row>
    <row r="103" spans="1:17" x14ac:dyDescent="0.2">
      <c r="B103" s="1" t="s">
        <v>25</v>
      </c>
      <c r="K103" s="2">
        <v>2245000</v>
      </c>
      <c r="L103" s="1" t="s">
        <v>22</v>
      </c>
      <c r="N103" s="2">
        <v>2245000</v>
      </c>
      <c r="O103" s="1" t="s">
        <v>22</v>
      </c>
    </row>
    <row r="105" spans="1:17" x14ac:dyDescent="0.2">
      <c r="A105" s="3"/>
      <c r="B105" s="3" t="s">
        <v>26</v>
      </c>
      <c r="C105" s="3" t="s">
        <v>102</v>
      </c>
      <c r="D105" s="3"/>
      <c r="E105" s="3"/>
      <c r="F105" s="3"/>
      <c r="G105" s="3"/>
      <c r="H105" s="3"/>
      <c r="I105" s="3"/>
      <c r="J105" s="3"/>
      <c r="K105" s="4">
        <v>2245000</v>
      </c>
      <c r="L105" s="3" t="s">
        <v>22</v>
      </c>
      <c r="M105" s="3"/>
      <c r="N105" s="4">
        <v>2245000</v>
      </c>
      <c r="O105" s="3" t="s">
        <v>22</v>
      </c>
      <c r="P105" s="3"/>
      <c r="Q105" s="3"/>
    </row>
    <row r="107" spans="1:17" x14ac:dyDescent="0.2">
      <c r="A107" s="1" t="s">
        <v>0</v>
      </c>
      <c r="F107" s="1">
        <v>501105</v>
      </c>
    </row>
    <row r="108" spans="1:17" x14ac:dyDescent="0.2">
      <c r="A108" s="1" t="s">
        <v>1</v>
      </c>
      <c r="F108" s="1" t="s">
        <v>40</v>
      </c>
    </row>
    <row r="110" spans="1:17" x14ac:dyDescent="0.2">
      <c r="A110" s="1" t="s">
        <v>3</v>
      </c>
      <c r="F110" s="1" t="s">
        <v>103</v>
      </c>
    </row>
    <row r="111" spans="1:17" x14ac:dyDescent="0.2">
      <c r="A111" s="1" t="s">
        <v>5</v>
      </c>
      <c r="F111" s="1" t="s">
        <v>70</v>
      </c>
    </row>
    <row r="114" spans="1:17" x14ac:dyDescent="0.2">
      <c r="C114" s="1" t="s">
        <v>6</v>
      </c>
      <c r="D114" s="1" t="s">
        <v>7</v>
      </c>
      <c r="E114" s="1" t="s">
        <v>8</v>
      </c>
      <c r="G114" s="1" t="s">
        <v>9</v>
      </c>
      <c r="H114" s="1" t="s">
        <v>10</v>
      </c>
      <c r="I114" s="1" t="s">
        <v>11</v>
      </c>
      <c r="J114" s="1" t="s">
        <v>12</v>
      </c>
      <c r="K114" s="1" t="s">
        <v>13</v>
      </c>
      <c r="L114" s="1" t="s">
        <v>14</v>
      </c>
      <c r="M114" s="1" t="s">
        <v>15</v>
      </c>
      <c r="N114" s="1" t="s">
        <v>16</v>
      </c>
      <c r="O114" s="1" t="s">
        <v>17</v>
      </c>
      <c r="P114" s="1" t="s">
        <v>18</v>
      </c>
      <c r="Q114" s="1" t="s">
        <v>19</v>
      </c>
    </row>
    <row r="116" spans="1:17" x14ac:dyDescent="0.2">
      <c r="D116" s="1" t="s">
        <v>43</v>
      </c>
      <c r="E116" s="1">
        <v>103327175</v>
      </c>
      <c r="G116" s="1" t="s">
        <v>104</v>
      </c>
      <c r="I116" s="1" t="s">
        <v>104</v>
      </c>
      <c r="K116" s="2">
        <v>145635.75</v>
      </c>
      <c r="L116" s="1" t="s">
        <v>22</v>
      </c>
      <c r="N116" s="2">
        <v>145635.75</v>
      </c>
      <c r="O116" s="1" t="s">
        <v>22</v>
      </c>
      <c r="P116" s="1" t="s">
        <v>105</v>
      </c>
      <c r="Q116" s="1">
        <v>1</v>
      </c>
    </row>
    <row r="117" spans="1:17" x14ac:dyDescent="0.2">
      <c r="D117" s="1" t="s">
        <v>43</v>
      </c>
      <c r="E117" s="1">
        <v>2200006942</v>
      </c>
      <c r="G117" s="1" t="s">
        <v>104</v>
      </c>
      <c r="I117" s="1" t="s">
        <v>104</v>
      </c>
      <c r="K117" s="2">
        <v>1500.25</v>
      </c>
      <c r="L117" s="1" t="s">
        <v>22</v>
      </c>
      <c r="N117" s="2">
        <v>1500.25</v>
      </c>
      <c r="O117" s="1" t="s">
        <v>22</v>
      </c>
      <c r="P117" s="1" t="s">
        <v>105</v>
      </c>
      <c r="Q117" s="1">
        <v>1</v>
      </c>
    </row>
    <row r="119" spans="1:17" x14ac:dyDescent="0.2">
      <c r="B119" s="1" t="s">
        <v>25</v>
      </c>
      <c r="K119" s="2">
        <v>147136</v>
      </c>
      <c r="L119" s="1" t="s">
        <v>22</v>
      </c>
      <c r="N119" s="2">
        <v>147136</v>
      </c>
      <c r="O119" s="1" t="s">
        <v>22</v>
      </c>
    </row>
    <row r="121" spans="1:17" x14ac:dyDescent="0.2">
      <c r="A121" s="3"/>
      <c r="B121" s="3" t="s">
        <v>26</v>
      </c>
      <c r="C121" s="3" t="s">
        <v>106</v>
      </c>
      <c r="D121" s="3"/>
      <c r="E121" s="3"/>
      <c r="F121" s="3"/>
      <c r="G121" s="3"/>
      <c r="H121" s="3"/>
      <c r="I121" s="3"/>
      <c r="J121" s="3"/>
      <c r="K121" s="4">
        <v>147136</v>
      </c>
      <c r="L121" s="3" t="s">
        <v>22</v>
      </c>
      <c r="M121" s="3"/>
      <c r="N121" s="4">
        <v>147136</v>
      </c>
      <c r="O121" s="3" t="s">
        <v>22</v>
      </c>
      <c r="P121" s="3"/>
      <c r="Q121" s="3"/>
    </row>
    <row r="123" spans="1:17" x14ac:dyDescent="0.2">
      <c r="A123" s="1" t="s">
        <v>0</v>
      </c>
      <c r="F123" s="1">
        <v>501110</v>
      </c>
    </row>
    <row r="124" spans="1:17" x14ac:dyDescent="0.2">
      <c r="A124" s="1" t="s">
        <v>1</v>
      </c>
      <c r="F124" s="1" t="s">
        <v>40</v>
      </c>
    </row>
    <row r="126" spans="1:17" x14ac:dyDescent="0.2">
      <c r="A126" s="1" t="s">
        <v>3</v>
      </c>
      <c r="F126" s="1" t="s">
        <v>107</v>
      </c>
    </row>
    <row r="127" spans="1:17" x14ac:dyDescent="0.2">
      <c r="A127" s="1" t="s">
        <v>5</v>
      </c>
      <c r="F127" s="1" t="s">
        <v>108</v>
      </c>
    </row>
    <row r="130" spans="1:17" x14ac:dyDescent="0.2">
      <c r="C130" s="1" t="s">
        <v>6</v>
      </c>
      <c r="D130" s="1" t="s">
        <v>7</v>
      </c>
      <c r="E130" s="1" t="s">
        <v>8</v>
      </c>
      <c r="G130" s="1" t="s">
        <v>9</v>
      </c>
      <c r="H130" s="1" t="s">
        <v>10</v>
      </c>
      <c r="I130" s="1" t="s">
        <v>11</v>
      </c>
      <c r="J130" s="1" t="s">
        <v>12</v>
      </c>
      <c r="K130" s="1" t="s">
        <v>13</v>
      </c>
      <c r="L130" s="1" t="s">
        <v>14</v>
      </c>
      <c r="M130" s="1" t="s">
        <v>15</v>
      </c>
      <c r="N130" s="1" t="s">
        <v>16</v>
      </c>
      <c r="O130" s="1" t="s">
        <v>17</v>
      </c>
      <c r="P130" s="1" t="s">
        <v>18</v>
      </c>
      <c r="Q130" s="1" t="s">
        <v>19</v>
      </c>
    </row>
    <row r="132" spans="1:17" x14ac:dyDescent="0.2">
      <c r="D132" s="1" t="s">
        <v>43</v>
      </c>
      <c r="E132" s="1">
        <v>103327272</v>
      </c>
      <c r="G132" s="1" t="s">
        <v>50</v>
      </c>
      <c r="I132" s="1" t="s">
        <v>50</v>
      </c>
      <c r="K132" s="2">
        <v>459008.64</v>
      </c>
      <c r="L132" s="1" t="s">
        <v>22</v>
      </c>
      <c r="N132" s="2">
        <v>459008.64</v>
      </c>
      <c r="O132" s="1" t="s">
        <v>22</v>
      </c>
      <c r="P132" s="1" t="s">
        <v>109</v>
      </c>
      <c r="Q132" s="1">
        <v>1</v>
      </c>
    </row>
    <row r="134" spans="1:17" x14ac:dyDescent="0.2">
      <c r="B134" s="1" t="s">
        <v>25</v>
      </c>
      <c r="K134" s="2">
        <v>459008.64</v>
      </c>
      <c r="L134" s="1" t="s">
        <v>22</v>
      </c>
      <c r="N134" s="2">
        <v>459008.64</v>
      </c>
      <c r="O134" s="1" t="s">
        <v>22</v>
      </c>
    </row>
    <row r="136" spans="1:17" x14ac:dyDescent="0.2">
      <c r="A136" s="3"/>
      <c r="B136" s="3" t="s">
        <v>26</v>
      </c>
      <c r="C136" s="3" t="s">
        <v>110</v>
      </c>
      <c r="D136" s="3"/>
      <c r="E136" s="3"/>
      <c r="F136" s="3"/>
      <c r="G136" s="3"/>
      <c r="H136" s="3"/>
      <c r="I136" s="3"/>
      <c r="J136" s="3"/>
      <c r="K136" s="4">
        <v>459008.64</v>
      </c>
      <c r="L136" s="3" t="s">
        <v>22</v>
      </c>
      <c r="M136" s="3"/>
      <c r="N136" s="4">
        <v>459008.64</v>
      </c>
      <c r="O136" s="3" t="s">
        <v>22</v>
      </c>
      <c r="P136" s="3"/>
      <c r="Q136" s="3"/>
    </row>
    <row r="138" spans="1:17" x14ac:dyDescent="0.2">
      <c r="A138" s="1" t="s">
        <v>0</v>
      </c>
      <c r="F138" s="1">
        <v>501123</v>
      </c>
    </row>
    <row r="139" spans="1:17" x14ac:dyDescent="0.2">
      <c r="A139" s="1" t="s">
        <v>1</v>
      </c>
      <c r="F139" s="1" t="s">
        <v>40</v>
      </c>
    </row>
    <row r="141" spans="1:17" x14ac:dyDescent="0.2">
      <c r="A141" s="1" t="s">
        <v>3</v>
      </c>
      <c r="F141" s="1" t="s">
        <v>111</v>
      </c>
    </row>
    <row r="142" spans="1:17" x14ac:dyDescent="0.2">
      <c r="A142" s="1" t="s">
        <v>5</v>
      </c>
      <c r="F142" s="1" t="s">
        <v>70</v>
      </c>
    </row>
    <row r="145" spans="1:17" x14ac:dyDescent="0.2">
      <c r="C145" s="1" t="s">
        <v>6</v>
      </c>
      <c r="D145" s="1" t="s">
        <v>7</v>
      </c>
      <c r="E145" s="1" t="s">
        <v>8</v>
      </c>
      <c r="G145" s="1" t="s">
        <v>9</v>
      </c>
      <c r="H145" s="1" t="s">
        <v>10</v>
      </c>
      <c r="I145" s="1" t="s">
        <v>11</v>
      </c>
      <c r="J145" s="1" t="s">
        <v>12</v>
      </c>
      <c r="K145" s="1" t="s">
        <v>13</v>
      </c>
      <c r="L145" s="1" t="s">
        <v>14</v>
      </c>
      <c r="M145" s="1" t="s">
        <v>15</v>
      </c>
      <c r="N145" s="1" t="s">
        <v>16</v>
      </c>
      <c r="O145" s="1" t="s">
        <v>17</v>
      </c>
      <c r="P145" s="1" t="s">
        <v>18</v>
      </c>
      <c r="Q145" s="1" t="s">
        <v>19</v>
      </c>
    </row>
    <row r="147" spans="1:17" x14ac:dyDescent="0.2">
      <c r="D147" s="1" t="s">
        <v>43</v>
      </c>
      <c r="E147" s="1">
        <v>103327282</v>
      </c>
      <c r="G147" s="1" t="s">
        <v>61</v>
      </c>
      <c r="I147" s="1" t="s">
        <v>61</v>
      </c>
      <c r="K147" s="2">
        <v>181413.8</v>
      </c>
      <c r="L147" s="1" t="s">
        <v>22</v>
      </c>
      <c r="N147" s="2">
        <v>181413.8</v>
      </c>
      <c r="O147" s="1" t="s">
        <v>22</v>
      </c>
      <c r="P147" s="1" t="s">
        <v>112</v>
      </c>
      <c r="Q147" s="1">
        <v>1</v>
      </c>
    </row>
    <row r="148" spans="1:17" x14ac:dyDescent="0.2">
      <c r="D148" s="1" t="s">
        <v>43</v>
      </c>
      <c r="E148" s="1">
        <v>103327295</v>
      </c>
      <c r="G148" s="1" t="s">
        <v>113</v>
      </c>
      <c r="I148" s="1" t="s">
        <v>113</v>
      </c>
      <c r="K148" s="2">
        <v>380529.18</v>
      </c>
      <c r="L148" s="1" t="s">
        <v>22</v>
      </c>
      <c r="N148" s="2">
        <v>380529.18</v>
      </c>
      <c r="O148" s="1" t="s">
        <v>22</v>
      </c>
      <c r="P148" s="1" t="s">
        <v>114</v>
      </c>
      <c r="Q148" s="1">
        <v>1</v>
      </c>
    </row>
    <row r="150" spans="1:17" x14ac:dyDescent="0.2">
      <c r="B150" s="1" t="s">
        <v>25</v>
      </c>
      <c r="K150" s="2">
        <v>561942.98</v>
      </c>
      <c r="L150" s="1" t="s">
        <v>22</v>
      </c>
      <c r="N150" s="2">
        <v>561942.98</v>
      </c>
      <c r="O150" s="1" t="s">
        <v>22</v>
      </c>
    </row>
    <row r="152" spans="1:17" x14ac:dyDescent="0.2">
      <c r="A152" s="3"/>
      <c r="B152" s="3" t="s">
        <v>26</v>
      </c>
      <c r="C152" s="3" t="s">
        <v>115</v>
      </c>
      <c r="D152" s="3"/>
      <c r="E152" s="3"/>
      <c r="F152" s="3"/>
      <c r="G152" s="3"/>
      <c r="H152" s="3"/>
      <c r="I152" s="3"/>
      <c r="J152" s="3"/>
      <c r="K152" s="4">
        <v>561942.98</v>
      </c>
      <c r="L152" s="3" t="s">
        <v>22</v>
      </c>
      <c r="M152" s="3"/>
      <c r="N152" s="4">
        <v>561942.98</v>
      </c>
      <c r="O152" s="3" t="s">
        <v>22</v>
      </c>
      <c r="P152" s="3"/>
      <c r="Q152" s="3"/>
    </row>
    <row r="154" spans="1:17" x14ac:dyDescent="0.2">
      <c r="A154" s="1" t="s">
        <v>0</v>
      </c>
      <c r="F154" s="1">
        <v>501124</v>
      </c>
    </row>
    <row r="155" spans="1:17" x14ac:dyDescent="0.2">
      <c r="A155" s="1" t="s">
        <v>1</v>
      </c>
      <c r="F155" s="1" t="s">
        <v>40</v>
      </c>
    </row>
    <row r="157" spans="1:17" x14ac:dyDescent="0.2">
      <c r="A157" s="1" t="s">
        <v>3</v>
      </c>
      <c r="F157" s="1" t="s">
        <v>116</v>
      </c>
    </row>
    <row r="158" spans="1:17" x14ac:dyDescent="0.2">
      <c r="A158" s="1" t="s">
        <v>5</v>
      </c>
      <c r="F158" s="1" t="s">
        <v>70</v>
      </c>
    </row>
    <row r="161" spans="1:17" x14ac:dyDescent="0.2">
      <c r="C161" s="1" t="s">
        <v>6</v>
      </c>
      <c r="D161" s="1" t="s">
        <v>7</v>
      </c>
      <c r="E161" s="1" t="s">
        <v>8</v>
      </c>
      <c r="G161" s="1" t="s">
        <v>9</v>
      </c>
      <c r="H161" s="1" t="s">
        <v>10</v>
      </c>
      <c r="I161" s="1" t="s">
        <v>11</v>
      </c>
      <c r="J161" s="1" t="s">
        <v>12</v>
      </c>
      <c r="K161" s="1" t="s">
        <v>13</v>
      </c>
      <c r="L161" s="1" t="s">
        <v>14</v>
      </c>
      <c r="M161" s="1" t="s">
        <v>15</v>
      </c>
      <c r="N161" s="1" t="s">
        <v>16</v>
      </c>
      <c r="O161" s="1" t="s">
        <v>17</v>
      </c>
      <c r="P161" s="1" t="s">
        <v>18</v>
      </c>
      <c r="Q161" s="1" t="s">
        <v>19</v>
      </c>
    </row>
    <row r="163" spans="1:17" x14ac:dyDescent="0.2">
      <c r="D163" s="1" t="s">
        <v>43</v>
      </c>
      <c r="E163" s="1">
        <v>103327254</v>
      </c>
      <c r="G163" s="1" t="s">
        <v>85</v>
      </c>
      <c r="I163" s="1" t="s">
        <v>85</v>
      </c>
      <c r="K163" s="2">
        <v>86475.3</v>
      </c>
      <c r="L163" s="1" t="s">
        <v>22</v>
      </c>
      <c r="N163" s="2">
        <v>86475.3</v>
      </c>
      <c r="O163" s="1" t="s">
        <v>22</v>
      </c>
      <c r="P163" s="1" t="s">
        <v>117</v>
      </c>
      <c r="Q163" s="1">
        <v>1</v>
      </c>
    </row>
    <row r="164" spans="1:17" x14ac:dyDescent="0.2">
      <c r="D164" s="1" t="s">
        <v>43</v>
      </c>
      <c r="E164" s="1">
        <v>103327747</v>
      </c>
      <c r="G164" s="1" t="s">
        <v>66</v>
      </c>
      <c r="I164" s="1" t="s">
        <v>66</v>
      </c>
      <c r="K164" s="2">
        <v>1274724</v>
      </c>
      <c r="L164" s="1" t="s">
        <v>22</v>
      </c>
      <c r="N164" s="2">
        <v>1274724</v>
      </c>
      <c r="O164" s="1" t="s">
        <v>22</v>
      </c>
      <c r="P164" s="1" t="s">
        <v>118</v>
      </c>
      <c r="Q164" s="1">
        <v>1</v>
      </c>
    </row>
    <row r="166" spans="1:17" x14ac:dyDescent="0.2">
      <c r="B166" s="1" t="s">
        <v>25</v>
      </c>
      <c r="K166" s="2">
        <v>1361199.3</v>
      </c>
      <c r="L166" s="1" t="s">
        <v>22</v>
      </c>
      <c r="N166" s="2">
        <v>1361199.3</v>
      </c>
      <c r="O166" s="1" t="s">
        <v>22</v>
      </c>
    </row>
    <row r="168" spans="1:17" x14ac:dyDescent="0.2">
      <c r="A168" s="3"/>
      <c r="B168" s="3" t="s">
        <v>26</v>
      </c>
      <c r="C168" s="3" t="s">
        <v>119</v>
      </c>
      <c r="D168" s="3"/>
      <c r="E168" s="3"/>
      <c r="F168" s="3"/>
      <c r="G168" s="3"/>
      <c r="H168" s="3"/>
      <c r="I168" s="3"/>
      <c r="J168" s="3"/>
      <c r="K168" s="4">
        <v>1361199.3</v>
      </c>
      <c r="L168" s="3" t="s">
        <v>22</v>
      </c>
      <c r="M168" s="3"/>
      <c r="N168" s="4">
        <v>1361199.3</v>
      </c>
      <c r="O168" s="3" t="s">
        <v>22</v>
      </c>
      <c r="P168" s="3"/>
      <c r="Q168" s="3"/>
    </row>
    <row r="170" spans="1:17" x14ac:dyDescent="0.2">
      <c r="A170" s="1" t="s">
        <v>0</v>
      </c>
      <c r="F170" s="1">
        <v>501128</v>
      </c>
    </row>
    <row r="171" spans="1:17" x14ac:dyDescent="0.2">
      <c r="A171" s="1" t="s">
        <v>1</v>
      </c>
      <c r="F171" s="1" t="s">
        <v>40</v>
      </c>
    </row>
    <row r="173" spans="1:17" x14ac:dyDescent="0.2">
      <c r="A173" s="1" t="s">
        <v>3</v>
      </c>
      <c r="F173" s="1" t="s">
        <v>120</v>
      </c>
    </row>
    <row r="174" spans="1:17" x14ac:dyDescent="0.2">
      <c r="A174" s="1" t="s">
        <v>5</v>
      </c>
      <c r="F174" s="1" t="s">
        <v>121</v>
      </c>
    </row>
    <row r="177" spans="1:17" x14ac:dyDescent="0.2">
      <c r="C177" s="1" t="s">
        <v>6</v>
      </c>
      <c r="D177" s="1" t="s">
        <v>7</v>
      </c>
      <c r="E177" s="1" t="s">
        <v>8</v>
      </c>
      <c r="G177" s="1" t="s">
        <v>9</v>
      </c>
      <c r="H177" s="1" t="s">
        <v>10</v>
      </c>
      <c r="I177" s="1" t="s">
        <v>11</v>
      </c>
      <c r="J177" s="1" t="s">
        <v>12</v>
      </c>
      <c r="K177" s="1" t="s">
        <v>13</v>
      </c>
      <c r="L177" s="1" t="s">
        <v>14</v>
      </c>
      <c r="M177" s="1" t="s">
        <v>15</v>
      </c>
      <c r="N177" s="1" t="s">
        <v>16</v>
      </c>
      <c r="O177" s="1" t="s">
        <v>17</v>
      </c>
      <c r="P177" s="1" t="s">
        <v>18</v>
      </c>
      <c r="Q177" s="1" t="s">
        <v>19</v>
      </c>
    </row>
    <row r="179" spans="1:17" x14ac:dyDescent="0.2">
      <c r="D179" s="1" t="s">
        <v>43</v>
      </c>
      <c r="E179" s="1">
        <v>103327147</v>
      </c>
      <c r="G179" s="1" t="s">
        <v>104</v>
      </c>
      <c r="I179" s="1" t="s">
        <v>104</v>
      </c>
      <c r="K179" s="2">
        <v>779523.3</v>
      </c>
      <c r="L179" s="1" t="s">
        <v>22</v>
      </c>
      <c r="N179" s="2">
        <v>188518.33</v>
      </c>
      <c r="O179" s="1" t="s">
        <v>31</v>
      </c>
      <c r="P179" s="1" t="s">
        <v>122</v>
      </c>
      <c r="Q179" s="1">
        <v>4.1349999999999998</v>
      </c>
    </row>
    <row r="180" spans="1:17" x14ac:dyDescent="0.2">
      <c r="D180" s="1" t="s">
        <v>43</v>
      </c>
      <c r="E180" s="1">
        <v>103327174</v>
      </c>
      <c r="G180" s="1" t="s">
        <v>123</v>
      </c>
      <c r="I180" s="1" t="s">
        <v>123</v>
      </c>
      <c r="K180" s="2">
        <v>1501690.05</v>
      </c>
      <c r="L180" s="1" t="s">
        <v>22</v>
      </c>
      <c r="N180" s="2">
        <v>363165.67</v>
      </c>
      <c r="O180" s="1" t="s">
        <v>31</v>
      </c>
      <c r="P180" s="1" t="s">
        <v>124</v>
      </c>
      <c r="Q180" s="1">
        <v>4.1349999999999998</v>
      </c>
    </row>
    <row r="181" spans="1:17" x14ac:dyDescent="0.2">
      <c r="D181" s="1" t="s">
        <v>43</v>
      </c>
      <c r="E181" s="1">
        <v>103327225</v>
      </c>
      <c r="G181" s="1" t="s">
        <v>46</v>
      </c>
      <c r="I181" s="1" t="s">
        <v>46</v>
      </c>
      <c r="K181" s="2">
        <v>1436883.65</v>
      </c>
      <c r="L181" s="1" t="s">
        <v>22</v>
      </c>
      <c r="N181" s="2">
        <v>348690.46</v>
      </c>
      <c r="O181" s="1" t="s">
        <v>31</v>
      </c>
      <c r="P181" s="1" t="s">
        <v>125</v>
      </c>
      <c r="Q181" s="1">
        <v>4.1208</v>
      </c>
    </row>
    <row r="182" spans="1:17" x14ac:dyDescent="0.2">
      <c r="D182" s="1" t="s">
        <v>43</v>
      </c>
      <c r="E182" s="1">
        <v>103327266</v>
      </c>
      <c r="G182" s="1" t="s">
        <v>59</v>
      </c>
      <c r="I182" s="1" t="s">
        <v>59</v>
      </c>
      <c r="K182" s="2">
        <v>1271043.7</v>
      </c>
      <c r="L182" s="1" t="s">
        <v>22</v>
      </c>
      <c r="N182" s="2">
        <v>310768.63</v>
      </c>
      <c r="O182" s="1" t="s">
        <v>31</v>
      </c>
      <c r="P182" s="1" t="s">
        <v>126</v>
      </c>
      <c r="Q182" s="1">
        <v>4.09</v>
      </c>
    </row>
    <row r="183" spans="1:17" x14ac:dyDescent="0.2">
      <c r="D183" s="1" t="s">
        <v>43</v>
      </c>
      <c r="E183" s="1">
        <v>103327289</v>
      </c>
      <c r="G183" s="1" t="s">
        <v>88</v>
      </c>
      <c r="I183" s="1" t="s">
        <v>88</v>
      </c>
      <c r="K183" s="2">
        <v>575706.84</v>
      </c>
      <c r="L183" s="1" t="s">
        <v>22</v>
      </c>
      <c r="N183" s="2">
        <v>140828.48000000001</v>
      </c>
      <c r="O183" s="1" t="s">
        <v>31</v>
      </c>
      <c r="P183" s="1" t="s">
        <v>127</v>
      </c>
      <c r="Q183" s="1">
        <v>4.0880000000000001</v>
      </c>
    </row>
    <row r="184" spans="1:17" x14ac:dyDescent="0.2">
      <c r="D184" s="1" t="s">
        <v>43</v>
      </c>
      <c r="E184" s="1">
        <v>103327290</v>
      </c>
      <c r="G184" s="1" t="s">
        <v>88</v>
      </c>
      <c r="I184" s="1" t="s">
        <v>88</v>
      </c>
      <c r="K184" s="2">
        <v>475675.78</v>
      </c>
      <c r="L184" s="1" t="s">
        <v>22</v>
      </c>
      <c r="N184" s="2">
        <v>116672.99</v>
      </c>
      <c r="O184" s="1" t="s">
        <v>31</v>
      </c>
      <c r="P184" s="1" t="s">
        <v>128</v>
      </c>
      <c r="Q184" s="1">
        <v>4.077</v>
      </c>
    </row>
    <row r="185" spans="1:17" x14ac:dyDescent="0.2">
      <c r="D185" s="1" t="s">
        <v>43</v>
      </c>
      <c r="E185" s="1">
        <v>103327356</v>
      </c>
      <c r="G185" s="1" t="s">
        <v>30</v>
      </c>
      <c r="I185" s="1" t="s">
        <v>30</v>
      </c>
      <c r="K185" s="2">
        <v>1549410.55</v>
      </c>
      <c r="L185" s="1" t="s">
        <v>22</v>
      </c>
      <c r="N185" s="2">
        <v>380737.33</v>
      </c>
      <c r="O185" s="1" t="s">
        <v>31</v>
      </c>
      <c r="P185" s="1" t="s">
        <v>129</v>
      </c>
      <c r="Q185" s="1">
        <v>4.0694999999999997</v>
      </c>
    </row>
    <row r="186" spans="1:17" x14ac:dyDescent="0.2">
      <c r="D186" s="1" t="s">
        <v>43</v>
      </c>
      <c r="E186" s="1">
        <v>103327731</v>
      </c>
      <c r="G186" s="1" t="s">
        <v>64</v>
      </c>
      <c r="I186" s="1" t="s">
        <v>64</v>
      </c>
      <c r="K186" s="2">
        <v>286485.78999999998</v>
      </c>
      <c r="L186" s="1" t="s">
        <v>22</v>
      </c>
      <c r="N186" s="2">
        <v>70789.67</v>
      </c>
      <c r="O186" s="1" t="s">
        <v>31</v>
      </c>
      <c r="P186" s="1" t="s">
        <v>130</v>
      </c>
      <c r="Q186" s="1">
        <v>4.0469999999999997</v>
      </c>
    </row>
    <row r="187" spans="1:17" x14ac:dyDescent="0.2">
      <c r="D187" s="1" t="s">
        <v>43</v>
      </c>
      <c r="E187" s="1">
        <v>2200007018</v>
      </c>
      <c r="G187" s="1" t="s">
        <v>88</v>
      </c>
      <c r="I187" s="1" t="s">
        <v>88</v>
      </c>
      <c r="K187" s="2">
        <v>17667.8</v>
      </c>
      <c r="L187" s="1" t="s">
        <v>22</v>
      </c>
      <c r="N187" s="2">
        <v>4333.53</v>
      </c>
      <c r="O187" s="1" t="s">
        <v>31</v>
      </c>
      <c r="P187" s="1" t="s">
        <v>128</v>
      </c>
      <c r="Q187" s="1">
        <v>4.077</v>
      </c>
    </row>
    <row r="188" spans="1:17" x14ac:dyDescent="0.2">
      <c r="D188" s="1" t="s">
        <v>43</v>
      </c>
      <c r="E188" s="1">
        <v>2200007113</v>
      </c>
      <c r="G188" s="1" t="s">
        <v>64</v>
      </c>
      <c r="I188" s="1" t="s">
        <v>64</v>
      </c>
      <c r="K188" s="2">
        <v>10567.2</v>
      </c>
      <c r="L188" s="1" t="s">
        <v>22</v>
      </c>
      <c r="N188" s="2">
        <v>2611.12</v>
      </c>
      <c r="O188" s="1" t="s">
        <v>31</v>
      </c>
      <c r="P188" s="1" t="s">
        <v>130</v>
      </c>
      <c r="Q188" s="1">
        <v>4.0469999999999997</v>
      </c>
    </row>
    <row r="190" spans="1:17" x14ac:dyDescent="0.2">
      <c r="B190" s="1" t="s">
        <v>25</v>
      </c>
      <c r="K190" s="2">
        <v>7904654.6600000001</v>
      </c>
      <c r="L190" s="1" t="s">
        <v>22</v>
      </c>
      <c r="N190" s="2">
        <v>1927116.21</v>
      </c>
      <c r="O190" s="1" t="s">
        <v>31</v>
      </c>
    </row>
    <row r="192" spans="1:17" x14ac:dyDescent="0.2">
      <c r="A192" s="3"/>
      <c r="B192" s="3" t="s">
        <v>26</v>
      </c>
      <c r="C192" s="3" t="s">
        <v>131</v>
      </c>
      <c r="D192" s="3"/>
      <c r="E192" s="3"/>
      <c r="F192" s="3"/>
      <c r="G192" s="3"/>
      <c r="H192" s="3"/>
      <c r="I192" s="3"/>
      <c r="J192" s="3"/>
      <c r="K192" s="4">
        <v>7904654.6600000001</v>
      </c>
      <c r="L192" s="3" t="s">
        <v>22</v>
      </c>
      <c r="M192" s="3"/>
      <c r="N192" s="4">
        <v>1927116.21</v>
      </c>
      <c r="O192" s="3" t="s">
        <v>31</v>
      </c>
      <c r="P192" s="3"/>
      <c r="Q192" s="3"/>
    </row>
    <row r="194" spans="1:17" x14ac:dyDescent="0.2">
      <c r="A194" s="1" t="s">
        <v>0</v>
      </c>
      <c r="F194" s="1">
        <v>501129</v>
      </c>
    </row>
    <row r="195" spans="1:17" x14ac:dyDescent="0.2">
      <c r="A195" s="1" t="s">
        <v>1</v>
      </c>
      <c r="F195" s="1" t="s">
        <v>40</v>
      </c>
    </row>
    <row r="197" spans="1:17" x14ac:dyDescent="0.2">
      <c r="A197" s="1" t="s">
        <v>3</v>
      </c>
      <c r="F197" s="1" t="s">
        <v>132</v>
      </c>
    </row>
    <row r="198" spans="1:17" x14ac:dyDescent="0.2">
      <c r="A198" s="1" t="s">
        <v>5</v>
      </c>
      <c r="F198" s="1" t="s">
        <v>70</v>
      </c>
    </row>
    <row r="201" spans="1:17" x14ac:dyDescent="0.2">
      <c r="C201" s="1" t="s">
        <v>6</v>
      </c>
      <c r="D201" s="1" t="s">
        <v>7</v>
      </c>
      <c r="E201" s="1" t="s">
        <v>8</v>
      </c>
      <c r="G201" s="1" t="s">
        <v>9</v>
      </c>
      <c r="H201" s="1" t="s">
        <v>10</v>
      </c>
      <c r="I201" s="1" t="s">
        <v>11</v>
      </c>
      <c r="J201" s="1" t="s">
        <v>12</v>
      </c>
      <c r="K201" s="1" t="s">
        <v>13</v>
      </c>
      <c r="L201" s="1" t="s">
        <v>14</v>
      </c>
      <c r="M201" s="1" t="s">
        <v>15</v>
      </c>
      <c r="N201" s="1" t="s">
        <v>16</v>
      </c>
      <c r="O201" s="1" t="s">
        <v>17</v>
      </c>
      <c r="P201" s="1" t="s">
        <v>18</v>
      </c>
      <c r="Q201" s="1" t="s">
        <v>19</v>
      </c>
    </row>
    <row r="203" spans="1:17" x14ac:dyDescent="0.2">
      <c r="D203" s="1" t="s">
        <v>43</v>
      </c>
      <c r="E203" s="1">
        <v>103327149</v>
      </c>
      <c r="G203" s="1" t="s">
        <v>44</v>
      </c>
      <c r="I203" s="1" t="s">
        <v>44</v>
      </c>
      <c r="K203" s="2">
        <v>55519.25</v>
      </c>
      <c r="L203" s="1" t="s">
        <v>22</v>
      </c>
      <c r="N203" s="2">
        <v>55519.25</v>
      </c>
      <c r="O203" s="1" t="s">
        <v>22</v>
      </c>
      <c r="P203" s="1" t="s">
        <v>133</v>
      </c>
      <c r="Q203" s="1">
        <v>1</v>
      </c>
    </row>
    <row r="204" spans="1:17" x14ac:dyDescent="0.2">
      <c r="D204" s="1" t="s">
        <v>43</v>
      </c>
      <c r="E204" s="1">
        <v>103327150</v>
      </c>
      <c r="G204" s="1" t="s">
        <v>44</v>
      </c>
      <c r="I204" s="1" t="s">
        <v>44</v>
      </c>
      <c r="K204" s="2">
        <v>159726</v>
      </c>
      <c r="L204" s="1" t="s">
        <v>22</v>
      </c>
      <c r="N204" s="2">
        <v>159726</v>
      </c>
      <c r="O204" s="1" t="s">
        <v>22</v>
      </c>
      <c r="P204" s="1" t="s">
        <v>134</v>
      </c>
      <c r="Q204" s="1">
        <v>1</v>
      </c>
    </row>
    <row r="205" spans="1:17" x14ac:dyDescent="0.2">
      <c r="D205" s="1" t="s">
        <v>43</v>
      </c>
      <c r="E205" s="1">
        <v>103327152</v>
      </c>
      <c r="G205" s="1" t="s">
        <v>44</v>
      </c>
      <c r="I205" s="1" t="s">
        <v>44</v>
      </c>
      <c r="K205" s="2">
        <v>407390.23</v>
      </c>
      <c r="L205" s="1" t="s">
        <v>22</v>
      </c>
      <c r="N205" s="2">
        <v>407390.23</v>
      </c>
      <c r="O205" s="1" t="s">
        <v>22</v>
      </c>
      <c r="P205" s="1" t="s">
        <v>135</v>
      </c>
      <c r="Q205" s="1">
        <v>1</v>
      </c>
    </row>
    <row r="206" spans="1:17" x14ac:dyDescent="0.2">
      <c r="D206" s="1" t="s">
        <v>43</v>
      </c>
      <c r="E206" s="1">
        <v>103327153</v>
      </c>
      <c r="G206" s="1" t="s">
        <v>44</v>
      </c>
      <c r="I206" s="1" t="s">
        <v>44</v>
      </c>
      <c r="K206" s="2">
        <v>60726.84</v>
      </c>
      <c r="L206" s="1" t="s">
        <v>22</v>
      </c>
      <c r="N206" s="2">
        <v>60726.84</v>
      </c>
      <c r="O206" s="1" t="s">
        <v>22</v>
      </c>
      <c r="P206" s="1" t="s">
        <v>136</v>
      </c>
      <c r="Q206" s="1">
        <v>1</v>
      </c>
    </row>
    <row r="208" spans="1:17" x14ac:dyDescent="0.2">
      <c r="B208" s="1" t="s">
        <v>25</v>
      </c>
      <c r="K208" s="2">
        <v>683362.32</v>
      </c>
      <c r="L208" s="1" t="s">
        <v>22</v>
      </c>
      <c r="N208" s="2">
        <v>683362.32</v>
      </c>
      <c r="O208" s="1" t="s">
        <v>22</v>
      </c>
    </row>
    <row r="210" spans="1:17" x14ac:dyDescent="0.2">
      <c r="A210" s="3"/>
      <c r="B210" s="3" t="s">
        <v>26</v>
      </c>
      <c r="C210" s="3" t="s">
        <v>137</v>
      </c>
      <c r="D210" s="3"/>
      <c r="E210" s="3"/>
      <c r="F210" s="3"/>
      <c r="G210" s="3"/>
      <c r="H210" s="3"/>
      <c r="I210" s="3"/>
      <c r="J210" s="3"/>
      <c r="K210" s="4">
        <v>683362.32</v>
      </c>
      <c r="L210" s="3" t="s">
        <v>22</v>
      </c>
      <c r="M210" s="3"/>
      <c r="N210" s="4">
        <v>683362.32</v>
      </c>
      <c r="O210" s="3" t="s">
        <v>22</v>
      </c>
      <c r="P210" s="3"/>
      <c r="Q210" s="3"/>
    </row>
    <row r="212" spans="1:17" x14ac:dyDescent="0.2">
      <c r="A212" s="1" t="s">
        <v>0</v>
      </c>
      <c r="F212" s="1">
        <v>501133</v>
      </c>
    </row>
    <row r="213" spans="1:17" x14ac:dyDescent="0.2">
      <c r="A213" s="1" t="s">
        <v>1</v>
      </c>
      <c r="F213" s="1" t="s">
        <v>40</v>
      </c>
    </row>
    <row r="215" spans="1:17" x14ac:dyDescent="0.2">
      <c r="A215" s="1" t="s">
        <v>3</v>
      </c>
      <c r="F215" s="1" t="s">
        <v>138</v>
      </c>
    </row>
    <row r="216" spans="1:17" x14ac:dyDescent="0.2">
      <c r="A216" s="1" t="s">
        <v>5</v>
      </c>
      <c r="F216" s="1" t="s">
        <v>70</v>
      </c>
    </row>
    <row r="219" spans="1:17" x14ac:dyDescent="0.2">
      <c r="C219" s="1" t="s">
        <v>6</v>
      </c>
      <c r="D219" s="1" t="s">
        <v>7</v>
      </c>
      <c r="E219" s="1" t="s">
        <v>8</v>
      </c>
      <c r="G219" s="1" t="s">
        <v>9</v>
      </c>
      <c r="H219" s="1" t="s">
        <v>10</v>
      </c>
      <c r="I219" s="1" t="s">
        <v>11</v>
      </c>
      <c r="J219" s="1" t="s">
        <v>12</v>
      </c>
      <c r="K219" s="1" t="s">
        <v>13</v>
      </c>
      <c r="L219" s="1" t="s">
        <v>14</v>
      </c>
      <c r="M219" s="1" t="s">
        <v>15</v>
      </c>
      <c r="N219" s="1" t="s">
        <v>16</v>
      </c>
      <c r="O219" s="1" t="s">
        <v>17</v>
      </c>
      <c r="P219" s="1" t="s">
        <v>18</v>
      </c>
      <c r="Q219" s="1" t="s">
        <v>19</v>
      </c>
    </row>
    <row r="221" spans="1:17" x14ac:dyDescent="0.2">
      <c r="D221" s="1" t="s">
        <v>43</v>
      </c>
      <c r="E221" s="1">
        <v>103327194</v>
      </c>
      <c r="G221" s="1" t="s">
        <v>54</v>
      </c>
      <c r="I221" s="1" t="s">
        <v>54</v>
      </c>
      <c r="K221" s="2">
        <v>730803.38</v>
      </c>
      <c r="L221" s="1" t="s">
        <v>22</v>
      </c>
      <c r="N221" s="2">
        <v>177875.96</v>
      </c>
      <c r="O221" s="1" t="s">
        <v>31</v>
      </c>
      <c r="P221" s="1" t="s">
        <v>139</v>
      </c>
      <c r="Q221" s="1">
        <v>4.1085000000000003</v>
      </c>
    </row>
    <row r="222" spans="1:17" x14ac:dyDescent="0.2">
      <c r="D222" s="1" t="s">
        <v>43</v>
      </c>
      <c r="E222" s="1">
        <v>103327226</v>
      </c>
      <c r="G222" s="1" t="s">
        <v>46</v>
      </c>
      <c r="I222" s="1" t="s">
        <v>46</v>
      </c>
      <c r="K222" s="2">
        <v>291073.95</v>
      </c>
      <c r="L222" s="1" t="s">
        <v>22</v>
      </c>
      <c r="N222" s="2">
        <v>70666.17</v>
      </c>
      <c r="O222" s="1" t="s">
        <v>31</v>
      </c>
      <c r="P222" s="1" t="s">
        <v>140</v>
      </c>
      <c r="Q222" s="1">
        <v>4.1189999999999998</v>
      </c>
    </row>
    <row r="223" spans="1:17" x14ac:dyDescent="0.2">
      <c r="D223" s="1" t="s">
        <v>43</v>
      </c>
      <c r="E223" s="1">
        <v>103327245</v>
      </c>
      <c r="G223" s="1" t="s">
        <v>48</v>
      </c>
      <c r="I223" s="1" t="s">
        <v>48</v>
      </c>
      <c r="K223" s="2">
        <v>555322.31000000006</v>
      </c>
      <c r="L223" s="1" t="s">
        <v>22</v>
      </c>
      <c r="N223" s="2">
        <v>135759.03</v>
      </c>
      <c r="O223" s="1" t="s">
        <v>31</v>
      </c>
      <c r="P223" s="1" t="s">
        <v>141</v>
      </c>
      <c r="Q223" s="1">
        <v>4.0904999999999996</v>
      </c>
    </row>
    <row r="224" spans="1:17" x14ac:dyDescent="0.2">
      <c r="D224" s="1" t="s">
        <v>43</v>
      </c>
      <c r="E224" s="1">
        <v>103327245</v>
      </c>
      <c r="G224" s="1" t="s">
        <v>48</v>
      </c>
      <c r="I224" s="1" t="s">
        <v>48</v>
      </c>
      <c r="K224" s="2">
        <v>258241.65</v>
      </c>
      <c r="L224" s="1" t="s">
        <v>22</v>
      </c>
      <c r="N224" s="2">
        <v>63132.05</v>
      </c>
      <c r="O224" s="1" t="s">
        <v>31</v>
      </c>
      <c r="P224" s="1" t="s">
        <v>142</v>
      </c>
      <c r="Q224" s="1">
        <v>4.0904999999999996</v>
      </c>
    </row>
    <row r="225" spans="1:17" x14ac:dyDescent="0.2">
      <c r="D225" s="1" t="s">
        <v>43</v>
      </c>
      <c r="E225" s="1">
        <v>103327265</v>
      </c>
      <c r="G225" s="1" t="s">
        <v>59</v>
      </c>
      <c r="I225" s="1" t="s">
        <v>59</v>
      </c>
      <c r="K225" s="2">
        <v>1262629.08</v>
      </c>
      <c r="L225" s="1" t="s">
        <v>22</v>
      </c>
      <c r="N225" s="2">
        <v>308900.08</v>
      </c>
      <c r="O225" s="1" t="s">
        <v>31</v>
      </c>
      <c r="P225" s="1" t="s">
        <v>143</v>
      </c>
      <c r="Q225" s="1">
        <v>4.0875000000000004</v>
      </c>
    </row>
    <row r="226" spans="1:17" x14ac:dyDescent="0.2">
      <c r="D226" s="1" t="s">
        <v>43</v>
      </c>
      <c r="E226" s="1">
        <v>103327565</v>
      </c>
      <c r="G226" s="1" t="s">
        <v>77</v>
      </c>
      <c r="I226" s="1" t="s">
        <v>77</v>
      </c>
      <c r="K226" s="2">
        <v>353748.86</v>
      </c>
      <c r="L226" s="1" t="s">
        <v>22</v>
      </c>
      <c r="N226" s="2">
        <v>87130.26</v>
      </c>
      <c r="O226" s="1" t="s">
        <v>31</v>
      </c>
      <c r="P226" s="1" t="s">
        <v>144</v>
      </c>
      <c r="Q226" s="1">
        <v>4.0599999999999996</v>
      </c>
    </row>
    <row r="227" spans="1:17" x14ac:dyDescent="0.2">
      <c r="D227" s="1" t="s">
        <v>43</v>
      </c>
      <c r="E227" s="1">
        <v>103327565</v>
      </c>
      <c r="G227" s="1" t="s">
        <v>77</v>
      </c>
      <c r="I227" s="1" t="s">
        <v>77</v>
      </c>
      <c r="K227" s="2">
        <v>240553.9</v>
      </c>
      <c r="L227" s="1" t="s">
        <v>22</v>
      </c>
      <c r="N227" s="2">
        <v>59249.73</v>
      </c>
      <c r="O227" s="1" t="s">
        <v>31</v>
      </c>
      <c r="P227" s="1" t="s">
        <v>145</v>
      </c>
      <c r="Q227" s="1">
        <v>4.0599999999999996</v>
      </c>
    </row>
    <row r="228" spans="1:17" x14ac:dyDescent="0.2">
      <c r="D228" s="1" t="s">
        <v>43</v>
      </c>
      <c r="E228" s="1">
        <v>103327729</v>
      </c>
      <c r="G228" s="1" t="s">
        <v>64</v>
      </c>
      <c r="I228" s="1" t="s">
        <v>64</v>
      </c>
      <c r="K228" s="2">
        <v>456483.79</v>
      </c>
      <c r="L228" s="1" t="s">
        <v>22</v>
      </c>
      <c r="N228" s="2">
        <v>112795.6</v>
      </c>
      <c r="O228" s="1" t="s">
        <v>31</v>
      </c>
      <c r="P228" s="1" t="s">
        <v>146</v>
      </c>
      <c r="Q228" s="1">
        <v>4.0469999999999997</v>
      </c>
    </row>
    <row r="229" spans="1:17" x14ac:dyDescent="0.2">
      <c r="D229" s="1" t="s">
        <v>43</v>
      </c>
      <c r="E229" s="1">
        <v>103327756</v>
      </c>
      <c r="G229" s="1" t="s">
        <v>66</v>
      </c>
      <c r="I229" s="1" t="s">
        <v>66</v>
      </c>
      <c r="K229" s="2">
        <v>104098.82</v>
      </c>
      <c r="L229" s="1" t="s">
        <v>22</v>
      </c>
      <c r="N229" s="2">
        <v>25633.79</v>
      </c>
      <c r="O229" s="1" t="s">
        <v>31</v>
      </c>
      <c r="P229" s="1" t="s">
        <v>146</v>
      </c>
      <c r="Q229" s="1">
        <v>4.0609999999999999</v>
      </c>
    </row>
    <row r="230" spans="1:17" x14ac:dyDescent="0.2">
      <c r="D230" s="1" t="s">
        <v>43</v>
      </c>
      <c r="E230" s="1">
        <v>1400013863</v>
      </c>
      <c r="G230" s="1" t="s">
        <v>64</v>
      </c>
      <c r="I230" s="1" t="s">
        <v>64</v>
      </c>
      <c r="K230" s="2">
        <v>-701480.15</v>
      </c>
      <c r="L230" s="1" t="s">
        <v>22</v>
      </c>
      <c r="N230" s="2">
        <v>-173333.37</v>
      </c>
      <c r="O230" s="1" t="s">
        <v>31</v>
      </c>
      <c r="P230" s="1" t="s">
        <v>147</v>
      </c>
      <c r="Q230" s="1">
        <v>4.0469999999999997</v>
      </c>
    </row>
    <row r="231" spans="1:17" x14ac:dyDescent="0.2">
      <c r="D231" s="1" t="s">
        <v>43</v>
      </c>
      <c r="E231" s="1">
        <v>1400013863</v>
      </c>
      <c r="G231" s="1" t="s">
        <v>64</v>
      </c>
      <c r="I231" s="1" t="s">
        <v>64</v>
      </c>
      <c r="K231" s="2">
        <v>-465525.56</v>
      </c>
      <c r="L231" s="1" t="s">
        <v>22</v>
      </c>
      <c r="N231" s="2">
        <v>-115029.79</v>
      </c>
      <c r="O231" s="1" t="s">
        <v>31</v>
      </c>
      <c r="P231" s="1" t="s">
        <v>148</v>
      </c>
      <c r="Q231" s="1">
        <v>4.0469999999999997</v>
      </c>
    </row>
    <row r="233" spans="1:17" x14ac:dyDescent="0.2">
      <c r="B233" s="1" t="s">
        <v>25</v>
      </c>
      <c r="K233" s="2">
        <v>3085950.03</v>
      </c>
      <c r="L233" s="1" t="s">
        <v>22</v>
      </c>
      <c r="N233" s="2">
        <v>752779.51</v>
      </c>
      <c r="O233" s="1" t="s">
        <v>31</v>
      </c>
    </row>
    <row r="235" spans="1:17" x14ac:dyDescent="0.2">
      <c r="A235" s="3"/>
      <c r="B235" s="3" t="s">
        <v>26</v>
      </c>
      <c r="C235" s="3" t="s">
        <v>149</v>
      </c>
      <c r="D235" s="3"/>
      <c r="E235" s="3"/>
      <c r="F235" s="3"/>
      <c r="G235" s="3"/>
      <c r="H235" s="3"/>
      <c r="I235" s="3"/>
      <c r="J235" s="3"/>
      <c r="K235" s="4">
        <v>3085950.03</v>
      </c>
      <c r="L235" s="3" t="s">
        <v>22</v>
      </c>
      <c r="M235" s="3"/>
      <c r="N235" s="4">
        <v>752779.51</v>
      </c>
      <c r="O235" s="3" t="s">
        <v>31</v>
      </c>
      <c r="P235" s="3"/>
      <c r="Q235" s="3"/>
    </row>
    <row r="237" spans="1:17" x14ac:dyDescent="0.2">
      <c r="A237" s="1" t="s">
        <v>0</v>
      </c>
      <c r="F237" s="1">
        <v>501137</v>
      </c>
    </row>
    <row r="238" spans="1:17" x14ac:dyDescent="0.2">
      <c r="A238" s="1" t="s">
        <v>1</v>
      </c>
      <c r="F238" s="1" t="s">
        <v>40</v>
      </c>
    </row>
    <row r="240" spans="1:17" x14ac:dyDescent="0.2">
      <c r="A240" s="1" t="s">
        <v>3</v>
      </c>
      <c r="F240" s="1" t="s">
        <v>150</v>
      </c>
    </row>
    <row r="241" spans="1:17" x14ac:dyDescent="0.2">
      <c r="A241" s="1" t="s">
        <v>5</v>
      </c>
      <c r="F241" s="1" t="s">
        <v>70</v>
      </c>
    </row>
    <row r="244" spans="1:17" x14ac:dyDescent="0.2">
      <c r="C244" s="1" t="s">
        <v>6</v>
      </c>
      <c r="D244" s="1" t="s">
        <v>7</v>
      </c>
      <c r="E244" s="1" t="s">
        <v>8</v>
      </c>
      <c r="G244" s="1" t="s">
        <v>9</v>
      </c>
      <c r="H244" s="1" t="s">
        <v>10</v>
      </c>
      <c r="I244" s="1" t="s">
        <v>11</v>
      </c>
      <c r="J244" s="1" t="s">
        <v>12</v>
      </c>
      <c r="K244" s="1" t="s">
        <v>13</v>
      </c>
      <c r="L244" s="1" t="s">
        <v>14</v>
      </c>
      <c r="M244" s="1" t="s">
        <v>15</v>
      </c>
      <c r="N244" s="1" t="s">
        <v>16</v>
      </c>
      <c r="O244" s="1" t="s">
        <v>17</v>
      </c>
      <c r="P244" s="1" t="s">
        <v>18</v>
      </c>
      <c r="Q244" s="1" t="s">
        <v>19</v>
      </c>
    </row>
    <row r="246" spans="1:17" x14ac:dyDescent="0.2">
      <c r="D246" s="1" t="s">
        <v>43</v>
      </c>
      <c r="E246" s="1">
        <v>103327240</v>
      </c>
      <c r="G246" s="1" t="s">
        <v>48</v>
      </c>
      <c r="I246" s="1" t="s">
        <v>48</v>
      </c>
      <c r="K246" s="2">
        <v>22450</v>
      </c>
      <c r="L246" s="1" t="s">
        <v>22</v>
      </c>
      <c r="N246" s="2">
        <v>22450</v>
      </c>
      <c r="O246" s="1" t="s">
        <v>22</v>
      </c>
      <c r="P246" s="1" t="s">
        <v>151</v>
      </c>
      <c r="Q246" s="1">
        <v>1</v>
      </c>
    </row>
    <row r="247" spans="1:17" x14ac:dyDescent="0.2">
      <c r="D247" s="1" t="s">
        <v>43</v>
      </c>
      <c r="E247" s="1">
        <v>103327287</v>
      </c>
      <c r="G247" s="1" t="s">
        <v>88</v>
      </c>
      <c r="I247" s="1" t="s">
        <v>88</v>
      </c>
      <c r="K247" s="2">
        <v>69587.5</v>
      </c>
      <c r="L247" s="1" t="s">
        <v>22</v>
      </c>
      <c r="N247" s="2">
        <v>69587.5</v>
      </c>
      <c r="O247" s="1" t="s">
        <v>22</v>
      </c>
      <c r="P247" s="1" t="s">
        <v>152</v>
      </c>
      <c r="Q247" s="1">
        <v>1</v>
      </c>
    </row>
    <row r="248" spans="1:17" x14ac:dyDescent="0.2">
      <c r="D248" s="1" t="s">
        <v>43</v>
      </c>
      <c r="E248" s="1">
        <v>103327288</v>
      </c>
      <c r="G248" s="1" t="s">
        <v>88</v>
      </c>
      <c r="I248" s="1" t="s">
        <v>88</v>
      </c>
      <c r="K248" s="2">
        <v>34960</v>
      </c>
      <c r="L248" s="1" t="s">
        <v>22</v>
      </c>
      <c r="N248" s="2">
        <v>34960</v>
      </c>
      <c r="O248" s="1" t="s">
        <v>22</v>
      </c>
      <c r="P248" s="1" t="s">
        <v>153</v>
      </c>
      <c r="Q248" s="1">
        <v>1</v>
      </c>
    </row>
    <row r="250" spans="1:17" x14ac:dyDescent="0.2">
      <c r="B250" s="1" t="s">
        <v>25</v>
      </c>
      <c r="K250" s="2">
        <v>126997.5</v>
      </c>
      <c r="L250" s="1" t="s">
        <v>22</v>
      </c>
      <c r="N250" s="2">
        <v>126997.5</v>
      </c>
      <c r="O250" s="1" t="s">
        <v>22</v>
      </c>
    </row>
    <row r="252" spans="1:17" x14ac:dyDescent="0.2">
      <c r="A252" s="3"/>
      <c r="B252" s="3" t="s">
        <v>26</v>
      </c>
      <c r="C252" s="3" t="s">
        <v>154</v>
      </c>
      <c r="D252" s="3"/>
      <c r="E252" s="3"/>
      <c r="F252" s="3"/>
      <c r="G252" s="3"/>
      <c r="H252" s="3"/>
      <c r="I252" s="3"/>
      <c r="J252" s="3"/>
      <c r="K252" s="4">
        <v>126997.5</v>
      </c>
      <c r="L252" s="3" t="s">
        <v>22</v>
      </c>
      <c r="M252" s="3"/>
      <c r="N252" s="4">
        <v>126997.5</v>
      </c>
      <c r="O252" s="3" t="s">
        <v>22</v>
      </c>
      <c r="P252" s="3"/>
      <c r="Q252" s="3"/>
    </row>
    <row r="254" spans="1:17" x14ac:dyDescent="0.2">
      <c r="A254" s="1" t="s">
        <v>0</v>
      </c>
      <c r="F254" s="1">
        <v>501140</v>
      </c>
    </row>
    <row r="255" spans="1:17" x14ac:dyDescent="0.2">
      <c r="A255" s="1" t="s">
        <v>1</v>
      </c>
      <c r="F255" s="1" t="s">
        <v>40</v>
      </c>
    </row>
    <row r="257" spans="1:17" x14ac:dyDescent="0.2">
      <c r="A257" s="1" t="s">
        <v>3</v>
      </c>
      <c r="F257" s="1" t="s">
        <v>155</v>
      </c>
    </row>
    <row r="258" spans="1:17" x14ac:dyDescent="0.2">
      <c r="A258" s="1" t="s">
        <v>5</v>
      </c>
      <c r="F258" s="1" t="s">
        <v>108</v>
      </c>
    </row>
    <row r="261" spans="1:17" x14ac:dyDescent="0.2">
      <c r="C261" s="1" t="s">
        <v>6</v>
      </c>
      <c r="D261" s="1" t="s">
        <v>7</v>
      </c>
      <c r="E261" s="1" t="s">
        <v>8</v>
      </c>
      <c r="G261" s="1" t="s">
        <v>9</v>
      </c>
      <c r="H261" s="1" t="s">
        <v>10</v>
      </c>
      <c r="I261" s="1" t="s">
        <v>11</v>
      </c>
      <c r="J261" s="1" t="s">
        <v>12</v>
      </c>
      <c r="K261" s="1" t="s">
        <v>13</v>
      </c>
      <c r="L261" s="1" t="s">
        <v>14</v>
      </c>
      <c r="M261" s="1" t="s">
        <v>15</v>
      </c>
      <c r="N261" s="1" t="s">
        <v>16</v>
      </c>
      <c r="O261" s="1" t="s">
        <v>17</v>
      </c>
      <c r="P261" s="1" t="s">
        <v>18</v>
      </c>
      <c r="Q261" s="1" t="s">
        <v>19</v>
      </c>
    </row>
    <row r="263" spans="1:17" x14ac:dyDescent="0.2">
      <c r="D263" s="1" t="s">
        <v>43</v>
      </c>
      <c r="E263" s="1">
        <v>103327261</v>
      </c>
      <c r="G263" s="1" t="s">
        <v>59</v>
      </c>
      <c r="I263" s="1" t="s">
        <v>59</v>
      </c>
      <c r="K263" s="2">
        <v>225594</v>
      </c>
      <c r="L263" s="1" t="s">
        <v>22</v>
      </c>
      <c r="N263" s="2">
        <v>225594</v>
      </c>
      <c r="O263" s="1" t="s">
        <v>22</v>
      </c>
      <c r="P263" s="1" t="s">
        <v>156</v>
      </c>
      <c r="Q263" s="1">
        <v>1</v>
      </c>
    </row>
    <row r="264" spans="1:17" x14ac:dyDescent="0.2">
      <c r="D264" s="1" t="s">
        <v>43</v>
      </c>
      <c r="E264" s="1">
        <v>103327262</v>
      </c>
      <c r="G264" s="1" t="s">
        <v>59</v>
      </c>
      <c r="I264" s="1" t="s">
        <v>59</v>
      </c>
      <c r="K264" s="2">
        <v>239006.88</v>
      </c>
      <c r="L264" s="1" t="s">
        <v>22</v>
      </c>
      <c r="N264" s="2">
        <v>239006.88</v>
      </c>
      <c r="O264" s="1" t="s">
        <v>22</v>
      </c>
      <c r="P264" s="1" t="s">
        <v>157</v>
      </c>
      <c r="Q264" s="1">
        <v>1</v>
      </c>
    </row>
    <row r="265" spans="1:17" x14ac:dyDescent="0.2">
      <c r="D265" s="1" t="s">
        <v>43</v>
      </c>
      <c r="E265" s="1">
        <v>103327294</v>
      </c>
      <c r="G265" s="1" t="s">
        <v>113</v>
      </c>
      <c r="I265" s="1" t="s">
        <v>113</v>
      </c>
      <c r="K265" s="2">
        <v>360000</v>
      </c>
      <c r="L265" s="1" t="s">
        <v>22</v>
      </c>
      <c r="N265" s="2">
        <v>360000</v>
      </c>
      <c r="O265" s="1" t="s">
        <v>22</v>
      </c>
      <c r="P265" s="1" t="s">
        <v>158</v>
      </c>
      <c r="Q265" s="1">
        <v>1</v>
      </c>
    </row>
    <row r="267" spans="1:17" x14ac:dyDescent="0.2">
      <c r="B267" s="1" t="s">
        <v>25</v>
      </c>
      <c r="K267" s="2">
        <v>824600.88</v>
      </c>
      <c r="L267" s="1" t="s">
        <v>22</v>
      </c>
      <c r="N267" s="2">
        <v>824600.88</v>
      </c>
      <c r="O267" s="1" t="s">
        <v>22</v>
      </c>
    </row>
    <row r="269" spans="1:17" x14ac:dyDescent="0.2">
      <c r="A269" s="3"/>
      <c r="B269" s="3" t="s">
        <v>26</v>
      </c>
      <c r="C269" s="3" t="s">
        <v>159</v>
      </c>
      <c r="D269" s="3"/>
      <c r="E269" s="3"/>
      <c r="F269" s="3"/>
      <c r="G269" s="3"/>
      <c r="H269" s="3"/>
      <c r="I269" s="3"/>
      <c r="J269" s="3"/>
      <c r="K269" s="4">
        <v>824600.88</v>
      </c>
      <c r="L269" s="3" t="s">
        <v>22</v>
      </c>
      <c r="M269" s="3"/>
      <c r="N269" s="4">
        <v>824600.88</v>
      </c>
      <c r="O269" s="3" t="s">
        <v>22</v>
      </c>
      <c r="P269" s="3"/>
      <c r="Q269" s="3"/>
    </row>
    <row r="271" spans="1:17" x14ac:dyDescent="0.2">
      <c r="A271" s="1" t="s">
        <v>0</v>
      </c>
      <c r="F271" s="1">
        <v>501142</v>
      </c>
    </row>
    <row r="272" spans="1:17" x14ac:dyDescent="0.2">
      <c r="A272" s="1" t="s">
        <v>1</v>
      </c>
      <c r="F272" s="1" t="s">
        <v>40</v>
      </c>
    </row>
    <row r="274" spans="1:17" x14ac:dyDescent="0.2">
      <c r="A274" s="1" t="s">
        <v>3</v>
      </c>
      <c r="F274" s="1" t="s">
        <v>160</v>
      </c>
    </row>
    <row r="275" spans="1:17" x14ac:dyDescent="0.2">
      <c r="A275" s="1" t="s">
        <v>5</v>
      </c>
      <c r="F275" s="1" t="s">
        <v>70</v>
      </c>
    </row>
    <row r="278" spans="1:17" x14ac:dyDescent="0.2">
      <c r="C278" s="1" t="s">
        <v>6</v>
      </c>
      <c r="D278" s="1" t="s">
        <v>7</v>
      </c>
      <c r="E278" s="1" t="s">
        <v>8</v>
      </c>
      <c r="G278" s="1" t="s">
        <v>9</v>
      </c>
      <c r="H278" s="1" t="s">
        <v>10</v>
      </c>
      <c r="I278" s="1" t="s">
        <v>11</v>
      </c>
      <c r="J278" s="1" t="s">
        <v>12</v>
      </c>
      <c r="K278" s="1" t="s">
        <v>13</v>
      </c>
      <c r="L278" s="1" t="s">
        <v>14</v>
      </c>
      <c r="M278" s="1" t="s">
        <v>15</v>
      </c>
      <c r="N278" s="1" t="s">
        <v>16</v>
      </c>
      <c r="O278" s="1" t="s">
        <v>17</v>
      </c>
      <c r="P278" s="1" t="s">
        <v>18</v>
      </c>
      <c r="Q278" s="1" t="s">
        <v>19</v>
      </c>
    </row>
    <row r="280" spans="1:17" x14ac:dyDescent="0.2">
      <c r="D280" s="1" t="s">
        <v>43</v>
      </c>
      <c r="E280" s="1">
        <v>103327223</v>
      </c>
      <c r="G280" s="1" t="s">
        <v>46</v>
      </c>
      <c r="I280" s="1" t="s">
        <v>46</v>
      </c>
      <c r="K280" s="2">
        <v>432340.8</v>
      </c>
      <c r="L280" s="1" t="s">
        <v>22</v>
      </c>
      <c r="N280" s="2">
        <v>432340.8</v>
      </c>
      <c r="O280" s="1" t="s">
        <v>22</v>
      </c>
      <c r="P280" s="1" t="s">
        <v>161</v>
      </c>
      <c r="Q280" s="1">
        <v>1</v>
      </c>
    </row>
    <row r="281" spans="1:17" x14ac:dyDescent="0.2">
      <c r="D281" s="1" t="s">
        <v>43</v>
      </c>
      <c r="E281" s="1">
        <v>103327235</v>
      </c>
      <c r="G281" s="1" t="s">
        <v>162</v>
      </c>
      <c r="I281" s="1" t="s">
        <v>162</v>
      </c>
      <c r="K281" s="2">
        <v>440988.88</v>
      </c>
      <c r="L281" s="1" t="s">
        <v>22</v>
      </c>
      <c r="N281" s="2">
        <v>440988.88</v>
      </c>
      <c r="O281" s="1" t="s">
        <v>22</v>
      </c>
      <c r="P281" s="1" t="s">
        <v>163</v>
      </c>
      <c r="Q281" s="1">
        <v>1</v>
      </c>
    </row>
    <row r="282" spans="1:17" x14ac:dyDescent="0.2">
      <c r="D282" s="1" t="s">
        <v>43</v>
      </c>
      <c r="E282" s="1">
        <v>103327283</v>
      </c>
      <c r="G282" s="1" t="s">
        <v>57</v>
      </c>
      <c r="I282" s="1" t="s">
        <v>57</v>
      </c>
      <c r="K282" s="2">
        <v>704911.52</v>
      </c>
      <c r="L282" s="1" t="s">
        <v>22</v>
      </c>
      <c r="N282" s="2">
        <v>704911.52</v>
      </c>
      <c r="O282" s="1" t="s">
        <v>22</v>
      </c>
      <c r="P282" s="1" t="s">
        <v>164</v>
      </c>
      <c r="Q282" s="1">
        <v>1</v>
      </c>
    </row>
    <row r="283" spans="1:17" x14ac:dyDescent="0.2">
      <c r="D283" s="1" t="s">
        <v>43</v>
      </c>
      <c r="E283" s="1">
        <v>103327284</v>
      </c>
      <c r="G283" s="1" t="s">
        <v>88</v>
      </c>
      <c r="I283" s="1" t="s">
        <v>88</v>
      </c>
      <c r="K283" s="2">
        <v>347849.93</v>
      </c>
      <c r="L283" s="1" t="s">
        <v>22</v>
      </c>
      <c r="N283" s="2">
        <v>347849.93</v>
      </c>
      <c r="O283" s="1" t="s">
        <v>22</v>
      </c>
      <c r="P283" s="1" t="s">
        <v>165</v>
      </c>
      <c r="Q283" s="1">
        <v>1</v>
      </c>
    </row>
    <row r="285" spans="1:17" x14ac:dyDescent="0.2">
      <c r="B285" s="1" t="s">
        <v>25</v>
      </c>
      <c r="K285" s="2">
        <v>1926091.13</v>
      </c>
      <c r="L285" s="1" t="s">
        <v>22</v>
      </c>
      <c r="N285" s="2">
        <v>1926091.13</v>
      </c>
      <c r="O285" s="1" t="s">
        <v>22</v>
      </c>
    </row>
    <row r="287" spans="1:17" x14ac:dyDescent="0.2">
      <c r="A287" s="3"/>
      <c r="B287" s="3" t="s">
        <v>26</v>
      </c>
      <c r="C287" s="3" t="s">
        <v>166</v>
      </c>
      <c r="D287" s="3"/>
      <c r="E287" s="3"/>
      <c r="F287" s="3"/>
      <c r="G287" s="3"/>
      <c r="H287" s="3"/>
      <c r="I287" s="3"/>
      <c r="J287" s="3"/>
      <c r="K287" s="4">
        <v>1926091.13</v>
      </c>
      <c r="L287" s="3" t="s">
        <v>22</v>
      </c>
      <c r="M287" s="3"/>
      <c r="N287" s="4">
        <v>1926091.13</v>
      </c>
      <c r="O287" s="3" t="s">
        <v>22</v>
      </c>
      <c r="P287" s="3"/>
      <c r="Q287" s="3"/>
    </row>
    <row r="289" spans="1:17" x14ac:dyDescent="0.2">
      <c r="A289" s="1" t="s">
        <v>0</v>
      </c>
      <c r="F289" s="1">
        <v>501147</v>
      </c>
    </row>
    <row r="290" spans="1:17" x14ac:dyDescent="0.2">
      <c r="A290" s="1" t="s">
        <v>1</v>
      </c>
      <c r="F290" s="1" t="s">
        <v>40</v>
      </c>
    </row>
    <row r="292" spans="1:17" x14ac:dyDescent="0.2">
      <c r="A292" s="1" t="s">
        <v>3</v>
      </c>
      <c r="F292" s="1" t="s">
        <v>167</v>
      </c>
    </row>
    <row r="293" spans="1:17" x14ac:dyDescent="0.2">
      <c r="A293" s="1" t="s">
        <v>5</v>
      </c>
      <c r="F293" s="1" t="s">
        <v>70</v>
      </c>
    </row>
    <row r="296" spans="1:17" x14ac:dyDescent="0.2">
      <c r="C296" s="1" t="s">
        <v>6</v>
      </c>
      <c r="D296" s="1" t="s">
        <v>7</v>
      </c>
      <c r="E296" s="1" t="s">
        <v>8</v>
      </c>
      <c r="G296" s="1" t="s">
        <v>9</v>
      </c>
      <c r="H296" s="1" t="s">
        <v>10</v>
      </c>
      <c r="I296" s="1" t="s">
        <v>11</v>
      </c>
      <c r="J296" s="1" t="s">
        <v>12</v>
      </c>
      <c r="K296" s="1" t="s">
        <v>13</v>
      </c>
      <c r="L296" s="1" t="s">
        <v>14</v>
      </c>
      <c r="M296" s="1" t="s">
        <v>15</v>
      </c>
      <c r="N296" s="1" t="s">
        <v>16</v>
      </c>
      <c r="O296" s="1" t="s">
        <v>17</v>
      </c>
      <c r="P296" s="1" t="s">
        <v>18</v>
      </c>
      <c r="Q296" s="1" t="s">
        <v>19</v>
      </c>
    </row>
    <row r="298" spans="1:17" x14ac:dyDescent="0.2">
      <c r="D298" s="1" t="s">
        <v>43</v>
      </c>
      <c r="E298" s="1">
        <v>103327743</v>
      </c>
      <c r="G298" s="1" t="s">
        <v>66</v>
      </c>
      <c r="I298" s="1" t="s">
        <v>66</v>
      </c>
      <c r="K298" s="2">
        <v>501404</v>
      </c>
      <c r="L298" s="1" t="s">
        <v>22</v>
      </c>
      <c r="N298" s="2">
        <v>501404</v>
      </c>
      <c r="O298" s="1" t="s">
        <v>22</v>
      </c>
      <c r="P298" s="1" t="s">
        <v>168</v>
      </c>
      <c r="Q298" s="1">
        <v>1</v>
      </c>
    </row>
    <row r="300" spans="1:17" x14ac:dyDescent="0.2">
      <c r="B300" s="1" t="s">
        <v>25</v>
      </c>
      <c r="K300" s="2">
        <v>501404</v>
      </c>
      <c r="L300" s="1" t="s">
        <v>22</v>
      </c>
      <c r="N300" s="2">
        <v>501404</v>
      </c>
      <c r="O300" s="1" t="s">
        <v>22</v>
      </c>
    </row>
    <row r="302" spans="1:17" x14ac:dyDescent="0.2">
      <c r="A302" s="3"/>
      <c r="B302" s="3" t="s">
        <v>26</v>
      </c>
      <c r="C302" s="3" t="s">
        <v>169</v>
      </c>
      <c r="D302" s="3"/>
      <c r="E302" s="3"/>
      <c r="F302" s="3"/>
      <c r="G302" s="3"/>
      <c r="H302" s="3"/>
      <c r="I302" s="3"/>
      <c r="J302" s="3"/>
      <c r="K302" s="4">
        <v>501404</v>
      </c>
      <c r="L302" s="3" t="s">
        <v>22</v>
      </c>
      <c r="M302" s="3"/>
      <c r="N302" s="4">
        <v>501404</v>
      </c>
      <c r="O302" s="3" t="s">
        <v>22</v>
      </c>
      <c r="P302" s="3"/>
      <c r="Q302" s="3"/>
    </row>
    <row r="304" spans="1:17" x14ac:dyDescent="0.2">
      <c r="A304" s="1" t="s">
        <v>0</v>
      </c>
      <c r="F304" s="1">
        <v>501148</v>
      </c>
    </row>
    <row r="305" spans="1:17" x14ac:dyDescent="0.2">
      <c r="A305" s="1" t="s">
        <v>1</v>
      </c>
      <c r="F305" s="1" t="s">
        <v>40</v>
      </c>
    </row>
    <row r="307" spans="1:17" x14ac:dyDescent="0.2">
      <c r="A307" s="1" t="s">
        <v>3</v>
      </c>
      <c r="F307" s="1" t="s">
        <v>170</v>
      </c>
    </row>
    <row r="308" spans="1:17" x14ac:dyDescent="0.2">
      <c r="A308" s="1" t="s">
        <v>5</v>
      </c>
      <c r="F308" s="1" t="s">
        <v>108</v>
      </c>
    </row>
    <row r="311" spans="1:17" x14ac:dyDescent="0.2">
      <c r="C311" s="1" t="s">
        <v>6</v>
      </c>
      <c r="D311" s="1" t="s">
        <v>7</v>
      </c>
      <c r="E311" s="1" t="s">
        <v>8</v>
      </c>
      <c r="G311" s="1" t="s">
        <v>9</v>
      </c>
      <c r="H311" s="1" t="s">
        <v>10</v>
      </c>
      <c r="I311" s="1" t="s">
        <v>11</v>
      </c>
      <c r="J311" s="1" t="s">
        <v>12</v>
      </c>
      <c r="K311" s="1" t="s">
        <v>13</v>
      </c>
      <c r="L311" s="1" t="s">
        <v>14</v>
      </c>
      <c r="M311" s="1" t="s">
        <v>15</v>
      </c>
      <c r="N311" s="1" t="s">
        <v>16</v>
      </c>
      <c r="O311" s="1" t="s">
        <v>17</v>
      </c>
      <c r="P311" s="1" t="s">
        <v>18</v>
      </c>
      <c r="Q311" s="1" t="s">
        <v>19</v>
      </c>
    </row>
    <row r="313" spans="1:17" x14ac:dyDescent="0.2">
      <c r="D313" s="1" t="s">
        <v>43</v>
      </c>
      <c r="E313" s="1">
        <v>103327719</v>
      </c>
      <c r="G313" s="1" t="s">
        <v>64</v>
      </c>
      <c r="I313" s="1" t="s">
        <v>64</v>
      </c>
      <c r="K313" s="2">
        <v>301000</v>
      </c>
      <c r="L313" s="1" t="s">
        <v>22</v>
      </c>
      <c r="N313" s="2">
        <v>301000</v>
      </c>
      <c r="O313" s="1" t="s">
        <v>22</v>
      </c>
      <c r="P313" s="1" t="s">
        <v>171</v>
      </c>
      <c r="Q313" s="1">
        <v>1</v>
      </c>
    </row>
    <row r="314" spans="1:17" x14ac:dyDescent="0.2">
      <c r="D314" s="1" t="s">
        <v>43</v>
      </c>
      <c r="E314" s="1">
        <v>103327720</v>
      </c>
      <c r="G314" s="1" t="s">
        <v>64</v>
      </c>
      <c r="I314" s="1" t="s">
        <v>64</v>
      </c>
      <c r="K314" s="2">
        <v>151000</v>
      </c>
      <c r="L314" s="1" t="s">
        <v>22</v>
      </c>
      <c r="N314" s="2">
        <v>151000</v>
      </c>
      <c r="O314" s="1" t="s">
        <v>22</v>
      </c>
      <c r="P314" s="1" t="s">
        <v>172</v>
      </c>
      <c r="Q314" s="1">
        <v>1</v>
      </c>
    </row>
    <row r="315" spans="1:17" x14ac:dyDescent="0.2">
      <c r="D315" s="1" t="s">
        <v>43</v>
      </c>
      <c r="E315" s="1">
        <v>103327746</v>
      </c>
      <c r="G315" s="1" t="s">
        <v>66</v>
      </c>
      <c r="I315" s="1" t="s">
        <v>66</v>
      </c>
      <c r="K315" s="2">
        <v>310000</v>
      </c>
      <c r="L315" s="1" t="s">
        <v>22</v>
      </c>
      <c r="N315" s="2">
        <v>310000</v>
      </c>
      <c r="O315" s="1" t="s">
        <v>22</v>
      </c>
      <c r="P315" s="1" t="s">
        <v>173</v>
      </c>
      <c r="Q315" s="1">
        <v>1</v>
      </c>
    </row>
    <row r="317" spans="1:17" x14ac:dyDescent="0.2">
      <c r="B317" s="1" t="s">
        <v>25</v>
      </c>
      <c r="K317" s="2">
        <v>762000</v>
      </c>
      <c r="L317" s="1" t="s">
        <v>22</v>
      </c>
      <c r="N317" s="2">
        <v>762000</v>
      </c>
      <c r="O317" s="1" t="s">
        <v>22</v>
      </c>
    </row>
    <row r="319" spans="1:17" x14ac:dyDescent="0.2">
      <c r="A319" s="3"/>
      <c r="B319" s="3" t="s">
        <v>26</v>
      </c>
      <c r="C319" s="3" t="s">
        <v>174</v>
      </c>
      <c r="D319" s="3"/>
      <c r="E319" s="3"/>
      <c r="F319" s="3"/>
      <c r="G319" s="3"/>
      <c r="H319" s="3"/>
      <c r="I319" s="3"/>
      <c r="J319" s="3"/>
      <c r="K319" s="4">
        <v>762000</v>
      </c>
      <c r="L319" s="3" t="s">
        <v>22</v>
      </c>
      <c r="M319" s="3"/>
      <c r="N319" s="4">
        <v>762000</v>
      </c>
      <c r="O319" s="3" t="s">
        <v>22</v>
      </c>
      <c r="P319" s="3"/>
      <c r="Q319" s="3"/>
    </row>
    <row r="321" spans="1:17" x14ac:dyDescent="0.2">
      <c r="A321" s="1" t="s">
        <v>0</v>
      </c>
      <c r="F321" s="1">
        <v>501149</v>
      </c>
    </row>
    <row r="322" spans="1:17" x14ac:dyDescent="0.2">
      <c r="A322" s="1" t="s">
        <v>1</v>
      </c>
      <c r="F322" s="1" t="s">
        <v>40</v>
      </c>
    </row>
    <row r="324" spans="1:17" x14ac:dyDescent="0.2">
      <c r="A324" s="1" t="s">
        <v>3</v>
      </c>
      <c r="F324" s="1" t="s">
        <v>175</v>
      </c>
    </row>
    <row r="325" spans="1:17" x14ac:dyDescent="0.2">
      <c r="A325" s="1" t="s">
        <v>5</v>
      </c>
      <c r="F325" s="1" t="s">
        <v>70</v>
      </c>
    </row>
    <row r="328" spans="1:17" x14ac:dyDescent="0.2">
      <c r="C328" s="1" t="s">
        <v>6</v>
      </c>
      <c r="D328" s="1" t="s">
        <v>7</v>
      </c>
      <c r="E328" s="1" t="s">
        <v>8</v>
      </c>
      <c r="G328" s="1" t="s">
        <v>9</v>
      </c>
      <c r="H328" s="1" t="s">
        <v>10</v>
      </c>
      <c r="I328" s="1" t="s">
        <v>11</v>
      </c>
      <c r="J328" s="1" t="s">
        <v>12</v>
      </c>
      <c r="K328" s="1" t="s">
        <v>13</v>
      </c>
      <c r="L328" s="1" t="s">
        <v>14</v>
      </c>
      <c r="M328" s="1" t="s">
        <v>15</v>
      </c>
      <c r="N328" s="1" t="s">
        <v>16</v>
      </c>
      <c r="O328" s="1" t="s">
        <v>17</v>
      </c>
      <c r="P328" s="1" t="s">
        <v>18</v>
      </c>
      <c r="Q328" s="1" t="s">
        <v>19</v>
      </c>
    </row>
    <row r="330" spans="1:17" x14ac:dyDescent="0.2">
      <c r="D330" s="1" t="s">
        <v>43</v>
      </c>
      <c r="E330" s="1">
        <v>103327190</v>
      </c>
      <c r="G330" s="1" t="s">
        <v>54</v>
      </c>
      <c r="I330" s="1" t="s">
        <v>54</v>
      </c>
      <c r="K330" s="2">
        <v>700969.2</v>
      </c>
      <c r="L330" s="1" t="s">
        <v>22</v>
      </c>
      <c r="N330" s="2">
        <v>700969.2</v>
      </c>
      <c r="O330" s="1" t="s">
        <v>22</v>
      </c>
      <c r="P330" s="1" t="s">
        <v>176</v>
      </c>
      <c r="Q330" s="1">
        <v>1</v>
      </c>
    </row>
    <row r="331" spans="1:17" x14ac:dyDescent="0.2">
      <c r="D331" s="1" t="s">
        <v>43</v>
      </c>
      <c r="E331" s="1">
        <v>103327279</v>
      </c>
      <c r="G331" s="1" t="s">
        <v>61</v>
      </c>
      <c r="I331" s="1" t="s">
        <v>61</v>
      </c>
      <c r="K331" s="2">
        <v>351010.33</v>
      </c>
      <c r="L331" s="1" t="s">
        <v>22</v>
      </c>
      <c r="N331" s="2">
        <v>351010.33</v>
      </c>
      <c r="O331" s="1" t="s">
        <v>22</v>
      </c>
      <c r="P331" s="1" t="s">
        <v>177</v>
      </c>
      <c r="Q331" s="1">
        <v>1</v>
      </c>
    </row>
    <row r="332" spans="1:17" x14ac:dyDescent="0.2">
      <c r="D332" s="1" t="s">
        <v>43</v>
      </c>
      <c r="E332" s="1">
        <v>103327280</v>
      </c>
      <c r="G332" s="1" t="s">
        <v>61</v>
      </c>
      <c r="I332" s="1" t="s">
        <v>61</v>
      </c>
      <c r="K332" s="2">
        <v>467312.8</v>
      </c>
      <c r="L332" s="1" t="s">
        <v>22</v>
      </c>
      <c r="N332" s="2">
        <v>467312.8</v>
      </c>
      <c r="O332" s="1" t="s">
        <v>22</v>
      </c>
      <c r="P332" s="1" t="s">
        <v>178</v>
      </c>
      <c r="Q332" s="1">
        <v>1</v>
      </c>
    </row>
    <row r="334" spans="1:17" x14ac:dyDescent="0.2">
      <c r="B334" s="1" t="s">
        <v>25</v>
      </c>
      <c r="K334" s="2">
        <v>1519292.33</v>
      </c>
      <c r="L334" s="1" t="s">
        <v>22</v>
      </c>
      <c r="N334" s="2">
        <v>1519292.33</v>
      </c>
      <c r="O334" s="1" t="s">
        <v>22</v>
      </c>
    </row>
    <row r="336" spans="1:17" x14ac:dyDescent="0.2">
      <c r="A336" s="3"/>
      <c r="B336" s="3" t="s">
        <v>26</v>
      </c>
      <c r="C336" s="3" t="s">
        <v>179</v>
      </c>
      <c r="D336" s="3"/>
      <c r="E336" s="3"/>
      <c r="F336" s="3"/>
      <c r="G336" s="3"/>
      <c r="H336" s="3"/>
      <c r="I336" s="3"/>
      <c r="J336" s="3"/>
      <c r="K336" s="4">
        <v>1519292.33</v>
      </c>
      <c r="L336" s="3" t="s">
        <v>22</v>
      </c>
      <c r="M336" s="3"/>
      <c r="N336" s="4">
        <v>1519292.33</v>
      </c>
      <c r="O336" s="3" t="s">
        <v>22</v>
      </c>
      <c r="P336" s="3"/>
      <c r="Q336" s="3"/>
    </row>
    <row r="338" spans="1:17" x14ac:dyDescent="0.2">
      <c r="A338" s="1" t="s">
        <v>0</v>
      </c>
      <c r="F338" s="1">
        <v>501157</v>
      </c>
    </row>
    <row r="339" spans="1:17" x14ac:dyDescent="0.2">
      <c r="A339" s="1" t="s">
        <v>1</v>
      </c>
      <c r="F339" s="1" t="s">
        <v>40</v>
      </c>
    </row>
    <row r="341" spans="1:17" x14ac:dyDescent="0.2">
      <c r="A341" s="1" t="s">
        <v>3</v>
      </c>
      <c r="F341" s="1" t="s">
        <v>180</v>
      </c>
    </row>
    <row r="342" spans="1:17" x14ac:dyDescent="0.2">
      <c r="A342" s="1" t="s">
        <v>5</v>
      </c>
      <c r="F342" s="1" t="s">
        <v>181</v>
      </c>
    </row>
    <row r="345" spans="1:17" x14ac:dyDescent="0.2">
      <c r="C345" s="1" t="s">
        <v>6</v>
      </c>
      <c r="D345" s="1" t="s">
        <v>7</v>
      </c>
      <c r="E345" s="1" t="s">
        <v>8</v>
      </c>
      <c r="G345" s="1" t="s">
        <v>9</v>
      </c>
      <c r="H345" s="1" t="s">
        <v>10</v>
      </c>
      <c r="I345" s="1" t="s">
        <v>11</v>
      </c>
      <c r="J345" s="1" t="s">
        <v>12</v>
      </c>
      <c r="K345" s="1" t="s">
        <v>13</v>
      </c>
      <c r="L345" s="1" t="s">
        <v>14</v>
      </c>
      <c r="M345" s="1" t="s">
        <v>15</v>
      </c>
      <c r="N345" s="1" t="s">
        <v>16</v>
      </c>
      <c r="O345" s="1" t="s">
        <v>17</v>
      </c>
      <c r="P345" s="1" t="s">
        <v>18</v>
      </c>
      <c r="Q345" s="1" t="s">
        <v>19</v>
      </c>
    </row>
    <row r="347" spans="1:17" x14ac:dyDescent="0.2">
      <c r="D347" s="1" t="s">
        <v>43</v>
      </c>
      <c r="E347" s="1">
        <v>103327185</v>
      </c>
      <c r="G347" s="1" t="s">
        <v>182</v>
      </c>
      <c r="I347" s="1" t="s">
        <v>182</v>
      </c>
      <c r="K347" s="2">
        <v>2784501</v>
      </c>
      <c r="L347" s="1" t="s">
        <v>22</v>
      </c>
      <c r="N347" s="2">
        <v>677000</v>
      </c>
      <c r="O347" s="1" t="s">
        <v>31</v>
      </c>
      <c r="P347" s="1" t="s">
        <v>183</v>
      </c>
      <c r="Q347" s="1">
        <v>4.1130000000000004</v>
      </c>
    </row>
    <row r="348" spans="1:17" x14ac:dyDescent="0.2">
      <c r="D348" s="1" t="s">
        <v>43</v>
      </c>
      <c r="E348" s="1">
        <v>103327203</v>
      </c>
      <c r="G348" s="1" t="s">
        <v>21</v>
      </c>
      <c r="I348" s="1" t="s">
        <v>21</v>
      </c>
      <c r="K348" s="2">
        <v>1478160</v>
      </c>
      <c r="L348" s="1" t="s">
        <v>22</v>
      </c>
      <c r="N348" s="2">
        <v>360000</v>
      </c>
      <c r="O348" s="1" t="s">
        <v>31</v>
      </c>
      <c r="P348" s="1" t="s">
        <v>184</v>
      </c>
      <c r="Q348" s="1">
        <v>4.1059999999999999</v>
      </c>
    </row>
    <row r="349" spans="1:17" x14ac:dyDescent="0.2">
      <c r="D349" s="1" t="s">
        <v>43</v>
      </c>
      <c r="E349" s="1">
        <v>103327205</v>
      </c>
      <c r="G349" s="1" t="s">
        <v>21</v>
      </c>
      <c r="I349" s="1" t="s">
        <v>21</v>
      </c>
      <c r="K349" s="2">
        <v>1716308</v>
      </c>
      <c r="L349" s="1" t="s">
        <v>22</v>
      </c>
      <c r="N349" s="2">
        <v>418000</v>
      </c>
      <c r="O349" s="1" t="s">
        <v>31</v>
      </c>
      <c r="P349" s="1" t="s">
        <v>185</v>
      </c>
      <c r="Q349" s="1">
        <v>4.1059999999999999</v>
      </c>
    </row>
    <row r="350" spans="1:17" x14ac:dyDescent="0.2">
      <c r="D350" s="1" t="s">
        <v>43</v>
      </c>
      <c r="E350" s="1">
        <v>103327274</v>
      </c>
      <c r="G350" s="1" t="s">
        <v>50</v>
      </c>
      <c r="I350" s="1" t="s">
        <v>50</v>
      </c>
      <c r="K350" s="2">
        <v>612300</v>
      </c>
      <c r="L350" s="1" t="s">
        <v>22</v>
      </c>
      <c r="N350" s="2">
        <v>150000</v>
      </c>
      <c r="O350" s="1" t="s">
        <v>31</v>
      </c>
      <c r="P350" s="1" t="s">
        <v>186</v>
      </c>
      <c r="Q350" s="1">
        <v>4.0819999999999999</v>
      </c>
    </row>
    <row r="351" spans="1:17" x14ac:dyDescent="0.2">
      <c r="D351" s="1" t="s">
        <v>43</v>
      </c>
      <c r="E351" s="1">
        <v>103327297</v>
      </c>
      <c r="G351" s="1" t="s">
        <v>113</v>
      </c>
      <c r="I351" s="1" t="s">
        <v>113</v>
      </c>
      <c r="K351" s="2">
        <v>1242570</v>
      </c>
      <c r="L351" s="1" t="s">
        <v>22</v>
      </c>
      <c r="N351" s="2">
        <v>305000</v>
      </c>
      <c r="O351" s="1" t="s">
        <v>31</v>
      </c>
      <c r="P351" s="1" t="s">
        <v>187</v>
      </c>
      <c r="Q351" s="1">
        <v>4.0739999999999998</v>
      </c>
    </row>
    <row r="352" spans="1:17" x14ac:dyDescent="0.2">
      <c r="D352" s="1" t="s">
        <v>43</v>
      </c>
      <c r="E352" s="1">
        <v>103327337</v>
      </c>
      <c r="G352" s="1" t="s">
        <v>36</v>
      </c>
      <c r="I352" s="1" t="s">
        <v>36</v>
      </c>
      <c r="K352" s="2">
        <v>2190780</v>
      </c>
      <c r="L352" s="1" t="s">
        <v>22</v>
      </c>
      <c r="N352" s="2">
        <v>540000</v>
      </c>
      <c r="O352" s="1" t="s">
        <v>31</v>
      </c>
      <c r="P352" s="1" t="s">
        <v>188</v>
      </c>
      <c r="Q352" s="1">
        <v>4.0570000000000004</v>
      </c>
    </row>
    <row r="353" spans="1:17" x14ac:dyDescent="0.2">
      <c r="D353" s="1" t="s">
        <v>43</v>
      </c>
      <c r="E353" s="1">
        <v>103327355</v>
      </c>
      <c r="G353" s="1" t="s">
        <v>30</v>
      </c>
      <c r="I353" s="1" t="s">
        <v>30</v>
      </c>
      <c r="K353" s="2">
        <v>1775400</v>
      </c>
      <c r="L353" s="1" t="s">
        <v>22</v>
      </c>
      <c r="N353" s="2">
        <v>440000</v>
      </c>
      <c r="O353" s="1" t="s">
        <v>31</v>
      </c>
      <c r="P353" s="1" t="s">
        <v>189</v>
      </c>
      <c r="Q353" s="1">
        <v>4.0350000000000001</v>
      </c>
    </row>
    <row r="355" spans="1:17" x14ac:dyDescent="0.2">
      <c r="B355" s="1" t="s">
        <v>25</v>
      </c>
      <c r="K355" s="2">
        <v>11800019</v>
      </c>
      <c r="L355" s="1" t="s">
        <v>22</v>
      </c>
      <c r="N355" s="2">
        <v>2890000</v>
      </c>
      <c r="O355" s="1" t="s">
        <v>31</v>
      </c>
    </row>
    <row r="357" spans="1:17" x14ac:dyDescent="0.2">
      <c r="A357" s="3"/>
      <c r="B357" s="3" t="s">
        <v>26</v>
      </c>
      <c r="C357" s="3" t="s">
        <v>190</v>
      </c>
      <c r="D357" s="3"/>
      <c r="E357" s="3"/>
      <c r="F357" s="3"/>
      <c r="G357" s="3"/>
      <c r="H357" s="3"/>
      <c r="I357" s="3"/>
      <c r="J357" s="3"/>
      <c r="K357" s="4">
        <v>11800019</v>
      </c>
      <c r="L357" s="3" t="s">
        <v>22</v>
      </c>
      <c r="M357" s="3"/>
      <c r="N357" s="4">
        <v>2890000</v>
      </c>
      <c r="O357" s="3" t="s">
        <v>31</v>
      </c>
      <c r="P357" s="3"/>
      <c r="Q357" s="3"/>
    </row>
    <row r="359" spans="1:17" x14ac:dyDescent="0.2">
      <c r="A359" s="1" t="s">
        <v>0</v>
      </c>
      <c r="F359" s="1">
        <v>501160</v>
      </c>
    </row>
    <row r="360" spans="1:17" x14ac:dyDescent="0.2">
      <c r="A360" s="1" t="s">
        <v>1</v>
      </c>
      <c r="F360" s="1" t="s">
        <v>40</v>
      </c>
    </row>
    <row r="362" spans="1:17" x14ac:dyDescent="0.2">
      <c r="A362" s="1" t="s">
        <v>3</v>
      </c>
      <c r="F362" s="1" t="s">
        <v>191</v>
      </c>
    </row>
    <row r="363" spans="1:17" x14ac:dyDescent="0.2">
      <c r="A363" s="1" t="s">
        <v>5</v>
      </c>
      <c r="F363" s="1" t="s">
        <v>192</v>
      </c>
    </row>
    <row r="366" spans="1:17" x14ac:dyDescent="0.2">
      <c r="C366" s="1" t="s">
        <v>6</v>
      </c>
      <c r="D366" s="1" t="s">
        <v>7</v>
      </c>
      <c r="E366" s="1" t="s">
        <v>8</v>
      </c>
      <c r="G366" s="1" t="s">
        <v>9</v>
      </c>
      <c r="H366" s="1" t="s">
        <v>10</v>
      </c>
      <c r="I366" s="1" t="s">
        <v>11</v>
      </c>
      <c r="J366" s="1" t="s">
        <v>12</v>
      </c>
      <c r="K366" s="1" t="s">
        <v>13</v>
      </c>
      <c r="L366" s="1" t="s">
        <v>14</v>
      </c>
      <c r="M366" s="1" t="s">
        <v>15</v>
      </c>
      <c r="N366" s="1" t="s">
        <v>16</v>
      </c>
      <c r="O366" s="1" t="s">
        <v>17</v>
      </c>
      <c r="P366" s="1" t="s">
        <v>18</v>
      </c>
      <c r="Q366" s="1" t="s">
        <v>19</v>
      </c>
    </row>
    <row r="368" spans="1:17" x14ac:dyDescent="0.2">
      <c r="D368" s="1" t="s">
        <v>43</v>
      </c>
      <c r="E368" s="1">
        <v>103327154</v>
      </c>
      <c r="G368" s="1" t="s">
        <v>44</v>
      </c>
      <c r="I368" s="1" t="s">
        <v>44</v>
      </c>
      <c r="K368" s="2">
        <v>15620</v>
      </c>
      <c r="L368" s="1" t="s">
        <v>22</v>
      </c>
      <c r="N368" s="2">
        <v>15620</v>
      </c>
      <c r="O368" s="1" t="s">
        <v>22</v>
      </c>
      <c r="P368" s="1" t="s">
        <v>193</v>
      </c>
      <c r="Q368" s="1">
        <v>1</v>
      </c>
    </row>
    <row r="369" spans="1:17" x14ac:dyDescent="0.2">
      <c r="D369" s="1" t="s">
        <v>43</v>
      </c>
      <c r="E369" s="1">
        <v>103327155</v>
      </c>
      <c r="G369" s="1" t="s">
        <v>44</v>
      </c>
      <c r="I369" s="1" t="s">
        <v>44</v>
      </c>
      <c r="K369" s="2">
        <v>8452.4</v>
      </c>
      <c r="L369" s="1" t="s">
        <v>22</v>
      </c>
      <c r="N369" s="2">
        <v>8452.4</v>
      </c>
      <c r="O369" s="1" t="s">
        <v>22</v>
      </c>
      <c r="P369" s="1" t="s">
        <v>194</v>
      </c>
      <c r="Q369" s="1">
        <v>1</v>
      </c>
    </row>
    <row r="370" spans="1:17" x14ac:dyDescent="0.2">
      <c r="D370" s="1" t="s">
        <v>43</v>
      </c>
      <c r="E370" s="1">
        <v>103327156</v>
      </c>
      <c r="G370" s="1" t="s">
        <v>44</v>
      </c>
      <c r="I370" s="1" t="s">
        <v>44</v>
      </c>
      <c r="K370" s="2">
        <v>52494.18</v>
      </c>
      <c r="L370" s="1" t="s">
        <v>22</v>
      </c>
      <c r="N370" s="2">
        <v>52494.18</v>
      </c>
      <c r="O370" s="1" t="s">
        <v>22</v>
      </c>
      <c r="P370" s="1" t="s">
        <v>195</v>
      </c>
      <c r="Q370" s="1">
        <v>1</v>
      </c>
    </row>
    <row r="371" spans="1:17" x14ac:dyDescent="0.2">
      <c r="D371" s="1" t="s">
        <v>43</v>
      </c>
      <c r="E371" s="1">
        <v>103327157</v>
      </c>
      <c r="G371" s="1" t="s">
        <v>44</v>
      </c>
      <c r="I371" s="1" t="s">
        <v>44</v>
      </c>
      <c r="K371" s="2">
        <v>33342.68</v>
      </c>
      <c r="L371" s="1" t="s">
        <v>22</v>
      </c>
      <c r="N371" s="2">
        <v>33342.68</v>
      </c>
      <c r="O371" s="1" t="s">
        <v>22</v>
      </c>
      <c r="P371" s="1" t="s">
        <v>196</v>
      </c>
      <c r="Q371" s="1">
        <v>1</v>
      </c>
    </row>
    <row r="372" spans="1:17" x14ac:dyDescent="0.2">
      <c r="D372" s="1" t="s">
        <v>43</v>
      </c>
      <c r="E372" s="1">
        <v>103327158</v>
      </c>
      <c r="G372" s="1" t="s">
        <v>44</v>
      </c>
      <c r="I372" s="1" t="s">
        <v>44</v>
      </c>
      <c r="K372" s="2">
        <v>41205.78</v>
      </c>
      <c r="L372" s="1" t="s">
        <v>22</v>
      </c>
      <c r="N372" s="2">
        <v>41205.78</v>
      </c>
      <c r="O372" s="1" t="s">
        <v>22</v>
      </c>
      <c r="P372" s="1" t="s">
        <v>197</v>
      </c>
      <c r="Q372" s="1">
        <v>1</v>
      </c>
    </row>
    <row r="373" spans="1:17" x14ac:dyDescent="0.2">
      <c r="D373" s="1" t="s">
        <v>43</v>
      </c>
      <c r="E373" s="1">
        <v>103327159</v>
      </c>
      <c r="G373" s="1" t="s">
        <v>44</v>
      </c>
      <c r="I373" s="1" t="s">
        <v>44</v>
      </c>
      <c r="K373" s="2">
        <v>1964.6</v>
      </c>
      <c r="L373" s="1" t="s">
        <v>22</v>
      </c>
      <c r="N373" s="2">
        <v>1964.6</v>
      </c>
      <c r="O373" s="1" t="s">
        <v>22</v>
      </c>
      <c r="P373" s="1" t="s">
        <v>198</v>
      </c>
      <c r="Q373" s="1">
        <v>1</v>
      </c>
    </row>
    <row r="374" spans="1:17" x14ac:dyDescent="0.2">
      <c r="D374" s="1" t="s">
        <v>43</v>
      </c>
      <c r="E374" s="1">
        <v>103327160</v>
      </c>
      <c r="G374" s="1" t="s">
        <v>44</v>
      </c>
      <c r="I374" s="1" t="s">
        <v>44</v>
      </c>
      <c r="K374" s="2">
        <v>57031.8</v>
      </c>
      <c r="L374" s="1" t="s">
        <v>22</v>
      </c>
      <c r="N374" s="2">
        <v>57031.8</v>
      </c>
      <c r="O374" s="1" t="s">
        <v>22</v>
      </c>
      <c r="P374" s="1" t="s">
        <v>199</v>
      </c>
      <c r="Q374" s="1">
        <v>1</v>
      </c>
    </row>
    <row r="375" spans="1:17" x14ac:dyDescent="0.2">
      <c r="D375" s="1" t="s">
        <v>43</v>
      </c>
      <c r="E375" s="1">
        <v>103327221</v>
      </c>
      <c r="G375" s="1" t="s">
        <v>46</v>
      </c>
      <c r="I375" s="1" t="s">
        <v>46</v>
      </c>
      <c r="K375" s="2">
        <v>113520.07</v>
      </c>
      <c r="L375" s="1" t="s">
        <v>22</v>
      </c>
      <c r="N375" s="2">
        <v>113520.07</v>
      </c>
      <c r="O375" s="1" t="s">
        <v>22</v>
      </c>
      <c r="P375" s="1" t="s">
        <v>200</v>
      </c>
      <c r="Q375" s="1">
        <v>1</v>
      </c>
    </row>
    <row r="376" spans="1:17" x14ac:dyDescent="0.2">
      <c r="D376" s="1" t="s">
        <v>43</v>
      </c>
      <c r="E376" s="1">
        <v>103327285</v>
      </c>
      <c r="G376" s="1" t="s">
        <v>88</v>
      </c>
      <c r="I376" s="1" t="s">
        <v>88</v>
      </c>
      <c r="K376" s="2">
        <v>127205.08</v>
      </c>
      <c r="L376" s="1" t="s">
        <v>22</v>
      </c>
      <c r="N376" s="2">
        <v>127205.08</v>
      </c>
      <c r="O376" s="1" t="s">
        <v>22</v>
      </c>
      <c r="P376" s="1" t="s">
        <v>201</v>
      </c>
      <c r="Q376" s="1">
        <v>1</v>
      </c>
    </row>
    <row r="378" spans="1:17" x14ac:dyDescent="0.2">
      <c r="B378" s="1" t="s">
        <v>25</v>
      </c>
      <c r="K378" s="2">
        <v>450836.59</v>
      </c>
      <c r="L378" s="1" t="s">
        <v>22</v>
      </c>
      <c r="N378" s="2">
        <v>450836.59</v>
      </c>
      <c r="O378" s="1" t="s">
        <v>22</v>
      </c>
    </row>
    <row r="380" spans="1:17" x14ac:dyDescent="0.2">
      <c r="A380" s="3"/>
      <c r="B380" s="3" t="s">
        <v>26</v>
      </c>
      <c r="C380" s="3" t="s">
        <v>202</v>
      </c>
      <c r="D380" s="3"/>
      <c r="E380" s="3"/>
      <c r="F380" s="3"/>
      <c r="G380" s="3"/>
      <c r="H380" s="3"/>
      <c r="I380" s="3"/>
      <c r="J380" s="3"/>
      <c r="K380" s="4">
        <v>450836.59</v>
      </c>
      <c r="L380" s="3" t="s">
        <v>22</v>
      </c>
      <c r="M380" s="3"/>
      <c r="N380" s="4">
        <v>450836.59</v>
      </c>
      <c r="O380" s="3" t="s">
        <v>22</v>
      </c>
      <c r="P380" s="3"/>
      <c r="Q380" s="3"/>
    </row>
    <row r="382" spans="1:17" x14ac:dyDescent="0.2">
      <c r="A382" s="1" t="s">
        <v>0</v>
      </c>
      <c r="F382" s="1">
        <v>501171</v>
      </c>
    </row>
    <row r="383" spans="1:17" x14ac:dyDescent="0.2">
      <c r="A383" s="1" t="s">
        <v>1</v>
      </c>
      <c r="F383" s="1" t="s">
        <v>40</v>
      </c>
    </row>
    <row r="385" spans="1:17" x14ac:dyDescent="0.2">
      <c r="A385" s="1" t="s">
        <v>3</v>
      </c>
      <c r="F385" s="1" t="s">
        <v>203</v>
      </c>
    </row>
    <row r="386" spans="1:17" x14ac:dyDescent="0.2">
      <c r="A386" s="1" t="s">
        <v>5</v>
      </c>
      <c r="F386" s="1" t="s">
        <v>204</v>
      </c>
    </row>
    <row r="389" spans="1:17" x14ac:dyDescent="0.2">
      <c r="C389" s="1" t="s">
        <v>6</v>
      </c>
      <c r="D389" s="1" t="s">
        <v>7</v>
      </c>
      <c r="E389" s="1" t="s">
        <v>8</v>
      </c>
      <c r="G389" s="1" t="s">
        <v>9</v>
      </c>
      <c r="H389" s="1" t="s">
        <v>10</v>
      </c>
      <c r="I389" s="1" t="s">
        <v>11</v>
      </c>
      <c r="J389" s="1" t="s">
        <v>12</v>
      </c>
      <c r="K389" s="1" t="s">
        <v>13</v>
      </c>
      <c r="L389" s="1" t="s">
        <v>14</v>
      </c>
      <c r="M389" s="1" t="s">
        <v>15</v>
      </c>
      <c r="N389" s="1" t="s">
        <v>16</v>
      </c>
      <c r="O389" s="1" t="s">
        <v>17</v>
      </c>
      <c r="P389" s="1" t="s">
        <v>18</v>
      </c>
      <c r="Q389" s="1" t="s">
        <v>19</v>
      </c>
    </row>
    <row r="391" spans="1:17" x14ac:dyDescent="0.2">
      <c r="D391" s="1" t="s">
        <v>43</v>
      </c>
      <c r="E391" s="1">
        <v>103327249</v>
      </c>
      <c r="G391" s="1" t="s">
        <v>162</v>
      </c>
      <c r="I391" s="1" t="s">
        <v>162</v>
      </c>
      <c r="K391" s="2">
        <v>218410.26</v>
      </c>
      <c r="L391" s="1" t="s">
        <v>22</v>
      </c>
      <c r="N391" s="2">
        <v>53180</v>
      </c>
      <c r="O391" s="1" t="s">
        <v>31</v>
      </c>
      <c r="P391" s="1" t="s">
        <v>205</v>
      </c>
      <c r="Q391" s="1">
        <v>4.1070000000000002</v>
      </c>
    </row>
    <row r="393" spans="1:17" x14ac:dyDescent="0.2">
      <c r="B393" s="1" t="s">
        <v>25</v>
      </c>
      <c r="K393" s="2">
        <v>218410.26</v>
      </c>
      <c r="L393" s="1" t="s">
        <v>22</v>
      </c>
      <c r="N393" s="2">
        <v>53180</v>
      </c>
      <c r="O393" s="1" t="s">
        <v>31</v>
      </c>
    </row>
    <row r="395" spans="1:17" x14ac:dyDescent="0.2">
      <c r="A395" s="3"/>
      <c r="B395" s="3" t="s">
        <v>26</v>
      </c>
      <c r="C395" s="3" t="s">
        <v>206</v>
      </c>
      <c r="D395" s="3"/>
      <c r="E395" s="3"/>
      <c r="F395" s="3"/>
      <c r="G395" s="3"/>
      <c r="H395" s="3"/>
      <c r="I395" s="3"/>
      <c r="J395" s="3"/>
      <c r="K395" s="4">
        <v>218410.26</v>
      </c>
      <c r="L395" s="3" t="s">
        <v>22</v>
      </c>
      <c r="M395" s="3"/>
      <c r="N395" s="4">
        <v>53180</v>
      </c>
      <c r="O395" s="3" t="s">
        <v>31</v>
      </c>
      <c r="P395" s="3"/>
      <c r="Q395" s="3"/>
    </row>
    <row r="397" spans="1:17" x14ac:dyDescent="0.2">
      <c r="A397" s="1" t="s">
        <v>0</v>
      </c>
      <c r="F397" s="1">
        <v>501175</v>
      </c>
    </row>
    <row r="398" spans="1:17" x14ac:dyDescent="0.2">
      <c r="A398" s="1" t="s">
        <v>1</v>
      </c>
      <c r="F398" s="1" t="s">
        <v>40</v>
      </c>
    </row>
    <row r="400" spans="1:17" x14ac:dyDescent="0.2">
      <c r="A400" s="1" t="s">
        <v>3</v>
      </c>
      <c r="F400" s="1" t="s">
        <v>207</v>
      </c>
    </row>
    <row r="401" spans="1:17" x14ac:dyDescent="0.2">
      <c r="A401" s="1" t="s">
        <v>5</v>
      </c>
      <c r="F401" s="1" t="s">
        <v>70</v>
      </c>
    </row>
    <row r="404" spans="1:17" x14ac:dyDescent="0.2">
      <c r="C404" s="1" t="s">
        <v>6</v>
      </c>
      <c r="D404" s="1" t="s">
        <v>7</v>
      </c>
      <c r="E404" s="1" t="s">
        <v>8</v>
      </c>
      <c r="G404" s="1" t="s">
        <v>9</v>
      </c>
      <c r="H404" s="1" t="s">
        <v>10</v>
      </c>
      <c r="I404" s="1" t="s">
        <v>11</v>
      </c>
      <c r="J404" s="1" t="s">
        <v>12</v>
      </c>
      <c r="K404" s="1" t="s">
        <v>13</v>
      </c>
      <c r="L404" s="1" t="s">
        <v>14</v>
      </c>
      <c r="M404" s="1" t="s">
        <v>15</v>
      </c>
      <c r="N404" s="1" t="s">
        <v>16</v>
      </c>
      <c r="O404" s="1" t="s">
        <v>17</v>
      </c>
      <c r="P404" s="1" t="s">
        <v>18</v>
      </c>
      <c r="Q404" s="1" t="s">
        <v>19</v>
      </c>
    </row>
    <row r="406" spans="1:17" x14ac:dyDescent="0.2">
      <c r="D406" s="1" t="s">
        <v>43</v>
      </c>
      <c r="E406" s="1">
        <v>103327191</v>
      </c>
      <c r="G406" s="1" t="s">
        <v>54</v>
      </c>
      <c r="I406" s="1" t="s">
        <v>54</v>
      </c>
      <c r="K406" s="2">
        <v>61554.5</v>
      </c>
      <c r="L406" s="1" t="s">
        <v>22</v>
      </c>
      <c r="N406" s="2">
        <v>61554.5</v>
      </c>
      <c r="O406" s="1" t="s">
        <v>22</v>
      </c>
      <c r="P406" s="1" t="s">
        <v>208</v>
      </c>
      <c r="Q406" s="1">
        <v>1</v>
      </c>
    </row>
    <row r="407" spans="1:17" x14ac:dyDescent="0.2">
      <c r="D407" s="1" t="s">
        <v>43</v>
      </c>
      <c r="E407" s="1">
        <v>103327271</v>
      </c>
      <c r="G407" s="1" t="s">
        <v>50</v>
      </c>
      <c r="I407" s="1" t="s">
        <v>50</v>
      </c>
      <c r="K407" s="2">
        <v>81227.240000000005</v>
      </c>
      <c r="L407" s="1" t="s">
        <v>22</v>
      </c>
      <c r="N407" s="2">
        <v>81227.240000000005</v>
      </c>
      <c r="O407" s="1" t="s">
        <v>22</v>
      </c>
      <c r="P407" s="1" t="s">
        <v>209</v>
      </c>
      <c r="Q407" s="1">
        <v>1</v>
      </c>
    </row>
    <row r="409" spans="1:17" x14ac:dyDescent="0.2">
      <c r="B409" s="1" t="s">
        <v>25</v>
      </c>
      <c r="K409" s="2">
        <v>142781.74</v>
      </c>
      <c r="L409" s="1" t="s">
        <v>22</v>
      </c>
      <c r="N409" s="2">
        <v>142781.74</v>
      </c>
      <c r="O409" s="1" t="s">
        <v>22</v>
      </c>
    </row>
    <row r="411" spans="1:17" x14ac:dyDescent="0.2">
      <c r="A411" s="3"/>
      <c r="B411" s="3" t="s">
        <v>26</v>
      </c>
      <c r="C411" s="3" t="s">
        <v>210</v>
      </c>
      <c r="D411" s="3"/>
      <c r="E411" s="3"/>
      <c r="F411" s="3"/>
      <c r="G411" s="3"/>
      <c r="H411" s="3"/>
      <c r="I411" s="3"/>
      <c r="J411" s="3"/>
      <c r="K411" s="4">
        <v>142781.74</v>
      </c>
      <c r="L411" s="3" t="s">
        <v>22</v>
      </c>
      <c r="M411" s="3"/>
      <c r="N411" s="4">
        <v>142781.74</v>
      </c>
      <c r="O411" s="3" t="s">
        <v>22</v>
      </c>
      <c r="P411" s="3"/>
      <c r="Q411" s="3"/>
    </row>
    <row r="413" spans="1:17" x14ac:dyDescent="0.2">
      <c r="A413" s="1" t="s">
        <v>0</v>
      </c>
      <c r="F413" s="1">
        <v>501181</v>
      </c>
    </row>
    <row r="414" spans="1:17" x14ac:dyDescent="0.2">
      <c r="A414" s="1" t="s">
        <v>1</v>
      </c>
      <c r="F414" s="1" t="s">
        <v>40</v>
      </c>
    </row>
    <row r="416" spans="1:17" x14ac:dyDescent="0.2">
      <c r="A416" s="1" t="s">
        <v>3</v>
      </c>
      <c r="F416" s="1" t="s">
        <v>211</v>
      </c>
    </row>
    <row r="417" spans="1:17" x14ac:dyDescent="0.2">
      <c r="A417" s="1" t="s">
        <v>5</v>
      </c>
      <c r="F417" s="1" t="s">
        <v>108</v>
      </c>
    </row>
    <row r="420" spans="1:17" x14ac:dyDescent="0.2">
      <c r="C420" s="1" t="s">
        <v>6</v>
      </c>
      <c r="D420" s="1" t="s">
        <v>7</v>
      </c>
      <c r="E420" s="1" t="s">
        <v>8</v>
      </c>
      <c r="G420" s="1" t="s">
        <v>9</v>
      </c>
      <c r="H420" s="1" t="s">
        <v>10</v>
      </c>
      <c r="I420" s="1" t="s">
        <v>11</v>
      </c>
      <c r="J420" s="1" t="s">
        <v>12</v>
      </c>
      <c r="K420" s="1" t="s">
        <v>13</v>
      </c>
      <c r="L420" s="1" t="s">
        <v>14</v>
      </c>
      <c r="M420" s="1" t="s">
        <v>15</v>
      </c>
      <c r="N420" s="1" t="s">
        <v>16</v>
      </c>
      <c r="O420" s="1" t="s">
        <v>17</v>
      </c>
      <c r="P420" s="1" t="s">
        <v>18</v>
      </c>
      <c r="Q420" s="1" t="s">
        <v>19</v>
      </c>
    </row>
    <row r="422" spans="1:17" x14ac:dyDescent="0.2">
      <c r="D422" s="1" t="s">
        <v>43</v>
      </c>
      <c r="E422" s="1">
        <v>103327167</v>
      </c>
      <c r="G422" s="1" t="s">
        <v>123</v>
      </c>
      <c r="I422" s="1" t="s">
        <v>123</v>
      </c>
      <c r="K422" s="2">
        <v>885708.92</v>
      </c>
      <c r="L422" s="1" t="s">
        <v>22</v>
      </c>
      <c r="N422" s="2">
        <v>885708.92</v>
      </c>
      <c r="O422" s="1" t="s">
        <v>22</v>
      </c>
      <c r="P422" s="1" t="s">
        <v>212</v>
      </c>
      <c r="Q422" s="1">
        <v>1</v>
      </c>
    </row>
    <row r="423" spans="1:17" x14ac:dyDescent="0.2">
      <c r="D423" s="1" t="s">
        <v>43</v>
      </c>
      <c r="E423" s="1">
        <v>103327168</v>
      </c>
      <c r="G423" s="1" t="s">
        <v>123</v>
      </c>
      <c r="I423" s="1" t="s">
        <v>123</v>
      </c>
      <c r="K423" s="2">
        <v>314882.42</v>
      </c>
      <c r="L423" s="1" t="s">
        <v>22</v>
      </c>
      <c r="N423" s="2">
        <v>314882.42</v>
      </c>
      <c r="O423" s="1" t="s">
        <v>22</v>
      </c>
      <c r="P423" s="1" t="s">
        <v>213</v>
      </c>
      <c r="Q423" s="1">
        <v>1</v>
      </c>
    </row>
    <row r="424" spans="1:17" x14ac:dyDescent="0.2">
      <c r="D424" s="1" t="s">
        <v>43</v>
      </c>
      <c r="E424" s="1">
        <v>103327169</v>
      </c>
      <c r="G424" s="1" t="s">
        <v>123</v>
      </c>
      <c r="I424" s="1" t="s">
        <v>123</v>
      </c>
      <c r="K424" s="2">
        <v>125311.03999999999</v>
      </c>
      <c r="L424" s="1" t="s">
        <v>22</v>
      </c>
      <c r="N424" s="2">
        <v>125311.03999999999</v>
      </c>
      <c r="O424" s="1" t="s">
        <v>22</v>
      </c>
      <c r="P424" s="1" t="s">
        <v>214</v>
      </c>
      <c r="Q424" s="1">
        <v>1</v>
      </c>
    </row>
    <row r="425" spans="1:17" x14ac:dyDescent="0.2">
      <c r="D425" s="1" t="s">
        <v>43</v>
      </c>
      <c r="E425" s="1">
        <v>103327170</v>
      </c>
      <c r="G425" s="1" t="s">
        <v>123</v>
      </c>
      <c r="I425" s="1" t="s">
        <v>123</v>
      </c>
      <c r="K425" s="2">
        <v>136935</v>
      </c>
      <c r="L425" s="1" t="s">
        <v>22</v>
      </c>
      <c r="N425" s="2">
        <v>136935</v>
      </c>
      <c r="O425" s="1" t="s">
        <v>22</v>
      </c>
      <c r="P425" s="1" t="s">
        <v>215</v>
      </c>
      <c r="Q425" s="1">
        <v>1</v>
      </c>
    </row>
    <row r="426" spans="1:17" x14ac:dyDescent="0.2">
      <c r="D426" s="1" t="s">
        <v>43</v>
      </c>
      <c r="E426" s="1">
        <v>103327183</v>
      </c>
      <c r="G426" s="1" t="s">
        <v>182</v>
      </c>
      <c r="I426" s="1" t="s">
        <v>182</v>
      </c>
      <c r="K426" s="2">
        <v>574896.12</v>
      </c>
      <c r="L426" s="1" t="s">
        <v>22</v>
      </c>
      <c r="N426" s="2">
        <v>574896.12</v>
      </c>
      <c r="O426" s="1" t="s">
        <v>22</v>
      </c>
      <c r="P426" s="1" t="s">
        <v>216</v>
      </c>
      <c r="Q426" s="1">
        <v>1</v>
      </c>
    </row>
    <row r="428" spans="1:17" x14ac:dyDescent="0.2">
      <c r="B428" s="1" t="s">
        <v>25</v>
      </c>
      <c r="K428" s="2">
        <v>2037733.5</v>
      </c>
      <c r="L428" s="1" t="s">
        <v>22</v>
      </c>
      <c r="N428" s="2">
        <v>2037733.5</v>
      </c>
      <c r="O428" s="1" t="s">
        <v>22</v>
      </c>
    </row>
    <row r="430" spans="1:17" x14ac:dyDescent="0.2">
      <c r="A430" s="3"/>
      <c r="B430" s="3" t="s">
        <v>26</v>
      </c>
      <c r="C430" s="3" t="s">
        <v>217</v>
      </c>
      <c r="D430" s="3"/>
      <c r="E430" s="3"/>
      <c r="F430" s="3"/>
      <c r="G430" s="3"/>
      <c r="H430" s="3"/>
      <c r="I430" s="3"/>
      <c r="J430" s="3"/>
      <c r="K430" s="4">
        <v>2037733.5</v>
      </c>
      <c r="L430" s="3" t="s">
        <v>22</v>
      </c>
      <c r="M430" s="3"/>
      <c r="N430" s="4">
        <v>2037733.5</v>
      </c>
      <c r="O430" s="3" t="s">
        <v>22</v>
      </c>
      <c r="P430" s="3"/>
      <c r="Q430" s="3"/>
    </row>
    <row r="432" spans="1:17" x14ac:dyDescent="0.2">
      <c r="A432" s="1" t="s">
        <v>0</v>
      </c>
      <c r="F432" s="1">
        <v>501184</v>
      </c>
    </row>
    <row r="433" spans="1:17" x14ac:dyDescent="0.2">
      <c r="A433" s="1" t="s">
        <v>1</v>
      </c>
      <c r="F433" s="1" t="s">
        <v>40</v>
      </c>
    </row>
    <row r="435" spans="1:17" x14ac:dyDescent="0.2">
      <c r="A435" s="1" t="s">
        <v>3</v>
      </c>
      <c r="F435" s="1" t="s">
        <v>218</v>
      </c>
    </row>
    <row r="436" spans="1:17" x14ac:dyDescent="0.2">
      <c r="A436" s="1" t="s">
        <v>5</v>
      </c>
      <c r="F436" s="1" t="s">
        <v>204</v>
      </c>
    </row>
    <row r="439" spans="1:17" x14ac:dyDescent="0.2">
      <c r="C439" s="1" t="s">
        <v>6</v>
      </c>
      <c r="D439" s="1" t="s">
        <v>7</v>
      </c>
      <c r="E439" s="1" t="s">
        <v>8</v>
      </c>
      <c r="G439" s="1" t="s">
        <v>9</v>
      </c>
      <c r="H439" s="1" t="s">
        <v>10</v>
      </c>
      <c r="I439" s="1" t="s">
        <v>11</v>
      </c>
      <c r="J439" s="1" t="s">
        <v>12</v>
      </c>
      <c r="K439" s="1" t="s">
        <v>13</v>
      </c>
      <c r="L439" s="1" t="s">
        <v>14</v>
      </c>
      <c r="M439" s="1" t="s">
        <v>15</v>
      </c>
      <c r="N439" s="1" t="s">
        <v>16</v>
      </c>
      <c r="O439" s="1" t="s">
        <v>17</v>
      </c>
      <c r="P439" s="1" t="s">
        <v>18</v>
      </c>
      <c r="Q439" s="1" t="s">
        <v>19</v>
      </c>
    </row>
    <row r="441" spans="1:17" x14ac:dyDescent="0.2">
      <c r="D441" s="1" t="s">
        <v>43</v>
      </c>
      <c r="E441" s="1">
        <v>103327755</v>
      </c>
      <c r="G441" s="1" t="s">
        <v>30</v>
      </c>
      <c r="I441" s="1" t="s">
        <v>30</v>
      </c>
      <c r="K441" s="2">
        <v>568058.92000000004</v>
      </c>
      <c r="L441" s="1" t="s">
        <v>22</v>
      </c>
      <c r="N441" s="2">
        <v>568058.92000000004</v>
      </c>
      <c r="O441" s="1" t="s">
        <v>22</v>
      </c>
      <c r="P441" s="1" t="s">
        <v>219</v>
      </c>
      <c r="Q441" s="1">
        <v>1</v>
      </c>
    </row>
    <row r="443" spans="1:17" x14ac:dyDescent="0.2">
      <c r="B443" s="1" t="s">
        <v>25</v>
      </c>
      <c r="K443" s="2">
        <v>568058.92000000004</v>
      </c>
      <c r="L443" s="1" t="s">
        <v>22</v>
      </c>
      <c r="N443" s="2">
        <v>568058.92000000004</v>
      </c>
      <c r="O443" s="1" t="s">
        <v>22</v>
      </c>
    </row>
    <row r="445" spans="1:17" x14ac:dyDescent="0.2">
      <c r="A445" s="3"/>
      <c r="B445" s="3" t="s">
        <v>26</v>
      </c>
      <c r="C445" s="3" t="s">
        <v>220</v>
      </c>
      <c r="D445" s="3"/>
      <c r="E445" s="3"/>
      <c r="F445" s="3"/>
      <c r="G445" s="3"/>
      <c r="H445" s="3"/>
      <c r="I445" s="3"/>
      <c r="J445" s="3"/>
      <c r="K445" s="4">
        <v>568058.92000000004</v>
      </c>
      <c r="L445" s="3" t="s">
        <v>22</v>
      </c>
      <c r="M445" s="3"/>
      <c r="N445" s="4">
        <v>568058.92000000004</v>
      </c>
      <c r="O445" s="3" t="s">
        <v>22</v>
      </c>
      <c r="P445" s="3"/>
      <c r="Q445" s="3"/>
    </row>
    <row r="447" spans="1:17" x14ac:dyDescent="0.2">
      <c r="A447" s="1" t="s">
        <v>0</v>
      </c>
      <c r="F447" s="1">
        <v>501190</v>
      </c>
    </row>
    <row r="448" spans="1:17" x14ac:dyDescent="0.2">
      <c r="A448" s="1" t="s">
        <v>1</v>
      </c>
      <c r="F448" s="1" t="s">
        <v>40</v>
      </c>
    </row>
    <row r="450" spans="1:17" x14ac:dyDescent="0.2">
      <c r="A450" s="1" t="s">
        <v>3</v>
      </c>
      <c r="F450" s="1" t="s">
        <v>203</v>
      </c>
    </row>
    <row r="451" spans="1:17" x14ac:dyDescent="0.2">
      <c r="A451" s="1" t="s">
        <v>5</v>
      </c>
      <c r="F451" s="1" t="s">
        <v>221</v>
      </c>
    </row>
    <row r="454" spans="1:17" x14ac:dyDescent="0.2">
      <c r="C454" s="1" t="s">
        <v>6</v>
      </c>
      <c r="D454" s="1" t="s">
        <v>7</v>
      </c>
      <c r="E454" s="1" t="s">
        <v>8</v>
      </c>
      <c r="G454" s="1" t="s">
        <v>9</v>
      </c>
      <c r="H454" s="1" t="s">
        <v>10</v>
      </c>
      <c r="I454" s="1" t="s">
        <v>11</v>
      </c>
      <c r="J454" s="1" t="s">
        <v>12</v>
      </c>
      <c r="K454" s="1" t="s">
        <v>13</v>
      </c>
      <c r="L454" s="1" t="s">
        <v>14</v>
      </c>
      <c r="M454" s="1" t="s">
        <v>15</v>
      </c>
      <c r="N454" s="1" t="s">
        <v>16</v>
      </c>
      <c r="O454" s="1" t="s">
        <v>17</v>
      </c>
      <c r="P454" s="1" t="s">
        <v>18</v>
      </c>
      <c r="Q454" s="1" t="s">
        <v>19</v>
      </c>
    </row>
    <row r="456" spans="1:17" x14ac:dyDescent="0.2">
      <c r="D456" s="1" t="s">
        <v>43</v>
      </c>
      <c r="E456" s="1">
        <v>103327247</v>
      </c>
      <c r="G456" s="1" t="s">
        <v>54</v>
      </c>
      <c r="I456" s="1" t="s">
        <v>54</v>
      </c>
      <c r="K456" s="2">
        <v>2110444.79</v>
      </c>
      <c r="L456" s="1" t="s">
        <v>22</v>
      </c>
      <c r="N456" s="2">
        <v>513677.69</v>
      </c>
      <c r="O456" s="1" t="s">
        <v>31</v>
      </c>
      <c r="P456" s="1" t="s">
        <v>222</v>
      </c>
      <c r="Q456" s="1">
        <v>4.1085000000000003</v>
      </c>
    </row>
    <row r="457" spans="1:17" x14ac:dyDescent="0.2">
      <c r="D457" s="1" t="s">
        <v>43</v>
      </c>
      <c r="E457" s="1">
        <v>103327737</v>
      </c>
      <c r="G457" s="1" t="s">
        <v>61</v>
      </c>
      <c r="I457" s="1" t="s">
        <v>61</v>
      </c>
      <c r="K457" s="2">
        <v>895972.27</v>
      </c>
      <c r="L457" s="1" t="s">
        <v>22</v>
      </c>
      <c r="N457" s="2">
        <v>219198.11</v>
      </c>
      <c r="O457" s="1" t="s">
        <v>31</v>
      </c>
      <c r="P457" s="1" t="s">
        <v>223</v>
      </c>
      <c r="Q457" s="1">
        <v>4.0875000000000004</v>
      </c>
    </row>
    <row r="459" spans="1:17" x14ac:dyDescent="0.2">
      <c r="B459" s="1" t="s">
        <v>25</v>
      </c>
      <c r="K459" s="2">
        <v>3006417.06</v>
      </c>
      <c r="L459" s="1" t="s">
        <v>22</v>
      </c>
      <c r="N459" s="2">
        <v>732875.8</v>
      </c>
      <c r="O459" s="1" t="s">
        <v>31</v>
      </c>
    </row>
    <row r="461" spans="1:17" x14ac:dyDescent="0.2">
      <c r="A461" s="3"/>
      <c r="B461" s="3" t="s">
        <v>26</v>
      </c>
      <c r="C461" s="3" t="s">
        <v>224</v>
      </c>
      <c r="D461" s="3"/>
      <c r="E461" s="3"/>
      <c r="F461" s="3"/>
      <c r="G461" s="3"/>
      <c r="H461" s="3"/>
      <c r="I461" s="3"/>
      <c r="J461" s="3"/>
      <c r="K461" s="4">
        <v>3006417.06</v>
      </c>
      <c r="L461" s="3" t="s">
        <v>22</v>
      </c>
      <c r="M461" s="3"/>
      <c r="N461" s="4">
        <v>732875.8</v>
      </c>
      <c r="O461" s="3" t="s">
        <v>31</v>
      </c>
      <c r="P461" s="3"/>
      <c r="Q461" s="3"/>
    </row>
    <row r="463" spans="1:17" x14ac:dyDescent="0.2">
      <c r="A463" s="1" t="s">
        <v>0</v>
      </c>
      <c r="F463" s="1">
        <v>501194</v>
      </c>
    </row>
    <row r="464" spans="1:17" x14ac:dyDescent="0.2">
      <c r="A464" s="1" t="s">
        <v>1</v>
      </c>
      <c r="F464" s="1" t="s">
        <v>40</v>
      </c>
    </row>
    <row r="466" spans="1:17" x14ac:dyDescent="0.2">
      <c r="A466" s="1" t="s">
        <v>3</v>
      </c>
      <c r="F466" s="1" t="s">
        <v>225</v>
      </c>
    </row>
    <row r="467" spans="1:17" x14ac:dyDescent="0.2">
      <c r="A467" s="1" t="s">
        <v>5</v>
      </c>
      <c r="F467" s="1" t="s">
        <v>70</v>
      </c>
    </row>
    <row r="470" spans="1:17" x14ac:dyDescent="0.2">
      <c r="C470" s="1" t="s">
        <v>6</v>
      </c>
      <c r="D470" s="1" t="s">
        <v>7</v>
      </c>
      <c r="E470" s="1" t="s">
        <v>8</v>
      </c>
      <c r="G470" s="1" t="s">
        <v>9</v>
      </c>
      <c r="H470" s="1" t="s">
        <v>10</v>
      </c>
      <c r="I470" s="1" t="s">
        <v>11</v>
      </c>
      <c r="J470" s="1" t="s">
        <v>12</v>
      </c>
      <c r="K470" s="1" t="s">
        <v>13</v>
      </c>
      <c r="L470" s="1" t="s">
        <v>14</v>
      </c>
      <c r="M470" s="1" t="s">
        <v>15</v>
      </c>
      <c r="N470" s="1" t="s">
        <v>16</v>
      </c>
      <c r="O470" s="1" t="s">
        <v>17</v>
      </c>
      <c r="P470" s="1" t="s">
        <v>18</v>
      </c>
      <c r="Q470" s="1" t="s">
        <v>19</v>
      </c>
    </row>
    <row r="472" spans="1:17" x14ac:dyDescent="0.2">
      <c r="D472" s="1" t="s">
        <v>43</v>
      </c>
      <c r="E472" s="1">
        <v>103327177</v>
      </c>
      <c r="G472" s="1" t="s">
        <v>123</v>
      </c>
      <c r="I472" s="1" t="s">
        <v>123</v>
      </c>
      <c r="K472" s="2">
        <v>330102.28999999998</v>
      </c>
      <c r="L472" s="1" t="s">
        <v>22</v>
      </c>
      <c r="N472" s="2">
        <v>330102.28999999998</v>
      </c>
      <c r="O472" s="1" t="s">
        <v>22</v>
      </c>
      <c r="P472" s="1" t="s">
        <v>226</v>
      </c>
      <c r="Q472" s="1">
        <v>1</v>
      </c>
    </row>
    <row r="473" spans="1:17" x14ac:dyDescent="0.2">
      <c r="D473" s="1" t="s">
        <v>43</v>
      </c>
      <c r="E473" s="1">
        <v>103327179</v>
      </c>
      <c r="G473" s="1" t="s">
        <v>123</v>
      </c>
      <c r="I473" s="1" t="s">
        <v>123</v>
      </c>
      <c r="K473" s="2">
        <v>330102.28999999998</v>
      </c>
      <c r="L473" s="1" t="s">
        <v>22</v>
      </c>
      <c r="N473" s="2">
        <v>330102.28999999998</v>
      </c>
      <c r="O473" s="1" t="s">
        <v>22</v>
      </c>
      <c r="P473" s="1" t="s">
        <v>227</v>
      </c>
      <c r="Q473" s="1">
        <v>1</v>
      </c>
    </row>
    <row r="474" spans="1:17" x14ac:dyDescent="0.2">
      <c r="D474" s="1" t="s">
        <v>43</v>
      </c>
      <c r="E474" s="1">
        <v>103327181</v>
      </c>
      <c r="G474" s="1" t="s">
        <v>123</v>
      </c>
      <c r="I474" s="1" t="s">
        <v>123</v>
      </c>
      <c r="K474" s="2">
        <v>465995.28</v>
      </c>
      <c r="L474" s="1" t="s">
        <v>22</v>
      </c>
      <c r="N474" s="2">
        <v>465995.28</v>
      </c>
      <c r="O474" s="1" t="s">
        <v>22</v>
      </c>
      <c r="P474" s="1" t="s">
        <v>228</v>
      </c>
      <c r="Q474" s="1">
        <v>1</v>
      </c>
    </row>
    <row r="475" spans="1:17" x14ac:dyDescent="0.2">
      <c r="D475" s="1" t="s">
        <v>43</v>
      </c>
      <c r="E475" s="1">
        <v>103327228</v>
      </c>
      <c r="G475" s="1" t="s">
        <v>46</v>
      </c>
      <c r="I475" s="1" t="s">
        <v>46</v>
      </c>
      <c r="K475" s="2">
        <v>458977.62</v>
      </c>
      <c r="L475" s="1" t="s">
        <v>22</v>
      </c>
      <c r="N475" s="2">
        <v>458977.62</v>
      </c>
      <c r="O475" s="1" t="s">
        <v>22</v>
      </c>
      <c r="P475" s="1" t="s">
        <v>229</v>
      </c>
      <c r="Q475" s="1">
        <v>1</v>
      </c>
    </row>
    <row r="476" spans="1:17" x14ac:dyDescent="0.2">
      <c r="D476" s="1" t="s">
        <v>43</v>
      </c>
      <c r="E476" s="1">
        <v>103327230</v>
      </c>
      <c r="G476" s="1" t="s">
        <v>46</v>
      </c>
      <c r="I476" s="1" t="s">
        <v>46</v>
      </c>
      <c r="K476" s="2">
        <v>458977.62</v>
      </c>
      <c r="L476" s="1" t="s">
        <v>22</v>
      </c>
      <c r="N476" s="2">
        <v>458977.62</v>
      </c>
      <c r="O476" s="1" t="s">
        <v>22</v>
      </c>
      <c r="P476" s="1" t="s">
        <v>230</v>
      </c>
      <c r="Q476" s="1">
        <v>1</v>
      </c>
    </row>
    <row r="477" spans="1:17" x14ac:dyDescent="0.2">
      <c r="D477" s="1" t="s">
        <v>43</v>
      </c>
      <c r="E477" s="1">
        <v>103327232</v>
      </c>
      <c r="G477" s="1" t="s">
        <v>46</v>
      </c>
      <c r="I477" s="1" t="s">
        <v>46</v>
      </c>
      <c r="K477" s="2">
        <v>347859.36</v>
      </c>
      <c r="L477" s="1" t="s">
        <v>22</v>
      </c>
      <c r="N477" s="2">
        <v>347859.36</v>
      </c>
      <c r="O477" s="1" t="s">
        <v>22</v>
      </c>
      <c r="P477" s="1" t="s">
        <v>231</v>
      </c>
      <c r="Q477" s="1">
        <v>1</v>
      </c>
    </row>
    <row r="478" spans="1:17" x14ac:dyDescent="0.2">
      <c r="D478" s="1" t="s">
        <v>43</v>
      </c>
      <c r="E478" s="1">
        <v>103327234</v>
      </c>
      <c r="G478" s="1" t="s">
        <v>46</v>
      </c>
      <c r="I478" s="1" t="s">
        <v>46</v>
      </c>
      <c r="K478" s="2">
        <v>458977.62</v>
      </c>
      <c r="L478" s="1" t="s">
        <v>22</v>
      </c>
      <c r="N478" s="2">
        <v>458977.62</v>
      </c>
      <c r="O478" s="1" t="s">
        <v>22</v>
      </c>
      <c r="P478" s="1" t="s">
        <v>232</v>
      </c>
      <c r="Q478" s="1">
        <v>1</v>
      </c>
    </row>
    <row r="479" spans="1:17" x14ac:dyDescent="0.2">
      <c r="D479" s="1" t="s">
        <v>43</v>
      </c>
      <c r="E479" s="1">
        <v>103327244</v>
      </c>
      <c r="G479" s="1" t="s">
        <v>48</v>
      </c>
      <c r="I479" s="1" t="s">
        <v>48</v>
      </c>
      <c r="K479" s="2">
        <v>60174.1</v>
      </c>
      <c r="L479" s="1" t="s">
        <v>22</v>
      </c>
      <c r="N479" s="2">
        <v>60174.1</v>
      </c>
      <c r="O479" s="1" t="s">
        <v>22</v>
      </c>
      <c r="P479" s="1" t="s">
        <v>233</v>
      </c>
      <c r="Q479" s="1">
        <v>1</v>
      </c>
    </row>
    <row r="480" spans="1:17" x14ac:dyDescent="0.2">
      <c r="D480" s="1" t="s">
        <v>43</v>
      </c>
      <c r="E480" s="1">
        <v>103327330</v>
      </c>
      <c r="G480" s="1" t="s">
        <v>90</v>
      </c>
      <c r="I480" s="1" t="s">
        <v>90</v>
      </c>
      <c r="K480" s="2">
        <v>453988.74</v>
      </c>
      <c r="L480" s="1" t="s">
        <v>22</v>
      </c>
      <c r="N480" s="2">
        <v>453988.74</v>
      </c>
      <c r="O480" s="1" t="s">
        <v>22</v>
      </c>
      <c r="P480" s="1" t="s">
        <v>234</v>
      </c>
      <c r="Q480" s="1">
        <v>1</v>
      </c>
    </row>
    <row r="481" spans="1:17" x14ac:dyDescent="0.2">
      <c r="D481" s="1" t="s">
        <v>43</v>
      </c>
      <c r="E481" s="1">
        <v>103327332</v>
      </c>
      <c r="G481" s="1" t="s">
        <v>90</v>
      </c>
      <c r="I481" s="1" t="s">
        <v>90</v>
      </c>
      <c r="K481" s="2">
        <v>325727.44</v>
      </c>
      <c r="L481" s="1" t="s">
        <v>22</v>
      </c>
      <c r="N481" s="2">
        <v>325727.44</v>
      </c>
      <c r="O481" s="1" t="s">
        <v>22</v>
      </c>
      <c r="P481" s="1" t="s">
        <v>235</v>
      </c>
      <c r="Q481" s="1">
        <v>1</v>
      </c>
    </row>
    <row r="482" spans="1:17" x14ac:dyDescent="0.2">
      <c r="D482" s="1" t="s">
        <v>43</v>
      </c>
      <c r="E482" s="1">
        <v>103327351</v>
      </c>
      <c r="G482" s="1" t="s">
        <v>36</v>
      </c>
      <c r="I482" s="1" t="s">
        <v>36</v>
      </c>
      <c r="K482" s="2">
        <v>59445.599999999999</v>
      </c>
      <c r="L482" s="1" t="s">
        <v>22</v>
      </c>
      <c r="N482" s="2">
        <v>59445.599999999999</v>
      </c>
      <c r="O482" s="1" t="s">
        <v>22</v>
      </c>
      <c r="P482" s="1" t="s">
        <v>236</v>
      </c>
      <c r="Q482" s="1">
        <v>1</v>
      </c>
    </row>
    <row r="484" spans="1:17" x14ac:dyDescent="0.2">
      <c r="B484" s="1" t="s">
        <v>25</v>
      </c>
      <c r="K484" s="2">
        <v>3750327.96</v>
      </c>
      <c r="L484" s="1" t="s">
        <v>22</v>
      </c>
      <c r="N484" s="2">
        <v>3750327.96</v>
      </c>
      <c r="O484" s="1" t="s">
        <v>22</v>
      </c>
    </row>
    <row r="486" spans="1:17" x14ac:dyDescent="0.2">
      <c r="A486" s="3"/>
      <c r="B486" s="3" t="s">
        <v>26</v>
      </c>
      <c r="C486" s="3" t="s">
        <v>237</v>
      </c>
      <c r="D486" s="3"/>
      <c r="E486" s="3"/>
      <c r="F486" s="3"/>
      <c r="G486" s="3"/>
      <c r="H486" s="3"/>
      <c r="I486" s="3"/>
      <c r="J486" s="3"/>
      <c r="K486" s="4">
        <v>3750327.96</v>
      </c>
      <c r="L486" s="3" t="s">
        <v>22</v>
      </c>
      <c r="M486" s="3"/>
      <c r="N486" s="4">
        <v>3750327.96</v>
      </c>
      <c r="O486" s="3" t="s">
        <v>22</v>
      </c>
      <c r="P486" s="3"/>
      <c r="Q486" s="3"/>
    </row>
    <row r="488" spans="1:17" x14ac:dyDescent="0.2">
      <c r="A488" s="1" t="s">
        <v>0</v>
      </c>
      <c r="F488" s="1">
        <v>501195</v>
      </c>
    </row>
    <row r="489" spans="1:17" x14ac:dyDescent="0.2">
      <c r="A489" s="1" t="s">
        <v>1</v>
      </c>
      <c r="F489" s="1" t="s">
        <v>40</v>
      </c>
    </row>
    <row r="491" spans="1:17" x14ac:dyDescent="0.2">
      <c r="A491" s="1" t="s">
        <v>3</v>
      </c>
      <c r="F491" s="1" t="s">
        <v>155</v>
      </c>
    </row>
    <row r="492" spans="1:17" x14ac:dyDescent="0.2">
      <c r="A492" s="1" t="s">
        <v>5</v>
      </c>
      <c r="F492" s="1" t="s">
        <v>238</v>
      </c>
    </row>
    <row r="495" spans="1:17" x14ac:dyDescent="0.2">
      <c r="C495" s="1" t="s">
        <v>6</v>
      </c>
      <c r="D495" s="1" t="s">
        <v>7</v>
      </c>
      <c r="E495" s="1" t="s">
        <v>8</v>
      </c>
      <c r="G495" s="1" t="s">
        <v>9</v>
      </c>
      <c r="H495" s="1" t="s">
        <v>10</v>
      </c>
      <c r="I495" s="1" t="s">
        <v>11</v>
      </c>
      <c r="J495" s="1" t="s">
        <v>12</v>
      </c>
      <c r="K495" s="1" t="s">
        <v>13</v>
      </c>
      <c r="L495" s="1" t="s">
        <v>14</v>
      </c>
      <c r="M495" s="1" t="s">
        <v>15</v>
      </c>
      <c r="N495" s="1" t="s">
        <v>16</v>
      </c>
      <c r="O495" s="1" t="s">
        <v>17</v>
      </c>
      <c r="P495" s="1" t="s">
        <v>18</v>
      </c>
      <c r="Q495" s="1" t="s">
        <v>19</v>
      </c>
    </row>
    <row r="497" spans="1:17" x14ac:dyDescent="0.2">
      <c r="D497" s="1" t="s">
        <v>43</v>
      </c>
      <c r="E497" s="1">
        <v>103327209</v>
      </c>
      <c r="G497" s="1" t="s">
        <v>57</v>
      </c>
      <c r="I497" s="1" t="s">
        <v>57</v>
      </c>
      <c r="K497" s="2">
        <v>217279.99</v>
      </c>
      <c r="L497" s="1" t="s">
        <v>22</v>
      </c>
      <c r="N497" s="2">
        <v>217279.99</v>
      </c>
      <c r="O497" s="1" t="s">
        <v>22</v>
      </c>
      <c r="P497" s="1" t="s">
        <v>239</v>
      </c>
      <c r="Q497" s="1">
        <v>1</v>
      </c>
    </row>
    <row r="498" spans="1:17" x14ac:dyDescent="0.2">
      <c r="D498" s="1" t="s">
        <v>43</v>
      </c>
      <c r="E498" s="1">
        <v>103327236</v>
      </c>
      <c r="G498" s="1" t="s">
        <v>162</v>
      </c>
      <c r="I498" s="1" t="s">
        <v>162</v>
      </c>
      <c r="K498" s="2">
        <v>237825</v>
      </c>
      <c r="L498" s="1" t="s">
        <v>22</v>
      </c>
      <c r="N498" s="2">
        <v>237825</v>
      </c>
      <c r="O498" s="1" t="s">
        <v>22</v>
      </c>
      <c r="P498" s="1" t="s">
        <v>240</v>
      </c>
      <c r="Q498" s="1">
        <v>1</v>
      </c>
    </row>
    <row r="500" spans="1:17" x14ac:dyDescent="0.2">
      <c r="B500" s="1" t="s">
        <v>25</v>
      </c>
      <c r="K500" s="2">
        <v>455104.99</v>
      </c>
      <c r="L500" s="1" t="s">
        <v>22</v>
      </c>
      <c r="N500" s="2">
        <v>455104.99</v>
      </c>
      <c r="O500" s="1" t="s">
        <v>22</v>
      </c>
    </row>
    <row r="502" spans="1:17" x14ac:dyDescent="0.2">
      <c r="A502" s="3"/>
      <c r="B502" s="3" t="s">
        <v>26</v>
      </c>
      <c r="C502" s="3" t="s">
        <v>241</v>
      </c>
      <c r="D502" s="3"/>
      <c r="E502" s="3"/>
      <c r="F502" s="3"/>
      <c r="G502" s="3"/>
      <c r="H502" s="3"/>
      <c r="I502" s="3"/>
      <c r="J502" s="3"/>
      <c r="K502" s="4">
        <v>455104.99</v>
      </c>
      <c r="L502" s="3" t="s">
        <v>22</v>
      </c>
      <c r="M502" s="3"/>
      <c r="N502" s="4">
        <v>455104.99</v>
      </c>
      <c r="O502" s="3" t="s">
        <v>22</v>
      </c>
      <c r="P502" s="3"/>
      <c r="Q502" s="3"/>
    </row>
    <row r="504" spans="1:17" x14ac:dyDescent="0.2">
      <c r="A504" s="1" t="s">
        <v>0</v>
      </c>
      <c r="F504" s="1">
        <v>501196</v>
      </c>
    </row>
    <row r="505" spans="1:17" x14ac:dyDescent="0.2">
      <c r="A505" s="1" t="s">
        <v>1</v>
      </c>
      <c r="F505" s="1" t="s">
        <v>40</v>
      </c>
    </row>
    <row r="507" spans="1:17" x14ac:dyDescent="0.2">
      <c r="A507" s="1" t="s">
        <v>3</v>
      </c>
      <c r="F507" s="1" t="s">
        <v>242</v>
      </c>
    </row>
    <row r="508" spans="1:17" x14ac:dyDescent="0.2">
      <c r="A508" s="1" t="s">
        <v>5</v>
      </c>
      <c r="F508" s="1" t="s">
        <v>70</v>
      </c>
    </row>
    <row r="511" spans="1:17" x14ac:dyDescent="0.2">
      <c r="C511" s="1" t="s">
        <v>6</v>
      </c>
      <c r="D511" s="1" t="s">
        <v>7</v>
      </c>
      <c r="E511" s="1" t="s">
        <v>8</v>
      </c>
      <c r="G511" s="1" t="s">
        <v>9</v>
      </c>
      <c r="H511" s="1" t="s">
        <v>10</v>
      </c>
      <c r="I511" s="1" t="s">
        <v>11</v>
      </c>
      <c r="J511" s="1" t="s">
        <v>12</v>
      </c>
      <c r="K511" s="1" t="s">
        <v>13</v>
      </c>
      <c r="L511" s="1" t="s">
        <v>14</v>
      </c>
      <c r="M511" s="1" t="s">
        <v>15</v>
      </c>
      <c r="N511" s="1" t="s">
        <v>16</v>
      </c>
      <c r="O511" s="1" t="s">
        <v>17</v>
      </c>
      <c r="P511" s="1" t="s">
        <v>18</v>
      </c>
      <c r="Q511" s="1" t="s">
        <v>19</v>
      </c>
    </row>
    <row r="513" spans="1:17" x14ac:dyDescent="0.2">
      <c r="D513" s="1" t="s">
        <v>43</v>
      </c>
      <c r="E513" s="1">
        <v>103327314</v>
      </c>
      <c r="G513" s="1" t="s">
        <v>90</v>
      </c>
      <c r="I513" s="1" t="s">
        <v>90</v>
      </c>
      <c r="K513" s="2">
        <v>474905.54</v>
      </c>
      <c r="L513" s="1" t="s">
        <v>22</v>
      </c>
      <c r="N513" s="2">
        <v>474905.54</v>
      </c>
      <c r="O513" s="1" t="s">
        <v>22</v>
      </c>
      <c r="P513" s="1" t="s">
        <v>243</v>
      </c>
      <c r="Q513" s="1">
        <v>1</v>
      </c>
    </row>
    <row r="514" spans="1:17" x14ac:dyDescent="0.2">
      <c r="D514" s="1" t="s">
        <v>43</v>
      </c>
      <c r="E514" s="1">
        <v>103327745</v>
      </c>
      <c r="G514" s="1" t="s">
        <v>66</v>
      </c>
      <c r="I514" s="1" t="s">
        <v>66</v>
      </c>
      <c r="K514" s="2">
        <v>226661.67</v>
      </c>
      <c r="L514" s="1" t="s">
        <v>22</v>
      </c>
      <c r="N514" s="2">
        <v>226661.67</v>
      </c>
      <c r="O514" s="1" t="s">
        <v>22</v>
      </c>
      <c r="P514" s="1" t="s">
        <v>244</v>
      </c>
      <c r="Q514" s="1">
        <v>1</v>
      </c>
    </row>
    <row r="515" spans="1:17" x14ac:dyDescent="0.2">
      <c r="D515" s="1" t="s">
        <v>43</v>
      </c>
      <c r="E515" s="1">
        <v>2200007024</v>
      </c>
      <c r="G515" s="1" t="s">
        <v>90</v>
      </c>
      <c r="I515" s="1" t="s">
        <v>90</v>
      </c>
      <c r="K515" s="2">
        <v>16142.36</v>
      </c>
      <c r="L515" s="1" t="s">
        <v>22</v>
      </c>
      <c r="N515" s="2">
        <v>16142.36</v>
      </c>
      <c r="O515" s="1" t="s">
        <v>22</v>
      </c>
      <c r="P515" s="1" t="s">
        <v>243</v>
      </c>
      <c r="Q515" s="1">
        <v>1</v>
      </c>
    </row>
    <row r="516" spans="1:17" x14ac:dyDescent="0.2">
      <c r="D516" s="1" t="s">
        <v>43</v>
      </c>
      <c r="E516" s="1">
        <v>2200007121</v>
      </c>
      <c r="G516" s="1" t="s">
        <v>66</v>
      </c>
      <c r="I516" s="1" t="s">
        <v>66</v>
      </c>
      <c r="K516" s="2">
        <v>7802.13</v>
      </c>
      <c r="L516" s="1" t="s">
        <v>22</v>
      </c>
      <c r="N516" s="2">
        <v>7802.13</v>
      </c>
      <c r="O516" s="1" t="s">
        <v>22</v>
      </c>
      <c r="P516" s="1" t="s">
        <v>244</v>
      </c>
      <c r="Q516" s="1">
        <v>1</v>
      </c>
    </row>
    <row r="518" spans="1:17" x14ac:dyDescent="0.2">
      <c r="B518" s="1" t="s">
        <v>25</v>
      </c>
      <c r="K518" s="2">
        <v>725511.7</v>
      </c>
      <c r="L518" s="1" t="s">
        <v>22</v>
      </c>
      <c r="N518" s="2">
        <v>725511.7</v>
      </c>
      <c r="O518" s="1" t="s">
        <v>22</v>
      </c>
    </row>
    <row r="520" spans="1:17" x14ac:dyDescent="0.2">
      <c r="A520" s="3"/>
      <c r="B520" s="3" t="s">
        <v>26</v>
      </c>
      <c r="C520" s="3" t="s">
        <v>245</v>
      </c>
      <c r="D520" s="3"/>
      <c r="E520" s="3"/>
      <c r="F520" s="3"/>
      <c r="G520" s="3"/>
      <c r="H520" s="3"/>
      <c r="I520" s="3"/>
      <c r="J520" s="3"/>
      <c r="K520" s="4">
        <v>725511.7</v>
      </c>
      <c r="L520" s="3" t="s">
        <v>22</v>
      </c>
      <c r="M520" s="3"/>
      <c r="N520" s="4">
        <v>725511.7</v>
      </c>
      <c r="O520" s="3" t="s">
        <v>22</v>
      </c>
      <c r="P520" s="3"/>
      <c r="Q520" s="3"/>
    </row>
    <row r="522" spans="1:17" x14ac:dyDescent="0.2">
      <c r="A522" s="1" t="s">
        <v>0</v>
      </c>
      <c r="F522" s="1">
        <v>501201</v>
      </c>
    </row>
    <row r="523" spans="1:17" x14ac:dyDescent="0.2">
      <c r="A523" s="1" t="s">
        <v>1</v>
      </c>
      <c r="F523" s="1" t="s">
        <v>40</v>
      </c>
    </row>
    <row r="525" spans="1:17" x14ac:dyDescent="0.2">
      <c r="A525" s="1" t="s">
        <v>3</v>
      </c>
      <c r="F525" s="1" t="s">
        <v>246</v>
      </c>
    </row>
    <row r="526" spans="1:17" x14ac:dyDescent="0.2">
      <c r="A526" s="1" t="s">
        <v>5</v>
      </c>
      <c r="F526" s="1" t="s">
        <v>238</v>
      </c>
    </row>
    <row r="529" spans="3:17" x14ac:dyDescent="0.2">
      <c r="C529" s="1" t="s">
        <v>6</v>
      </c>
      <c r="D529" s="1" t="s">
        <v>7</v>
      </c>
      <c r="E529" s="1" t="s">
        <v>8</v>
      </c>
      <c r="G529" s="1" t="s">
        <v>9</v>
      </c>
      <c r="H529" s="1" t="s">
        <v>10</v>
      </c>
      <c r="I529" s="1" t="s">
        <v>11</v>
      </c>
      <c r="J529" s="1" t="s">
        <v>12</v>
      </c>
      <c r="K529" s="1" t="s">
        <v>13</v>
      </c>
      <c r="L529" s="1" t="s">
        <v>14</v>
      </c>
      <c r="M529" s="1" t="s">
        <v>15</v>
      </c>
      <c r="N529" s="1" t="s">
        <v>16</v>
      </c>
      <c r="O529" s="1" t="s">
        <v>17</v>
      </c>
      <c r="P529" s="1" t="s">
        <v>18</v>
      </c>
      <c r="Q529" s="1" t="s">
        <v>19</v>
      </c>
    </row>
    <row r="531" spans="3:17" x14ac:dyDescent="0.2">
      <c r="D531" s="1" t="s">
        <v>43</v>
      </c>
      <c r="E531" s="1">
        <v>103327326</v>
      </c>
      <c r="G531" s="1" t="s">
        <v>90</v>
      </c>
      <c r="I531" s="1" t="s">
        <v>90</v>
      </c>
      <c r="K531" s="2">
        <v>934582.47</v>
      </c>
      <c r="L531" s="1" t="s">
        <v>22</v>
      </c>
      <c r="N531" s="2">
        <v>934582.47</v>
      </c>
      <c r="O531" s="1" t="s">
        <v>22</v>
      </c>
      <c r="P531" s="1" t="s">
        <v>247</v>
      </c>
      <c r="Q531" s="1">
        <v>1</v>
      </c>
    </row>
    <row r="532" spans="3:17" x14ac:dyDescent="0.2">
      <c r="D532" s="1" t="s">
        <v>43</v>
      </c>
      <c r="E532" s="1">
        <v>103327327</v>
      </c>
      <c r="G532" s="1" t="s">
        <v>90</v>
      </c>
      <c r="I532" s="1" t="s">
        <v>90</v>
      </c>
      <c r="K532" s="2">
        <v>980113.95</v>
      </c>
      <c r="L532" s="1" t="s">
        <v>22</v>
      </c>
      <c r="N532" s="2">
        <v>980113.95</v>
      </c>
      <c r="O532" s="1" t="s">
        <v>22</v>
      </c>
      <c r="P532" s="1" t="s">
        <v>248</v>
      </c>
      <c r="Q532" s="1">
        <v>1</v>
      </c>
    </row>
    <row r="533" spans="3:17" x14ac:dyDescent="0.2">
      <c r="D533" s="1" t="s">
        <v>43</v>
      </c>
      <c r="E533" s="1">
        <v>103327341</v>
      </c>
      <c r="G533" s="1" t="s">
        <v>36</v>
      </c>
      <c r="I533" s="1" t="s">
        <v>36</v>
      </c>
      <c r="K533" s="2">
        <v>957940.91</v>
      </c>
      <c r="L533" s="1" t="s">
        <v>22</v>
      </c>
      <c r="N533" s="2">
        <v>957940.91</v>
      </c>
      <c r="O533" s="1" t="s">
        <v>22</v>
      </c>
      <c r="P533" s="1" t="s">
        <v>249</v>
      </c>
      <c r="Q533" s="1">
        <v>1</v>
      </c>
    </row>
    <row r="534" spans="3:17" x14ac:dyDescent="0.2">
      <c r="D534" s="1" t="s">
        <v>43</v>
      </c>
      <c r="E534" s="1">
        <v>103327342</v>
      </c>
      <c r="G534" s="1" t="s">
        <v>36</v>
      </c>
      <c r="I534" s="1" t="s">
        <v>36</v>
      </c>
      <c r="K534" s="2">
        <v>830502.91</v>
      </c>
      <c r="L534" s="1" t="s">
        <v>22</v>
      </c>
      <c r="N534" s="2">
        <v>830502.91</v>
      </c>
      <c r="O534" s="1" t="s">
        <v>22</v>
      </c>
      <c r="P534" s="1" t="s">
        <v>250</v>
      </c>
      <c r="Q534" s="1">
        <v>1</v>
      </c>
    </row>
    <row r="535" spans="3:17" x14ac:dyDescent="0.2">
      <c r="D535" s="1" t="s">
        <v>43</v>
      </c>
      <c r="E535" s="1">
        <v>103327343</v>
      </c>
      <c r="G535" s="1" t="s">
        <v>36</v>
      </c>
      <c r="I535" s="1" t="s">
        <v>36</v>
      </c>
      <c r="K535" s="2">
        <v>737832.41</v>
      </c>
      <c r="L535" s="1" t="s">
        <v>22</v>
      </c>
      <c r="N535" s="2">
        <v>737832.41</v>
      </c>
      <c r="O535" s="1" t="s">
        <v>22</v>
      </c>
      <c r="P535" s="1" t="s">
        <v>251</v>
      </c>
      <c r="Q535" s="1">
        <v>1</v>
      </c>
    </row>
    <row r="536" spans="3:17" x14ac:dyDescent="0.2">
      <c r="D536" s="1" t="s">
        <v>43</v>
      </c>
      <c r="E536" s="1">
        <v>103327344</v>
      </c>
      <c r="G536" s="1" t="s">
        <v>36</v>
      </c>
      <c r="I536" s="1" t="s">
        <v>36</v>
      </c>
      <c r="K536" s="2">
        <v>777177.7</v>
      </c>
      <c r="L536" s="1" t="s">
        <v>22</v>
      </c>
      <c r="N536" s="2">
        <v>777177.7</v>
      </c>
      <c r="O536" s="1" t="s">
        <v>22</v>
      </c>
      <c r="P536" s="1" t="s">
        <v>252</v>
      </c>
      <c r="Q536" s="1">
        <v>1</v>
      </c>
    </row>
    <row r="537" spans="3:17" x14ac:dyDescent="0.2">
      <c r="D537" s="1" t="s">
        <v>43</v>
      </c>
      <c r="E537" s="1">
        <v>103327345</v>
      </c>
      <c r="G537" s="1" t="s">
        <v>36</v>
      </c>
      <c r="I537" s="1" t="s">
        <v>36</v>
      </c>
      <c r="K537" s="2">
        <v>509489.51</v>
      </c>
      <c r="L537" s="1" t="s">
        <v>22</v>
      </c>
      <c r="N537" s="2">
        <v>509489.51</v>
      </c>
      <c r="O537" s="1" t="s">
        <v>22</v>
      </c>
      <c r="P537" s="1" t="s">
        <v>253</v>
      </c>
      <c r="Q537" s="1">
        <v>1</v>
      </c>
    </row>
    <row r="538" spans="3:17" x14ac:dyDescent="0.2">
      <c r="D538" s="1" t="s">
        <v>43</v>
      </c>
      <c r="E538" s="1">
        <v>103327346</v>
      </c>
      <c r="G538" s="1" t="s">
        <v>36</v>
      </c>
      <c r="I538" s="1" t="s">
        <v>36</v>
      </c>
      <c r="K538" s="2">
        <v>828556.4</v>
      </c>
      <c r="L538" s="1" t="s">
        <v>22</v>
      </c>
      <c r="N538" s="2">
        <v>828556.4</v>
      </c>
      <c r="O538" s="1" t="s">
        <v>22</v>
      </c>
      <c r="P538" s="1" t="s">
        <v>254</v>
      </c>
      <c r="Q538" s="1">
        <v>1</v>
      </c>
    </row>
    <row r="539" spans="3:17" x14ac:dyDescent="0.2">
      <c r="D539" s="1" t="s">
        <v>43</v>
      </c>
      <c r="E539" s="1">
        <v>103327347</v>
      </c>
      <c r="G539" s="1" t="s">
        <v>36</v>
      </c>
      <c r="I539" s="1" t="s">
        <v>36</v>
      </c>
      <c r="K539" s="2">
        <v>1165107.27</v>
      </c>
      <c r="L539" s="1" t="s">
        <v>22</v>
      </c>
      <c r="N539" s="2">
        <v>1165107.27</v>
      </c>
      <c r="O539" s="1" t="s">
        <v>22</v>
      </c>
      <c r="P539" s="1" t="s">
        <v>255</v>
      </c>
      <c r="Q539" s="1">
        <v>1</v>
      </c>
    </row>
    <row r="540" spans="3:17" x14ac:dyDescent="0.2">
      <c r="D540" s="1" t="s">
        <v>43</v>
      </c>
      <c r="E540" s="1">
        <v>103327348</v>
      </c>
      <c r="G540" s="1" t="s">
        <v>36</v>
      </c>
      <c r="I540" s="1" t="s">
        <v>36</v>
      </c>
      <c r="K540" s="2">
        <v>17874095.809999999</v>
      </c>
      <c r="L540" s="1" t="s">
        <v>22</v>
      </c>
      <c r="N540" s="2">
        <v>17874095.809999999</v>
      </c>
      <c r="O540" s="1" t="s">
        <v>22</v>
      </c>
      <c r="P540" s="1" t="s">
        <v>256</v>
      </c>
      <c r="Q540" s="1">
        <v>1</v>
      </c>
    </row>
    <row r="541" spans="3:17" x14ac:dyDescent="0.2">
      <c r="D541" s="1" t="s">
        <v>43</v>
      </c>
      <c r="E541" s="1">
        <v>103327349</v>
      </c>
      <c r="G541" s="1" t="s">
        <v>36</v>
      </c>
      <c r="I541" s="1" t="s">
        <v>36</v>
      </c>
      <c r="K541" s="2">
        <v>12770523.310000001</v>
      </c>
      <c r="L541" s="1" t="s">
        <v>22</v>
      </c>
      <c r="N541" s="2">
        <v>12770523.310000001</v>
      </c>
      <c r="O541" s="1" t="s">
        <v>22</v>
      </c>
      <c r="P541" s="1" t="s">
        <v>257</v>
      </c>
      <c r="Q541" s="1">
        <v>1</v>
      </c>
    </row>
    <row r="542" spans="3:17" x14ac:dyDescent="0.2">
      <c r="D542" s="1" t="s">
        <v>43</v>
      </c>
      <c r="E542" s="1">
        <v>103327353</v>
      </c>
      <c r="G542" s="1" t="s">
        <v>30</v>
      </c>
      <c r="I542" s="1" t="s">
        <v>30</v>
      </c>
      <c r="K542" s="2">
        <v>1032113.5</v>
      </c>
      <c r="L542" s="1" t="s">
        <v>22</v>
      </c>
      <c r="N542" s="2">
        <v>1032113.5</v>
      </c>
      <c r="O542" s="1" t="s">
        <v>22</v>
      </c>
      <c r="P542" s="1" t="s">
        <v>258</v>
      </c>
      <c r="Q542" s="1">
        <v>1</v>
      </c>
    </row>
    <row r="543" spans="3:17" x14ac:dyDescent="0.2">
      <c r="D543" s="1" t="s">
        <v>43</v>
      </c>
      <c r="E543" s="1">
        <v>103327748</v>
      </c>
      <c r="G543" s="1" t="s">
        <v>66</v>
      </c>
      <c r="I543" s="1" t="s">
        <v>66</v>
      </c>
      <c r="K543" s="2">
        <v>378939.69</v>
      </c>
      <c r="L543" s="1" t="s">
        <v>22</v>
      </c>
      <c r="N543" s="2">
        <v>378939.69</v>
      </c>
      <c r="O543" s="1" t="s">
        <v>22</v>
      </c>
      <c r="P543" s="1" t="s">
        <v>67</v>
      </c>
      <c r="Q543" s="1">
        <v>1</v>
      </c>
    </row>
    <row r="544" spans="3:17" x14ac:dyDescent="0.2">
      <c r="D544" s="1" t="s">
        <v>43</v>
      </c>
      <c r="E544" s="1">
        <v>2200007045</v>
      </c>
      <c r="G544" s="1" t="s">
        <v>90</v>
      </c>
      <c r="I544" s="1" t="s">
        <v>90</v>
      </c>
      <c r="K544" s="2">
        <v>17726.080000000002</v>
      </c>
      <c r="L544" s="1" t="s">
        <v>22</v>
      </c>
      <c r="N544" s="2">
        <v>17726.080000000002</v>
      </c>
      <c r="O544" s="1" t="s">
        <v>22</v>
      </c>
      <c r="P544" s="1" t="s">
        <v>247</v>
      </c>
      <c r="Q544" s="1">
        <v>1</v>
      </c>
    </row>
    <row r="545" spans="1:17" x14ac:dyDescent="0.2">
      <c r="D545" s="1" t="s">
        <v>43</v>
      </c>
      <c r="E545" s="1">
        <v>2200007047</v>
      </c>
      <c r="G545" s="1" t="s">
        <v>90</v>
      </c>
      <c r="I545" s="1" t="s">
        <v>90</v>
      </c>
      <c r="K545" s="2">
        <v>19458.349999999999</v>
      </c>
      <c r="L545" s="1" t="s">
        <v>22</v>
      </c>
      <c r="N545" s="2">
        <v>19458.349999999999</v>
      </c>
      <c r="O545" s="1" t="s">
        <v>22</v>
      </c>
      <c r="P545" s="1" t="s">
        <v>248</v>
      </c>
      <c r="Q545" s="1">
        <v>1</v>
      </c>
    </row>
    <row r="546" spans="1:17" x14ac:dyDescent="0.2">
      <c r="D546" s="1" t="s">
        <v>43</v>
      </c>
      <c r="E546" s="1">
        <v>2200007058</v>
      </c>
      <c r="G546" s="1" t="s">
        <v>36</v>
      </c>
      <c r="I546" s="1" t="s">
        <v>36</v>
      </c>
      <c r="K546" s="2">
        <v>22959.09</v>
      </c>
      <c r="L546" s="1" t="s">
        <v>22</v>
      </c>
      <c r="N546" s="2">
        <v>22959.09</v>
      </c>
      <c r="O546" s="1" t="s">
        <v>22</v>
      </c>
      <c r="P546" s="1" t="s">
        <v>249</v>
      </c>
      <c r="Q546" s="1">
        <v>1</v>
      </c>
    </row>
    <row r="547" spans="1:17" x14ac:dyDescent="0.2">
      <c r="D547" s="1" t="s">
        <v>43</v>
      </c>
      <c r="E547" s="1">
        <v>2200007059</v>
      </c>
      <c r="G547" s="1" t="s">
        <v>36</v>
      </c>
      <c r="I547" s="1" t="s">
        <v>36</v>
      </c>
      <c r="K547" s="2">
        <v>20347.09</v>
      </c>
      <c r="L547" s="1" t="s">
        <v>22</v>
      </c>
      <c r="N547" s="2">
        <v>20347.09</v>
      </c>
      <c r="O547" s="1" t="s">
        <v>22</v>
      </c>
      <c r="P547" s="1" t="s">
        <v>250</v>
      </c>
      <c r="Q547" s="1">
        <v>1</v>
      </c>
    </row>
    <row r="548" spans="1:17" x14ac:dyDescent="0.2">
      <c r="D548" s="1" t="s">
        <v>43</v>
      </c>
      <c r="E548" s="1">
        <v>2200007061</v>
      </c>
      <c r="G548" s="1" t="s">
        <v>36</v>
      </c>
      <c r="I548" s="1" t="s">
        <v>36</v>
      </c>
      <c r="K548" s="2">
        <v>19517.59</v>
      </c>
      <c r="L548" s="1" t="s">
        <v>22</v>
      </c>
      <c r="N548" s="2">
        <v>19517.59</v>
      </c>
      <c r="O548" s="1" t="s">
        <v>22</v>
      </c>
      <c r="P548" s="1" t="s">
        <v>251</v>
      </c>
      <c r="Q548" s="1">
        <v>1</v>
      </c>
    </row>
    <row r="549" spans="1:17" x14ac:dyDescent="0.2">
      <c r="D549" s="1" t="s">
        <v>43</v>
      </c>
      <c r="E549" s="1">
        <v>2200007063</v>
      </c>
      <c r="G549" s="1" t="s">
        <v>36</v>
      </c>
      <c r="I549" s="1" t="s">
        <v>36</v>
      </c>
      <c r="K549" s="2">
        <v>20972.3</v>
      </c>
      <c r="L549" s="1" t="s">
        <v>22</v>
      </c>
      <c r="N549" s="2">
        <v>20972.3</v>
      </c>
      <c r="O549" s="1" t="s">
        <v>22</v>
      </c>
      <c r="P549" s="1" t="s">
        <v>252</v>
      </c>
      <c r="Q549" s="1">
        <v>1</v>
      </c>
    </row>
    <row r="550" spans="1:17" x14ac:dyDescent="0.2">
      <c r="D550" s="1" t="s">
        <v>43</v>
      </c>
      <c r="E550" s="1">
        <v>2200007065</v>
      </c>
      <c r="G550" s="1" t="s">
        <v>36</v>
      </c>
      <c r="I550" s="1" t="s">
        <v>36</v>
      </c>
      <c r="K550" s="2">
        <v>14110.49</v>
      </c>
      <c r="L550" s="1" t="s">
        <v>22</v>
      </c>
      <c r="N550" s="2">
        <v>14110.49</v>
      </c>
      <c r="O550" s="1" t="s">
        <v>22</v>
      </c>
      <c r="P550" s="1" t="s">
        <v>253</v>
      </c>
      <c r="Q550" s="1">
        <v>1</v>
      </c>
    </row>
    <row r="551" spans="1:17" x14ac:dyDescent="0.2">
      <c r="D551" s="1" t="s">
        <v>43</v>
      </c>
      <c r="E551" s="1">
        <v>2200007067</v>
      </c>
      <c r="G551" s="1" t="s">
        <v>36</v>
      </c>
      <c r="I551" s="1" t="s">
        <v>36</v>
      </c>
      <c r="K551" s="2">
        <v>20593.599999999999</v>
      </c>
      <c r="L551" s="1" t="s">
        <v>22</v>
      </c>
      <c r="N551" s="2">
        <v>20593.599999999999</v>
      </c>
      <c r="O551" s="1" t="s">
        <v>22</v>
      </c>
      <c r="P551" s="1" t="s">
        <v>254</v>
      </c>
      <c r="Q551" s="1">
        <v>1</v>
      </c>
    </row>
    <row r="552" spans="1:17" x14ac:dyDescent="0.2">
      <c r="D552" s="1" t="s">
        <v>43</v>
      </c>
      <c r="E552" s="1">
        <v>2200007069</v>
      </c>
      <c r="G552" s="1" t="s">
        <v>36</v>
      </c>
      <c r="I552" s="1" t="s">
        <v>36</v>
      </c>
      <c r="K552" s="2">
        <v>29992.73</v>
      </c>
      <c r="L552" s="1" t="s">
        <v>22</v>
      </c>
      <c r="N552" s="2">
        <v>29992.73</v>
      </c>
      <c r="O552" s="1" t="s">
        <v>22</v>
      </c>
      <c r="P552" s="1" t="s">
        <v>255</v>
      </c>
      <c r="Q552" s="1">
        <v>1</v>
      </c>
    </row>
    <row r="553" spans="1:17" x14ac:dyDescent="0.2">
      <c r="D553" s="1" t="s">
        <v>43</v>
      </c>
      <c r="E553" s="1">
        <v>2200007074</v>
      </c>
      <c r="G553" s="1" t="s">
        <v>30</v>
      </c>
      <c r="I553" s="1" t="s">
        <v>30</v>
      </c>
      <c r="K553" s="2">
        <v>25286.5</v>
      </c>
      <c r="L553" s="1" t="s">
        <v>22</v>
      </c>
      <c r="N553" s="2">
        <v>25286.5</v>
      </c>
      <c r="O553" s="1" t="s">
        <v>22</v>
      </c>
      <c r="P553" s="1" t="s">
        <v>258</v>
      </c>
      <c r="Q553" s="1">
        <v>1</v>
      </c>
    </row>
    <row r="554" spans="1:17" x14ac:dyDescent="0.2">
      <c r="D554" s="1" t="s">
        <v>43</v>
      </c>
      <c r="E554" s="1">
        <v>2200007126</v>
      </c>
      <c r="G554" s="1" t="s">
        <v>66</v>
      </c>
      <c r="I554" s="1" t="s">
        <v>66</v>
      </c>
      <c r="K554" s="2">
        <v>10360.31</v>
      </c>
      <c r="L554" s="1" t="s">
        <v>22</v>
      </c>
      <c r="N554" s="2">
        <v>10360.31</v>
      </c>
      <c r="O554" s="1" t="s">
        <v>22</v>
      </c>
      <c r="P554" s="1" t="s">
        <v>67</v>
      </c>
      <c r="Q554" s="1">
        <v>1</v>
      </c>
    </row>
    <row r="556" spans="1:17" x14ac:dyDescent="0.2">
      <c r="B556" s="1" t="s">
        <v>25</v>
      </c>
      <c r="K556" s="2">
        <v>39998299.969999999</v>
      </c>
      <c r="L556" s="1" t="s">
        <v>22</v>
      </c>
      <c r="N556" s="2">
        <v>39998299.969999999</v>
      </c>
      <c r="O556" s="1" t="s">
        <v>22</v>
      </c>
    </row>
    <row r="558" spans="1:17" x14ac:dyDescent="0.2">
      <c r="A558" s="3"/>
      <c r="B558" s="3" t="s">
        <v>26</v>
      </c>
      <c r="C558" s="3" t="s">
        <v>259</v>
      </c>
      <c r="D558" s="3"/>
      <c r="E558" s="3"/>
      <c r="F558" s="3"/>
      <c r="G558" s="3"/>
      <c r="H558" s="3"/>
      <c r="I558" s="3"/>
      <c r="J558" s="3"/>
      <c r="K558" s="4">
        <v>39998299.969999999</v>
      </c>
      <c r="L558" s="3" t="s">
        <v>22</v>
      </c>
      <c r="M558" s="3"/>
      <c r="N558" s="4">
        <v>39998299.969999999</v>
      </c>
      <c r="O558" s="3" t="s">
        <v>22</v>
      </c>
      <c r="P558" s="3"/>
      <c r="Q558" s="3"/>
    </row>
    <row r="560" spans="1:17" x14ac:dyDescent="0.2">
      <c r="A560" s="1" t="s">
        <v>0</v>
      </c>
      <c r="F560" s="1">
        <v>501206</v>
      </c>
    </row>
    <row r="561" spans="1:17" x14ac:dyDescent="0.2">
      <c r="A561" s="1" t="s">
        <v>1</v>
      </c>
      <c r="F561" s="1" t="s">
        <v>40</v>
      </c>
    </row>
    <row r="563" spans="1:17" x14ac:dyDescent="0.2">
      <c r="A563" s="1" t="s">
        <v>3</v>
      </c>
      <c r="F563" s="1" t="s">
        <v>260</v>
      </c>
    </row>
    <row r="564" spans="1:17" x14ac:dyDescent="0.2">
      <c r="A564" s="1" t="s">
        <v>5</v>
      </c>
      <c r="F564" s="1" t="s">
        <v>204</v>
      </c>
    </row>
    <row r="567" spans="1:17" x14ac:dyDescent="0.2">
      <c r="C567" s="1" t="s">
        <v>6</v>
      </c>
      <c r="D567" s="1" t="s">
        <v>7</v>
      </c>
      <c r="E567" s="1" t="s">
        <v>8</v>
      </c>
      <c r="G567" s="1" t="s">
        <v>9</v>
      </c>
      <c r="H567" s="1" t="s">
        <v>10</v>
      </c>
      <c r="I567" s="1" t="s">
        <v>11</v>
      </c>
      <c r="J567" s="1" t="s">
        <v>12</v>
      </c>
      <c r="K567" s="1" t="s">
        <v>13</v>
      </c>
      <c r="L567" s="1" t="s">
        <v>14</v>
      </c>
      <c r="M567" s="1" t="s">
        <v>15</v>
      </c>
      <c r="N567" s="1" t="s">
        <v>16</v>
      </c>
      <c r="O567" s="1" t="s">
        <v>17</v>
      </c>
      <c r="P567" s="1" t="s">
        <v>18</v>
      </c>
      <c r="Q567" s="1" t="s">
        <v>19</v>
      </c>
    </row>
    <row r="569" spans="1:17" x14ac:dyDescent="0.2">
      <c r="D569" s="1" t="s">
        <v>43</v>
      </c>
      <c r="E569" s="1">
        <v>103353811</v>
      </c>
      <c r="G569" s="1" t="s">
        <v>66</v>
      </c>
      <c r="I569" s="1" t="s">
        <v>66</v>
      </c>
      <c r="K569" s="2">
        <v>664868.54</v>
      </c>
      <c r="L569" s="1" t="s">
        <v>22</v>
      </c>
      <c r="N569" s="2">
        <v>664868.54</v>
      </c>
      <c r="O569" s="1" t="s">
        <v>22</v>
      </c>
      <c r="P569" s="1" t="s">
        <v>261</v>
      </c>
      <c r="Q569" s="1">
        <v>1</v>
      </c>
    </row>
    <row r="570" spans="1:17" x14ac:dyDescent="0.2">
      <c r="D570" s="1" t="s">
        <v>43</v>
      </c>
      <c r="E570" s="1">
        <v>103353812</v>
      </c>
      <c r="G570" s="1" t="s">
        <v>66</v>
      </c>
      <c r="I570" s="1" t="s">
        <v>66</v>
      </c>
      <c r="K570" s="2">
        <v>334073.17</v>
      </c>
      <c r="L570" s="1" t="s">
        <v>22</v>
      </c>
      <c r="N570" s="2">
        <v>334073.17</v>
      </c>
      <c r="O570" s="1" t="s">
        <v>22</v>
      </c>
      <c r="P570" s="1" t="s">
        <v>262</v>
      </c>
      <c r="Q570" s="1">
        <v>1</v>
      </c>
    </row>
    <row r="572" spans="1:17" x14ac:dyDescent="0.2">
      <c r="B572" s="1" t="s">
        <v>25</v>
      </c>
      <c r="K572" s="2">
        <v>998941.71</v>
      </c>
      <c r="L572" s="1" t="s">
        <v>22</v>
      </c>
      <c r="N572" s="2">
        <v>998941.71</v>
      </c>
      <c r="O572" s="1" t="s">
        <v>22</v>
      </c>
    </row>
    <row r="574" spans="1:17" x14ac:dyDescent="0.2">
      <c r="A574" s="3"/>
      <c r="B574" s="3" t="s">
        <v>26</v>
      </c>
      <c r="C574" s="3" t="s">
        <v>263</v>
      </c>
      <c r="D574" s="3"/>
      <c r="E574" s="3"/>
      <c r="F574" s="3"/>
      <c r="G574" s="3"/>
      <c r="H574" s="3"/>
      <c r="I574" s="3"/>
      <c r="J574" s="3"/>
      <c r="K574" s="4">
        <v>998941.71</v>
      </c>
      <c r="L574" s="3" t="s">
        <v>22</v>
      </c>
      <c r="M574" s="3"/>
      <c r="N574" s="4">
        <v>998941.71</v>
      </c>
      <c r="O574" s="3" t="s">
        <v>22</v>
      </c>
      <c r="P574" s="3"/>
      <c r="Q574" s="3"/>
    </row>
    <row r="576" spans="1:17" x14ac:dyDescent="0.2">
      <c r="A576" s="1" t="s">
        <v>0</v>
      </c>
      <c r="F576" s="1">
        <v>501208</v>
      </c>
    </row>
    <row r="577" spans="1:17" x14ac:dyDescent="0.2">
      <c r="A577" s="1" t="s">
        <v>1</v>
      </c>
      <c r="F577" s="1" t="s">
        <v>40</v>
      </c>
    </row>
    <row r="579" spans="1:17" x14ac:dyDescent="0.2">
      <c r="A579" s="1" t="s">
        <v>3</v>
      </c>
      <c r="F579" s="1" t="s">
        <v>211</v>
      </c>
    </row>
    <row r="580" spans="1:17" x14ac:dyDescent="0.2">
      <c r="A580" s="1" t="s">
        <v>5</v>
      </c>
      <c r="F580" s="1" t="s">
        <v>238</v>
      </c>
    </row>
    <row r="583" spans="1:17" x14ac:dyDescent="0.2">
      <c r="C583" s="1" t="s">
        <v>6</v>
      </c>
      <c r="D583" s="1" t="s">
        <v>7</v>
      </c>
      <c r="E583" s="1" t="s">
        <v>8</v>
      </c>
      <c r="G583" s="1" t="s">
        <v>9</v>
      </c>
      <c r="H583" s="1" t="s">
        <v>10</v>
      </c>
      <c r="I583" s="1" t="s">
        <v>11</v>
      </c>
      <c r="J583" s="1" t="s">
        <v>12</v>
      </c>
      <c r="K583" s="1" t="s">
        <v>13</v>
      </c>
      <c r="L583" s="1" t="s">
        <v>14</v>
      </c>
      <c r="M583" s="1" t="s">
        <v>15</v>
      </c>
      <c r="N583" s="1" t="s">
        <v>16</v>
      </c>
      <c r="O583" s="1" t="s">
        <v>17</v>
      </c>
      <c r="P583" s="1" t="s">
        <v>18</v>
      </c>
      <c r="Q583" s="1" t="s">
        <v>19</v>
      </c>
    </row>
    <row r="585" spans="1:17" x14ac:dyDescent="0.2">
      <c r="D585" s="1" t="s">
        <v>43</v>
      </c>
      <c r="E585" s="1">
        <v>103327171</v>
      </c>
      <c r="G585" s="1" t="s">
        <v>123</v>
      </c>
      <c r="I585" s="1" t="s">
        <v>123</v>
      </c>
      <c r="K585" s="2">
        <v>263507</v>
      </c>
      <c r="L585" s="1" t="s">
        <v>22</v>
      </c>
      <c r="N585" s="2">
        <v>263507</v>
      </c>
      <c r="O585" s="1" t="s">
        <v>22</v>
      </c>
      <c r="P585" s="1" t="s">
        <v>264</v>
      </c>
      <c r="Q585" s="1">
        <v>1</v>
      </c>
    </row>
    <row r="586" spans="1:17" x14ac:dyDescent="0.2">
      <c r="D586" s="1" t="s">
        <v>43</v>
      </c>
      <c r="E586" s="1">
        <v>103327172</v>
      </c>
      <c r="G586" s="1" t="s">
        <v>123</v>
      </c>
      <c r="I586" s="1" t="s">
        <v>123</v>
      </c>
      <c r="K586" s="2">
        <v>581348</v>
      </c>
      <c r="L586" s="1" t="s">
        <v>22</v>
      </c>
      <c r="N586" s="2">
        <v>581348</v>
      </c>
      <c r="O586" s="1" t="s">
        <v>22</v>
      </c>
      <c r="P586" s="1" t="s">
        <v>265</v>
      </c>
      <c r="Q586" s="1">
        <v>1</v>
      </c>
    </row>
    <row r="587" spans="1:17" x14ac:dyDescent="0.2">
      <c r="D587" s="1" t="s">
        <v>43</v>
      </c>
      <c r="E587" s="1">
        <v>103327186</v>
      </c>
      <c r="G587" s="1" t="s">
        <v>54</v>
      </c>
      <c r="I587" s="1" t="s">
        <v>54</v>
      </c>
      <c r="K587" s="2">
        <v>73276.960000000006</v>
      </c>
      <c r="L587" s="1" t="s">
        <v>22</v>
      </c>
      <c r="N587" s="2">
        <v>73276.960000000006</v>
      </c>
      <c r="O587" s="1" t="s">
        <v>22</v>
      </c>
      <c r="P587" s="1" t="s">
        <v>266</v>
      </c>
      <c r="Q587" s="1">
        <v>1</v>
      </c>
    </row>
    <row r="588" spans="1:17" x14ac:dyDescent="0.2">
      <c r="D588" s="1" t="s">
        <v>43</v>
      </c>
      <c r="E588" s="1">
        <v>103327187</v>
      </c>
      <c r="G588" s="1" t="s">
        <v>54</v>
      </c>
      <c r="I588" s="1" t="s">
        <v>54</v>
      </c>
      <c r="K588" s="2">
        <v>80870.399999999994</v>
      </c>
      <c r="L588" s="1" t="s">
        <v>22</v>
      </c>
      <c r="N588" s="2">
        <v>80870.399999999994</v>
      </c>
      <c r="O588" s="1" t="s">
        <v>22</v>
      </c>
      <c r="P588" s="1" t="s">
        <v>267</v>
      </c>
      <c r="Q588" s="1">
        <v>1</v>
      </c>
    </row>
    <row r="589" spans="1:17" x14ac:dyDescent="0.2">
      <c r="D589" s="1" t="s">
        <v>43</v>
      </c>
      <c r="E589" s="1">
        <v>103327195</v>
      </c>
      <c r="G589" s="1" t="s">
        <v>21</v>
      </c>
      <c r="I589" s="1" t="s">
        <v>21</v>
      </c>
      <c r="K589" s="2">
        <v>120822</v>
      </c>
      <c r="L589" s="1" t="s">
        <v>22</v>
      </c>
      <c r="N589" s="2">
        <v>120822</v>
      </c>
      <c r="O589" s="1" t="s">
        <v>22</v>
      </c>
      <c r="P589" s="1" t="s">
        <v>268</v>
      </c>
      <c r="Q589" s="1">
        <v>1</v>
      </c>
    </row>
    <row r="590" spans="1:17" x14ac:dyDescent="0.2">
      <c r="D590" s="1" t="s">
        <v>43</v>
      </c>
      <c r="E590" s="1">
        <v>103327196</v>
      </c>
      <c r="G590" s="1" t="s">
        <v>21</v>
      </c>
      <c r="I590" s="1" t="s">
        <v>21</v>
      </c>
      <c r="K590" s="2">
        <v>264750.8</v>
      </c>
      <c r="L590" s="1" t="s">
        <v>22</v>
      </c>
      <c r="N590" s="2">
        <v>264750.8</v>
      </c>
      <c r="O590" s="1" t="s">
        <v>22</v>
      </c>
      <c r="P590" s="1" t="s">
        <v>269</v>
      </c>
      <c r="Q590" s="1">
        <v>1</v>
      </c>
    </row>
    <row r="591" spans="1:17" x14ac:dyDescent="0.2">
      <c r="D591" s="1" t="s">
        <v>43</v>
      </c>
      <c r="E591" s="1">
        <v>103327197</v>
      </c>
      <c r="G591" s="1" t="s">
        <v>21</v>
      </c>
      <c r="I591" s="1" t="s">
        <v>21</v>
      </c>
      <c r="K591" s="2">
        <v>271880</v>
      </c>
      <c r="L591" s="1" t="s">
        <v>22</v>
      </c>
      <c r="N591" s="2">
        <v>271880</v>
      </c>
      <c r="O591" s="1" t="s">
        <v>22</v>
      </c>
      <c r="P591" s="1" t="s">
        <v>270</v>
      </c>
      <c r="Q591" s="1">
        <v>1</v>
      </c>
    </row>
    <row r="592" spans="1:17" x14ac:dyDescent="0.2">
      <c r="D592" s="1" t="s">
        <v>43</v>
      </c>
      <c r="E592" s="1">
        <v>103327198</v>
      </c>
      <c r="G592" s="1" t="s">
        <v>21</v>
      </c>
      <c r="I592" s="1" t="s">
        <v>21</v>
      </c>
      <c r="K592" s="2">
        <v>130507.2</v>
      </c>
      <c r="L592" s="1" t="s">
        <v>22</v>
      </c>
      <c r="N592" s="2">
        <v>130507.2</v>
      </c>
      <c r="O592" s="1" t="s">
        <v>22</v>
      </c>
      <c r="P592" s="1" t="s">
        <v>271</v>
      </c>
      <c r="Q592" s="1">
        <v>1</v>
      </c>
    </row>
    <row r="593" spans="1:17" x14ac:dyDescent="0.2">
      <c r="D593" s="1" t="s">
        <v>43</v>
      </c>
      <c r="E593" s="1">
        <v>103327199</v>
      </c>
      <c r="G593" s="1" t="s">
        <v>21</v>
      </c>
      <c r="I593" s="1" t="s">
        <v>21</v>
      </c>
      <c r="K593" s="2">
        <v>127277.4</v>
      </c>
      <c r="L593" s="1" t="s">
        <v>22</v>
      </c>
      <c r="N593" s="2">
        <v>127277.4</v>
      </c>
      <c r="O593" s="1" t="s">
        <v>22</v>
      </c>
      <c r="P593" s="1" t="s">
        <v>272</v>
      </c>
      <c r="Q593" s="1">
        <v>1</v>
      </c>
    </row>
    <row r="595" spans="1:17" x14ac:dyDescent="0.2">
      <c r="B595" s="1" t="s">
        <v>25</v>
      </c>
      <c r="K595" s="2">
        <v>1914239.76</v>
      </c>
      <c r="L595" s="1" t="s">
        <v>22</v>
      </c>
      <c r="N595" s="2">
        <v>1914239.76</v>
      </c>
      <c r="O595" s="1" t="s">
        <v>22</v>
      </c>
    </row>
    <row r="597" spans="1:17" x14ac:dyDescent="0.2">
      <c r="A597" s="3"/>
      <c r="B597" s="3" t="s">
        <v>26</v>
      </c>
      <c r="C597" s="3" t="s">
        <v>273</v>
      </c>
      <c r="D597" s="3"/>
      <c r="E597" s="3"/>
      <c r="F597" s="3"/>
      <c r="G597" s="3"/>
      <c r="H597" s="3"/>
      <c r="I597" s="3"/>
      <c r="J597" s="3"/>
      <c r="K597" s="4">
        <v>1914239.76</v>
      </c>
      <c r="L597" s="3" t="s">
        <v>22</v>
      </c>
      <c r="M597" s="3"/>
      <c r="N597" s="4">
        <v>1914239.76</v>
      </c>
      <c r="O597" s="3" t="s">
        <v>22</v>
      </c>
      <c r="P597" s="3"/>
      <c r="Q597" s="3"/>
    </row>
    <row r="599" spans="1:17" x14ac:dyDescent="0.2">
      <c r="A599" s="1" t="s">
        <v>0</v>
      </c>
      <c r="F599" s="1">
        <v>501211</v>
      </c>
    </row>
    <row r="600" spans="1:17" x14ac:dyDescent="0.2">
      <c r="A600" s="1" t="s">
        <v>1</v>
      </c>
      <c r="F600" s="1" t="s">
        <v>40</v>
      </c>
    </row>
    <row r="602" spans="1:17" x14ac:dyDescent="0.2">
      <c r="A602" s="1" t="s">
        <v>3</v>
      </c>
      <c r="F602" s="1" t="s">
        <v>274</v>
      </c>
    </row>
    <row r="603" spans="1:17" x14ac:dyDescent="0.2">
      <c r="A603" s="1" t="s">
        <v>5</v>
      </c>
      <c r="F603" s="1" t="s">
        <v>70</v>
      </c>
    </row>
    <row r="606" spans="1:17" x14ac:dyDescent="0.2">
      <c r="C606" s="1" t="s">
        <v>6</v>
      </c>
      <c r="D606" s="1" t="s">
        <v>7</v>
      </c>
      <c r="E606" s="1" t="s">
        <v>8</v>
      </c>
      <c r="G606" s="1" t="s">
        <v>9</v>
      </c>
      <c r="H606" s="1" t="s">
        <v>10</v>
      </c>
      <c r="I606" s="1" t="s">
        <v>11</v>
      </c>
      <c r="J606" s="1" t="s">
        <v>12</v>
      </c>
      <c r="K606" s="1" t="s">
        <v>13</v>
      </c>
      <c r="L606" s="1" t="s">
        <v>14</v>
      </c>
      <c r="M606" s="1" t="s">
        <v>15</v>
      </c>
      <c r="N606" s="1" t="s">
        <v>16</v>
      </c>
      <c r="O606" s="1" t="s">
        <v>17</v>
      </c>
      <c r="P606" s="1" t="s">
        <v>18</v>
      </c>
      <c r="Q606" s="1" t="s">
        <v>19</v>
      </c>
    </row>
    <row r="608" spans="1:17" x14ac:dyDescent="0.2">
      <c r="D608" s="1" t="s">
        <v>43</v>
      </c>
      <c r="E608" s="1">
        <v>103327222</v>
      </c>
      <c r="G608" s="1" t="s">
        <v>46</v>
      </c>
      <c r="I608" s="1" t="s">
        <v>46</v>
      </c>
      <c r="K608" s="2">
        <v>47449.86</v>
      </c>
      <c r="L608" s="1" t="s">
        <v>22</v>
      </c>
      <c r="N608" s="2">
        <v>47449.86</v>
      </c>
      <c r="O608" s="1" t="s">
        <v>22</v>
      </c>
      <c r="P608" s="1" t="s">
        <v>275</v>
      </c>
      <c r="Q608" s="1">
        <v>1</v>
      </c>
    </row>
    <row r="610" spans="1:17" x14ac:dyDescent="0.2">
      <c r="B610" s="1" t="s">
        <v>25</v>
      </c>
      <c r="K610" s="2">
        <v>47449.86</v>
      </c>
      <c r="L610" s="1" t="s">
        <v>22</v>
      </c>
      <c r="N610" s="2">
        <v>47449.86</v>
      </c>
      <c r="O610" s="1" t="s">
        <v>22</v>
      </c>
    </row>
    <row r="612" spans="1:17" x14ac:dyDescent="0.2">
      <c r="A612" s="3"/>
      <c r="B612" s="3" t="s">
        <v>26</v>
      </c>
      <c r="C612" s="3" t="s">
        <v>276</v>
      </c>
      <c r="D612" s="3"/>
      <c r="E612" s="3"/>
      <c r="F612" s="3"/>
      <c r="G612" s="3"/>
      <c r="H612" s="3"/>
      <c r="I612" s="3"/>
      <c r="J612" s="3"/>
      <c r="K612" s="4">
        <v>47449.86</v>
      </c>
      <c r="L612" s="3" t="s">
        <v>22</v>
      </c>
      <c r="M612" s="3"/>
      <c r="N612" s="4">
        <v>47449.86</v>
      </c>
      <c r="O612" s="3" t="s">
        <v>22</v>
      </c>
      <c r="P612" s="3"/>
      <c r="Q612" s="3"/>
    </row>
    <row r="614" spans="1:17" x14ac:dyDescent="0.2">
      <c r="A614" s="1" t="s">
        <v>0</v>
      </c>
      <c r="F614" s="1">
        <v>501218</v>
      </c>
    </row>
    <row r="615" spans="1:17" x14ac:dyDescent="0.2">
      <c r="A615" s="1" t="s">
        <v>1</v>
      </c>
      <c r="F615" s="1" t="s">
        <v>40</v>
      </c>
    </row>
    <row r="617" spans="1:17" x14ac:dyDescent="0.2">
      <c r="A617" s="1" t="s">
        <v>3</v>
      </c>
      <c r="F617" s="1" t="s">
        <v>277</v>
      </c>
    </row>
    <row r="618" spans="1:17" x14ac:dyDescent="0.2">
      <c r="A618" s="1" t="s">
        <v>5</v>
      </c>
      <c r="F618" s="1" t="s">
        <v>70</v>
      </c>
    </row>
    <row r="621" spans="1:17" x14ac:dyDescent="0.2">
      <c r="C621" s="1" t="s">
        <v>6</v>
      </c>
      <c r="D621" s="1" t="s">
        <v>7</v>
      </c>
      <c r="E621" s="1" t="s">
        <v>8</v>
      </c>
      <c r="G621" s="1" t="s">
        <v>9</v>
      </c>
      <c r="H621" s="1" t="s">
        <v>10</v>
      </c>
      <c r="I621" s="1" t="s">
        <v>11</v>
      </c>
      <c r="J621" s="1" t="s">
        <v>12</v>
      </c>
      <c r="K621" s="1" t="s">
        <v>13</v>
      </c>
      <c r="L621" s="1" t="s">
        <v>14</v>
      </c>
      <c r="M621" s="1" t="s">
        <v>15</v>
      </c>
      <c r="N621" s="1" t="s">
        <v>16</v>
      </c>
      <c r="O621" s="1" t="s">
        <v>17</v>
      </c>
      <c r="P621" s="1" t="s">
        <v>18</v>
      </c>
      <c r="Q621" s="1" t="s">
        <v>19</v>
      </c>
    </row>
    <row r="623" spans="1:17" x14ac:dyDescent="0.2">
      <c r="D623" s="1" t="s">
        <v>43</v>
      </c>
      <c r="E623" s="1">
        <v>103327269</v>
      </c>
      <c r="G623" s="1" t="s">
        <v>50</v>
      </c>
      <c r="I623" s="1" t="s">
        <v>50</v>
      </c>
      <c r="K623" s="2">
        <v>254779.54</v>
      </c>
      <c r="L623" s="1" t="s">
        <v>22</v>
      </c>
      <c r="N623" s="2">
        <v>254779.54</v>
      </c>
      <c r="O623" s="1" t="s">
        <v>22</v>
      </c>
      <c r="P623" s="1" t="s">
        <v>278</v>
      </c>
      <c r="Q623" s="1">
        <v>1</v>
      </c>
    </row>
    <row r="624" spans="1:17" x14ac:dyDescent="0.2">
      <c r="D624" s="1" t="s">
        <v>43</v>
      </c>
      <c r="E624" s="1">
        <v>103327270</v>
      </c>
      <c r="G624" s="1" t="s">
        <v>50</v>
      </c>
      <c r="I624" s="1" t="s">
        <v>50</v>
      </c>
      <c r="K624" s="2">
        <v>271186.06</v>
      </c>
      <c r="L624" s="1" t="s">
        <v>22</v>
      </c>
      <c r="N624" s="2">
        <v>271186.06</v>
      </c>
      <c r="O624" s="1" t="s">
        <v>22</v>
      </c>
      <c r="P624" s="1" t="s">
        <v>279</v>
      </c>
      <c r="Q624" s="1">
        <v>1</v>
      </c>
    </row>
    <row r="626" spans="1:17" x14ac:dyDescent="0.2">
      <c r="B626" s="1" t="s">
        <v>25</v>
      </c>
      <c r="K626" s="2">
        <v>525965.6</v>
      </c>
      <c r="L626" s="1" t="s">
        <v>22</v>
      </c>
      <c r="N626" s="2">
        <v>525965.6</v>
      </c>
      <c r="O626" s="1" t="s">
        <v>22</v>
      </c>
    </row>
    <row r="628" spans="1:17" x14ac:dyDescent="0.2">
      <c r="A628" s="3"/>
      <c r="B628" s="3" t="s">
        <v>26</v>
      </c>
      <c r="C628" s="3" t="s">
        <v>280</v>
      </c>
      <c r="D628" s="3"/>
      <c r="E628" s="3"/>
      <c r="F628" s="3"/>
      <c r="G628" s="3"/>
      <c r="H628" s="3"/>
      <c r="I628" s="3"/>
      <c r="J628" s="3"/>
      <c r="K628" s="4">
        <v>525965.6</v>
      </c>
      <c r="L628" s="3" t="s">
        <v>22</v>
      </c>
      <c r="M628" s="3"/>
      <c r="N628" s="4">
        <v>525965.6</v>
      </c>
      <c r="O628" s="3" t="s">
        <v>22</v>
      </c>
      <c r="P628" s="3"/>
      <c r="Q628" s="3"/>
    </row>
    <row r="630" spans="1:17" x14ac:dyDescent="0.2">
      <c r="A630" s="1" t="s">
        <v>0</v>
      </c>
      <c r="F630" s="1">
        <v>501219</v>
      </c>
    </row>
    <row r="631" spans="1:17" x14ac:dyDescent="0.2">
      <c r="A631" s="1" t="s">
        <v>1</v>
      </c>
      <c r="F631" s="1" t="s">
        <v>40</v>
      </c>
    </row>
    <row r="633" spans="1:17" x14ac:dyDescent="0.2">
      <c r="A633" s="1" t="s">
        <v>3</v>
      </c>
      <c r="F633" s="1" t="s">
        <v>281</v>
      </c>
    </row>
    <row r="634" spans="1:17" x14ac:dyDescent="0.2">
      <c r="A634" s="1" t="s">
        <v>5</v>
      </c>
      <c r="F634" s="1" t="s">
        <v>282</v>
      </c>
    </row>
    <row r="637" spans="1:17" x14ac:dyDescent="0.2">
      <c r="C637" s="1" t="s">
        <v>6</v>
      </c>
      <c r="D637" s="1" t="s">
        <v>7</v>
      </c>
      <c r="E637" s="1" t="s">
        <v>8</v>
      </c>
      <c r="G637" s="1" t="s">
        <v>9</v>
      </c>
      <c r="H637" s="1" t="s">
        <v>10</v>
      </c>
      <c r="I637" s="1" t="s">
        <v>11</v>
      </c>
      <c r="J637" s="1" t="s">
        <v>12</v>
      </c>
      <c r="K637" s="1" t="s">
        <v>13</v>
      </c>
      <c r="L637" s="1" t="s">
        <v>14</v>
      </c>
      <c r="M637" s="1" t="s">
        <v>15</v>
      </c>
      <c r="N637" s="1" t="s">
        <v>16</v>
      </c>
      <c r="O637" s="1" t="s">
        <v>17</v>
      </c>
      <c r="P637" s="1" t="s">
        <v>18</v>
      </c>
      <c r="Q637" s="1" t="s">
        <v>19</v>
      </c>
    </row>
    <row r="639" spans="1:17" x14ac:dyDescent="0.2">
      <c r="D639" s="1" t="s">
        <v>43</v>
      </c>
      <c r="E639" s="1">
        <v>103327246</v>
      </c>
      <c r="G639" s="1" t="s">
        <v>182</v>
      </c>
      <c r="I639" s="1" t="s">
        <v>182</v>
      </c>
      <c r="K639" s="2">
        <v>5048242.38</v>
      </c>
      <c r="L639" s="1" t="s">
        <v>22</v>
      </c>
      <c r="N639" s="2">
        <v>1227536.1399999999</v>
      </c>
      <c r="O639" s="1" t="s">
        <v>31</v>
      </c>
      <c r="P639" s="1" t="s">
        <v>283</v>
      </c>
      <c r="Q639" s="1">
        <v>4.1124999999999998</v>
      </c>
    </row>
    <row r="641" spans="1:17" x14ac:dyDescent="0.2">
      <c r="B641" s="1" t="s">
        <v>25</v>
      </c>
      <c r="K641" s="2">
        <v>5048242.38</v>
      </c>
      <c r="L641" s="1" t="s">
        <v>22</v>
      </c>
      <c r="N641" s="2">
        <v>1227536.1399999999</v>
      </c>
      <c r="O641" s="1" t="s">
        <v>31</v>
      </c>
    </row>
    <row r="643" spans="1:17" x14ac:dyDescent="0.2">
      <c r="A643" s="3"/>
      <c r="B643" s="3" t="s">
        <v>26</v>
      </c>
      <c r="C643" s="3" t="s">
        <v>284</v>
      </c>
      <c r="D643" s="3"/>
      <c r="E643" s="3"/>
      <c r="F643" s="3"/>
      <c r="G643" s="3"/>
      <c r="H643" s="3"/>
      <c r="I643" s="3"/>
      <c r="J643" s="3"/>
      <c r="K643" s="4">
        <v>5048242.38</v>
      </c>
      <c r="L643" s="3" t="s">
        <v>22</v>
      </c>
      <c r="M643" s="3"/>
      <c r="N643" s="4">
        <v>1227536.1399999999</v>
      </c>
      <c r="O643" s="3" t="s">
        <v>31</v>
      </c>
      <c r="P643" s="3"/>
      <c r="Q643" s="3"/>
    </row>
    <row r="645" spans="1:17" x14ac:dyDescent="0.2">
      <c r="A645" s="1" t="s">
        <v>0</v>
      </c>
      <c r="F645" s="1">
        <v>501220</v>
      </c>
    </row>
    <row r="646" spans="1:17" x14ac:dyDescent="0.2">
      <c r="A646" s="1" t="s">
        <v>1</v>
      </c>
      <c r="F646" s="1" t="s">
        <v>40</v>
      </c>
    </row>
    <row r="648" spans="1:17" x14ac:dyDescent="0.2">
      <c r="A648" s="1" t="s">
        <v>3</v>
      </c>
      <c r="F648" s="1" t="s">
        <v>285</v>
      </c>
    </row>
    <row r="649" spans="1:17" x14ac:dyDescent="0.2">
      <c r="A649" s="1" t="s">
        <v>5</v>
      </c>
      <c r="F649" s="1" t="s">
        <v>70</v>
      </c>
    </row>
    <row r="652" spans="1:17" x14ac:dyDescent="0.2">
      <c r="C652" s="1" t="s">
        <v>6</v>
      </c>
      <c r="D652" s="1" t="s">
        <v>7</v>
      </c>
      <c r="E652" s="1" t="s">
        <v>8</v>
      </c>
      <c r="G652" s="1" t="s">
        <v>9</v>
      </c>
      <c r="H652" s="1" t="s">
        <v>10</v>
      </c>
      <c r="I652" s="1" t="s">
        <v>11</v>
      </c>
      <c r="J652" s="1" t="s">
        <v>12</v>
      </c>
      <c r="K652" s="1" t="s">
        <v>13</v>
      </c>
      <c r="L652" s="1" t="s">
        <v>14</v>
      </c>
      <c r="M652" s="1" t="s">
        <v>15</v>
      </c>
      <c r="N652" s="1" t="s">
        <v>16</v>
      </c>
      <c r="O652" s="1" t="s">
        <v>17</v>
      </c>
      <c r="P652" s="1" t="s">
        <v>18</v>
      </c>
      <c r="Q652" s="1" t="s">
        <v>19</v>
      </c>
    </row>
    <row r="654" spans="1:17" x14ac:dyDescent="0.2">
      <c r="D654" s="1" t="s">
        <v>43</v>
      </c>
      <c r="E654" s="1">
        <v>103327211</v>
      </c>
      <c r="G654" s="1" t="s">
        <v>57</v>
      </c>
      <c r="I654" s="1" t="s">
        <v>57</v>
      </c>
      <c r="K654" s="2">
        <v>1350000</v>
      </c>
      <c r="L654" s="1" t="s">
        <v>22</v>
      </c>
      <c r="N654" s="2">
        <v>1350000</v>
      </c>
      <c r="O654" s="1" t="s">
        <v>22</v>
      </c>
      <c r="P654" s="1" t="s">
        <v>286</v>
      </c>
      <c r="Q654" s="1">
        <v>1</v>
      </c>
    </row>
    <row r="655" spans="1:17" x14ac:dyDescent="0.2">
      <c r="D655" s="1" t="s">
        <v>43</v>
      </c>
      <c r="E655" s="1">
        <v>103327212</v>
      </c>
      <c r="G655" s="1" t="s">
        <v>57</v>
      </c>
      <c r="I655" s="1" t="s">
        <v>57</v>
      </c>
      <c r="K655" s="2">
        <v>2592000</v>
      </c>
      <c r="L655" s="1" t="s">
        <v>22</v>
      </c>
      <c r="N655" s="2">
        <v>2592000</v>
      </c>
      <c r="O655" s="1" t="s">
        <v>22</v>
      </c>
      <c r="P655" s="1" t="s">
        <v>287</v>
      </c>
      <c r="Q655" s="1">
        <v>1</v>
      </c>
    </row>
    <row r="657" spans="1:17" x14ac:dyDescent="0.2">
      <c r="B657" s="1" t="s">
        <v>25</v>
      </c>
      <c r="K657" s="2">
        <v>3942000</v>
      </c>
      <c r="L657" s="1" t="s">
        <v>22</v>
      </c>
      <c r="N657" s="2">
        <v>3942000</v>
      </c>
      <c r="O657" s="1" t="s">
        <v>22</v>
      </c>
    </row>
    <row r="659" spans="1:17" x14ac:dyDescent="0.2">
      <c r="A659" s="3"/>
      <c r="B659" s="3" t="s">
        <v>26</v>
      </c>
      <c r="C659" s="3" t="s">
        <v>288</v>
      </c>
      <c r="D659" s="3"/>
      <c r="E659" s="3"/>
      <c r="F659" s="3"/>
      <c r="G659" s="3"/>
      <c r="H659" s="3"/>
      <c r="I659" s="3"/>
      <c r="J659" s="3"/>
      <c r="K659" s="4">
        <v>3942000</v>
      </c>
      <c r="L659" s="3" t="s">
        <v>22</v>
      </c>
      <c r="M659" s="3"/>
      <c r="N659" s="4">
        <v>3942000</v>
      </c>
      <c r="O659" s="3" t="s">
        <v>22</v>
      </c>
      <c r="P659" s="3"/>
      <c r="Q659" s="3"/>
    </row>
    <row r="661" spans="1:17" x14ac:dyDescent="0.2">
      <c r="A661" s="1" t="s">
        <v>0</v>
      </c>
      <c r="F661" s="1">
        <v>501231</v>
      </c>
    </row>
    <row r="662" spans="1:17" x14ac:dyDescent="0.2">
      <c r="A662" s="1" t="s">
        <v>1</v>
      </c>
      <c r="F662" s="1" t="s">
        <v>40</v>
      </c>
    </row>
    <row r="664" spans="1:17" x14ac:dyDescent="0.2">
      <c r="A664" s="1" t="s">
        <v>3</v>
      </c>
      <c r="F664" s="1" t="s">
        <v>289</v>
      </c>
    </row>
    <row r="665" spans="1:17" x14ac:dyDescent="0.2">
      <c r="A665" s="1" t="s">
        <v>5</v>
      </c>
      <c r="F665" s="1" t="s">
        <v>70</v>
      </c>
    </row>
    <row r="668" spans="1:17" x14ac:dyDescent="0.2">
      <c r="C668" s="1" t="s">
        <v>6</v>
      </c>
      <c r="D668" s="1" t="s">
        <v>7</v>
      </c>
      <c r="E668" s="1" t="s">
        <v>8</v>
      </c>
      <c r="G668" s="1" t="s">
        <v>9</v>
      </c>
      <c r="H668" s="1" t="s">
        <v>10</v>
      </c>
      <c r="I668" s="1" t="s">
        <v>11</v>
      </c>
      <c r="J668" s="1" t="s">
        <v>12</v>
      </c>
      <c r="K668" s="1" t="s">
        <v>13</v>
      </c>
      <c r="L668" s="1" t="s">
        <v>14</v>
      </c>
      <c r="M668" s="1" t="s">
        <v>15</v>
      </c>
      <c r="N668" s="1" t="s">
        <v>16</v>
      </c>
      <c r="O668" s="1" t="s">
        <v>17</v>
      </c>
      <c r="P668" s="1" t="s">
        <v>18</v>
      </c>
      <c r="Q668" s="1" t="s">
        <v>19</v>
      </c>
    </row>
    <row r="670" spans="1:17" x14ac:dyDescent="0.2">
      <c r="D670" s="1" t="s">
        <v>43</v>
      </c>
      <c r="E670" s="1">
        <v>1400013885</v>
      </c>
      <c r="G670" s="1" t="s">
        <v>66</v>
      </c>
      <c r="I670" s="1" t="s">
        <v>66</v>
      </c>
      <c r="K670" s="2">
        <v>100000</v>
      </c>
      <c r="L670" s="1" t="s">
        <v>22</v>
      </c>
      <c r="N670" s="2">
        <v>100000</v>
      </c>
      <c r="O670" s="1" t="s">
        <v>22</v>
      </c>
      <c r="P670" s="1" t="s">
        <v>290</v>
      </c>
      <c r="Q670" s="1">
        <v>1</v>
      </c>
    </row>
    <row r="671" spans="1:17" x14ac:dyDescent="0.2">
      <c r="D671" s="1" t="s">
        <v>43</v>
      </c>
      <c r="E671" s="1">
        <v>1400013885</v>
      </c>
      <c r="G671" s="1" t="s">
        <v>66</v>
      </c>
      <c r="I671" s="1" t="s">
        <v>66</v>
      </c>
      <c r="K671" s="2">
        <v>16003.91</v>
      </c>
      <c r="L671" s="1" t="s">
        <v>22</v>
      </c>
      <c r="N671" s="2">
        <v>16003.91</v>
      </c>
      <c r="O671" s="1" t="s">
        <v>22</v>
      </c>
      <c r="P671" s="1" t="s">
        <v>291</v>
      </c>
      <c r="Q671" s="1">
        <v>1</v>
      </c>
    </row>
    <row r="672" spans="1:17" x14ac:dyDescent="0.2">
      <c r="D672" s="1" t="s">
        <v>43</v>
      </c>
      <c r="E672" s="1">
        <v>1400013885</v>
      </c>
      <c r="G672" s="1" t="s">
        <v>66</v>
      </c>
      <c r="I672" s="1" t="s">
        <v>66</v>
      </c>
      <c r="K672" s="2">
        <v>68219.37</v>
      </c>
      <c r="L672" s="1" t="s">
        <v>22</v>
      </c>
      <c r="N672" s="2">
        <v>68219.37</v>
      </c>
      <c r="O672" s="1" t="s">
        <v>22</v>
      </c>
      <c r="P672" s="1" t="s">
        <v>292</v>
      </c>
      <c r="Q672" s="1">
        <v>1</v>
      </c>
    </row>
    <row r="673" spans="2:17" x14ac:dyDescent="0.2">
      <c r="D673" s="1" t="s">
        <v>43</v>
      </c>
      <c r="E673" s="1">
        <v>1400013885</v>
      </c>
      <c r="G673" s="1" t="s">
        <v>66</v>
      </c>
      <c r="I673" s="1" t="s">
        <v>66</v>
      </c>
      <c r="K673" s="2">
        <v>13187.3</v>
      </c>
      <c r="L673" s="1" t="s">
        <v>22</v>
      </c>
      <c r="N673" s="2">
        <v>13187.3</v>
      </c>
      <c r="O673" s="1" t="s">
        <v>22</v>
      </c>
      <c r="P673" s="1" t="s">
        <v>293</v>
      </c>
      <c r="Q673" s="1">
        <v>1</v>
      </c>
    </row>
    <row r="674" spans="2:17" x14ac:dyDescent="0.2">
      <c r="D674" s="1" t="s">
        <v>43</v>
      </c>
      <c r="E674" s="1">
        <v>1400013885</v>
      </c>
      <c r="G674" s="1" t="s">
        <v>66</v>
      </c>
      <c r="I674" s="1" t="s">
        <v>66</v>
      </c>
      <c r="K674" s="2">
        <v>150000</v>
      </c>
      <c r="L674" s="1" t="s">
        <v>22</v>
      </c>
      <c r="N674" s="2">
        <v>150000</v>
      </c>
      <c r="O674" s="1" t="s">
        <v>22</v>
      </c>
      <c r="P674" s="1" t="s">
        <v>294</v>
      </c>
      <c r="Q674" s="1">
        <v>1</v>
      </c>
    </row>
    <row r="675" spans="2:17" x14ac:dyDescent="0.2">
      <c r="D675" s="1" t="s">
        <v>43</v>
      </c>
      <c r="E675" s="1">
        <v>1400013885</v>
      </c>
      <c r="G675" s="1" t="s">
        <v>66</v>
      </c>
      <c r="I675" s="1" t="s">
        <v>66</v>
      </c>
      <c r="K675" s="2">
        <v>150000</v>
      </c>
      <c r="L675" s="1" t="s">
        <v>22</v>
      </c>
      <c r="N675" s="2">
        <v>150000</v>
      </c>
      <c r="O675" s="1" t="s">
        <v>22</v>
      </c>
      <c r="P675" s="1" t="s">
        <v>295</v>
      </c>
      <c r="Q675" s="1">
        <v>1</v>
      </c>
    </row>
    <row r="676" spans="2:17" x14ac:dyDescent="0.2">
      <c r="D676" s="1" t="s">
        <v>43</v>
      </c>
      <c r="E676" s="1">
        <v>1400013885</v>
      </c>
      <c r="G676" s="1" t="s">
        <v>66</v>
      </c>
      <c r="I676" s="1" t="s">
        <v>66</v>
      </c>
      <c r="K676" s="2">
        <v>24857.9</v>
      </c>
      <c r="L676" s="1" t="s">
        <v>22</v>
      </c>
      <c r="N676" s="2">
        <v>24857.9</v>
      </c>
      <c r="O676" s="1" t="s">
        <v>22</v>
      </c>
      <c r="P676" s="1" t="s">
        <v>296</v>
      </c>
      <c r="Q676" s="1">
        <v>1</v>
      </c>
    </row>
    <row r="677" spans="2:17" x14ac:dyDescent="0.2">
      <c r="D677" s="1" t="s">
        <v>43</v>
      </c>
      <c r="E677" s="1">
        <v>1400013885</v>
      </c>
      <c r="G677" s="1" t="s">
        <v>66</v>
      </c>
      <c r="I677" s="1" t="s">
        <v>66</v>
      </c>
      <c r="K677" s="2">
        <v>100000</v>
      </c>
      <c r="L677" s="1" t="s">
        <v>22</v>
      </c>
      <c r="N677" s="2">
        <v>100000</v>
      </c>
      <c r="O677" s="1" t="s">
        <v>22</v>
      </c>
      <c r="P677" s="1" t="s">
        <v>297</v>
      </c>
      <c r="Q677" s="1">
        <v>1</v>
      </c>
    </row>
    <row r="678" spans="2:17" x14ac:dyDescent="0.2">
      <c r="D678" s="1" t="s">
        <v>43</v>
      </c>
      <c r="E678" s="1">
        <v>1400013885</v>
      </c>
      <c r="G678" s="1" t="s">
        <v>66</v>
      </c>
      <c r="I678" s="1" t="s">
        <v>66</v>
      </c>
      <c r="K678" s="2">
        <v>34987.5</v>
      </c>
      <c r="L678" s="1" t="s">
        <v>22</v>
      </c>
      <c r="N678" s="2">
        <v>34987.5</v>
      </c>
      <c r="O678" s="1" t="s">
        <v>22</v>
      </c>
      <c r="P678" s="1" t="s">
        <v>298</v>
      </c>
      <c r="Q678" s="1">
        <v>1</v>
      </c>
    </row>
    <row r="679" spans="2:17" x14ac:dyDescent="0.2">
      <c r="D679" s="1" t="s">
        <v>43</v>
      </c>
      <c r="E679" s="1">
        <v>1400013885</v>
      </c>
      <c r="G679" s="1" t="s">
        <v>66</v>
      </c>
      <c r="I679" s="1" t="s">
        <v>66</v>
      </c>
      <c r="K679" s="2">
        <v>1257.3</v>
      </c>
      <c r="L679" s="1" t="s">
        <v>22</v>
      </c>
      <c r="N679" s="2">
        <v>1257.3</v>
      </c>
      <c r="O679" s="1" t="s">
        <v>22</v>
      </c>
      <c r="P679" s="1" t="s">
        <v>299</v>
      </c>
      <c r="Q679" s="1">
        <v>1</v>
      </c>
    </row>
    <row r="680" spans="2:17" x14ac:dyDescent="0.2">
      <c r="D680" s="1" t="s">
        <v>43</v>
      </c>
      <c r="E680" s="1">
        <v>1400013885</v>
      </c>
      <c r="G680" s="1" t="s">
        <v>66</v>
      </c>
      <c r="I680" s="1" t="s">
        <v>66</v>
      </c>
      <c r="K680" s="2">
        <v>150000</v>
      </c>
      <c r="L680" s="1" t="s">
        <v>22</v>
      </c>
      <c r="N680" s="2">
        <v>150000</v>
      </c>
      <c r="O680" s="1" t="s">
        <v>22</v>
      </c>
      <c r="P680" s="1" t="s">
        <v>300</v>
      </c>
      <c r="Q680" s="1">
        <v>1</v>
      </c>
    </row>
    <row r="681" spans="2:17" x14ac:dyDescent="0.2">
      <c r="D681" s="1" t="s">
        <v>43</v>
      </c>
      <c r="E681" s="1">
        <v>1400013885</v>
      </c>
      <c r="G681" s="1" t="s">
        <v>66</v>
      </c>
      <c r="I681" s="1" t="s">
        <v>66</v>
      </c>
      <c r="K681" s="2">
        <v>150000</v>
      </c>
      <c r="L681" s="1" t="s">
        <v>22</v>
      </c>
      <c r="N681" s="2">
        <v>150000</v>
      </c>
      <c r="O681" s="1" t="s">
        <v>22</v>
      </c>
      <c r="P681" s="1" t="s">
        <v>301</v>
      </c>
      <c r="Q681" s="1">
        <v>1</v>
      </c>
    </row>
    <row r="682" spans="2:17" x14ac:dyDescent="0.2">
      <c r="D682" s="1" t="s">
        <v>43</v>
      </c>
      <c r="E682" s="1">
        <v>1400013885</v>
      </c>
      <c r="G682" s="1" t="s">
        <v>66</v>
      </c>
      <c r="I682" s="1" t="s">
        <v>66</v>
      </c>
      <c r="K682" s="2">
        <v>48441.919999999998</v>
      </c>
      <c r="L682" s="1" t="s">
        <v>22</v>
      </c>
      <c r="N682" s="2">
        <v>48441.919999999998</v>
      </c>
      <c r="O682" s="1" t="s">
        <v>22</v>
      </c>
      <c r="P682" s="1" t="s">
        <v>302</v>
      </c>
      <c r="Q682" s="1">
        <v>1</v>
      </c>
    </row>
    <row r="683" spans="2:17" x14ac:dyDescent="0.2">
      <c r="D683" s="1" t="s">
        <v>43</v>
      </c>
      <c r="E683" s="1">
        <v>1400013885</v>
      </c>
      <c r="G683" s="1" t="s">
        <v>66</v>
      </c>
      <c r="I683" s="1" t="s">
        <v>66</v>
      </c>
      <c r="K683" s="2">
        <v>83000</v>
      </c>
      <c r="L683" s="1" t="s">
        <v>22</v>
      </c>
      <c r="N683" s="2">
        <v>83000</v>
      </c>
      <c r="O683" s="1" t="s">
        <v>22</v>
      </c>
      <c r="P683" s="1" t="s">
        <v>303</v>
      </c>
      <c r="Q683" s="1">
        <v>1</v>
      </c>
    </row>
    <row r="684" spans="2:17" x14ac:dyDescent="0.2">
      <c r="D684" s="1" t="s">
        <v>43</v>
      </c>
      <c r="E684" s="1">
        <v>1400013885</v>
      </c>
      <c r="G684" s="1" t="s">
        <v>66</v>
      </c>
      <c r="I684" s="1" t="s">
        <v>66</v>
      </c>
      <c r="K684" s="2">
        <v>150000</v>
      </c>
      <c r="L684" s="1" t="s">
        <v>22</v>
      </c>
      <c r="N684" s="2">
        <v>150000</v>
      </c>
      <c r="O684" s="1" t="s">
        <v>22</v>
      </c>
      <c r="P684" s="1" t="s">
        <v>304</v>
      </c>
      <c r="Q684" s="1">
        <v>1</v>
      </c>
    </row>
    <row r="685" spans="2:17" x14ac:dyDescent="0.2">
      <c r="D685" s="1" t="s">
        <v>43</v>
      </c>
      <c r="E685" s="1">
        <v>1400013885</v>
      </c>
      <c r="G685" s="1" t="s">
        <v>66</v>
      </c>
      <c r="I685" s="1" t="s">
        <v>66</v>
      </c>
      <c r="K685" s="2">
        <v>14065.28</v>
      </c>
      <c r="L685" s="1" t="s">
        <v>22</v>
      </c>
      <c r="N685" s="2">
        <v>14065.28</v>
      </c>
      <c r="O685" s="1" t="s">
        <v>22</v>
      </c>
      <c r="P685" s="1" t="s">
        <v>305</v>
      </c>
      <c r="Q685" s="1">
        <v>1</v>
      </c>
    </row>
    <row r="687" spans="2:17" x14ac:dyDescent="0.2">
      <c r="B687" s="1" t="s">
        <v>25</v>
      </c>
      <c r="K687" s="2">
        <v>1254020.48</v>
      </c>
      <c r="L687" s="1" t="s">
        <v>22</v>
      </c>
      <c r="N687" s="2">
        <v>1254020.48</v>
      </c>
      <c r="O687" s="1" t="s">
        <v>22</v>
      </c>
    </row>
    <row r="689" spans="1:17" x14ac:dyDescent="0.2">
      <c r="A689" s="3"/>
      <c r="B689" s="3" t="s">
        <v>26</v>
      </c>
      <c r="C689" s="3" t="s">
        <v>306</v>
      </c>
      <c r="D689" s="3"/>
      <c r="E689" s="3"/>
      <c r="F689" s="3"/>
      <c r="G689" s="3"/>
      <c r="H689" s="3"/>
      <c r="I689" s="3"/>
      <c r="J689" s="3"/>
      <c r="K689" s="4">
        <v>1254020.48</v>
      </c>
      <c r="L689" s="3" t="s">
        <v>22</v>
      </c>
      <c r="M689" s="3"/>
      <c r="N689" s="4">
        <v>1254020.48</v>
      </c>
      <c r="O689" s="3" t="s">
        <v>22</v>
      </c>
      <c r="P689" s="3"/>
      <c r="Q689" s="3"/>
    </row>
    <row r="691" spans="1:17" x14ac:dyDescent="0.2">
      <c r="A691" s="1" t="s">
        <v>0</v>
      </c>
      <c r="F691" s="1">
        <v>501232</v>
      </c>
    </row>
    <row r="692" spans="1:17" x14ac:dyDescent="0.2">
      <c r="A692" s="1" t="s">
        <v>1</v>
      </c>
      <c r="F692" s="1" t="s">
        <v>40</v>
      </c>
    </row>
    <row r="694" spans="1:17" x14ac:dyDescent="0.2">
      <c r="A694" s="1" t="s">
        <v>3</v>
      </c>
      <c r="F694" s="1" t="s">
        <v>307</v>
      </c>
    </row>
    <row r="695" spans="1:17" x14ac:dyDescent="0.2">
      <c r="A695" s="1" t="s">
        <v>5</v>
      </c>
      <c r="F695" s="1" t="s">
        <v>308</v>
      </c>
    </row>
    <row r="698" spans="1:17" x14ac:dyDescent="0.2">
      <c r="C698" s="1" t="s">
        <v>6</v>
      </c>
      <c r="D698" s="1" t="s">
        <v>7</v>
      </c>
      <c r="E698" s="1" t="s">
        <v>8</v>
      </c>
      <c r="G698" s="1" t="s">
        <v>9</v>
      </c>
      <c r="H698" s="1" t="s">
        <v>10</v>
      </c>
      <c r="I698" s="1" t="s">
        <v>11</v>
      </c>
      <c r="J698" s="1" t="s">
        <v>12</v>
      </c>
      <c r="K698" s="1" t="s">
        <v>13</v>
      </c>
      <c r="L698" s="1" t="s">
        <v>14</v>
      </c>
      <c r="M698" s="1" t="s">
        <v>15</v>
      </c>
      <c r="N698" s="1" t="s">
        <v>16</v>
      </c>
      <c r="O698" s="1" t="s">
        <v>17</v>
      </c>
      <c r="P698" s="1" t="s">
        <v>18</v>
      </c>
      <c r="Q698" s="1" t="s">
        <v>19</v>
      </c>
    </row>
    <row r="700" spans="1:17" x14ac:dyDescent="0.2">
      <c r="D700" s="1" t="s">
        <v>43</v>
      </c>
      <c r="E700" s="1">
        <v>103327561</v>
      </c>
      <c r="G700" s="1" t="s">
        <v>77</v>
      </c>
      <c r="I700" s="1" t="s">
        <v>77</v>
      </c>
      <c r="K700" s="2">
        <v>781470</v>
      </c>
      <c r="L700" s="1" t="s">
        <v>22</v>
      </c>
      <c r="N700" s="2">
        <v>193433.17</v>
      </c>
      <c r="O700" s="1" t="s">
        <v>31</v>
      </c>
      <c r="P700" s="1" t="s">
        <v>309</v>
      </c>
      <c r="Q700" s="1">
        <v>4.04</v>
      </c>
    </row>
    <row r="701" spans="1:17" x14ac:dyDescent="0.2">
      <c r="D701" s="1" t="s">
        <v>43</v>
      </c>
      <c r="E701" s="1">
        <v>103327563</v>
      </c>
      <c r="G701" s="1" t="s">
        <v>77</v>
      </c>
      <c r="I701" s="1" t="s">
        <v>77</v>
      </c>
      <c r="K701" s="2">
        <v>873180</v>
      </c>
      <c r="L701" s="1" t="s">
        <v>22</v>
      </c>
      <c r="N701" s="2">
        <v>216133.66</v>
      </c>
      <c r="O701" s="1" t="s">
        <v>31</v>
      </c>
      <c r="P701" s="1" t="s">
        <v>310</v>
      </c>
      <c r="Q701" s="1">
        <v>4.04</v>
      </c>
    </row>
    <row r="703" spans="1:17" x14ac:dyDescent="0.2">
      <c r="B703" s="1" t="s">
        <v>25</v>
      </c>
      <c r="K703" s="2">
        <v>1654650</v>
      </c>
      <c r="L703" s="1" t="s">
        <v>22</v>
      </c>
      <c r="N703" s="2">
        <v>409566.83</v>
      </c>
      <c r="O703" s="1" t="s">
        <v>31</v>
      </c>
    </row>
    <row r="705" spans="1:17" x14ac:dyDescent="0.2">
      <c r="A705" s="3"/>
      <c r="B705" s="3" t="s">
        <v>26</v>
      </c>
      <c r="C705" s="3" t="s">
        <v>311</v>
      </c>
      <c r="D705" s="3"/>
      <c r="E705" s="3"/>
      <c r="F705" s="3"/>
      <c r="G705" s="3"/>
      <c r="H705" s="3"/>
      <c r="I705" s="3"/>
      <c r="J705" s="3"/>
      <c r="K705" s="4">
        <v>1654650</v>
      </c>
      <c r="L705" s="3" t="s">
        <v>22</v>
      </c>
      <c r="M705" s="3"/>
      <c r="N705" s="4">
        <v>409566.83</v>
      </c>
      <c r="O705" s="3" t="s">
        <v>31</v>
      </c>
      <c r="P705" s="3"/>
      <c r="Q705" s="3"/>
    </row>
    <row r="707" spans="1:17" x14ac:dyDescent="0.2">
      <c r="A707" s="1" t="s">
        <v>0</v>
      </c>
      <c r="F707" s="1">
        <v>501234</v>
      </c>
    </row>
    <row r="708" spans="1:17" x14ac:dyDescent="0.2">
      <c r="A708" s="1" t="s">
        <v>1</v>
      </c>
      <c r="F708" s="1" t="s">
        <v>40</v>
      </c>
    </row>
    <row r="710" spans="1:17" x14ac:dyDescent="0.2">
      <c r="A710" s="1" t="s">
        <v>3</v>
      </c>
      <c r="F710" s="1" t="s">
        <v>312</v>
      </c>
    </row>
    <row r="711" spans="1:17" x14ac:dyDescent="0.2">
      <c r="A711" s="1" t="s">
        <v>5</v>
      </c>
      <c r="F711" s="1" t="s">
        <v>313</v>
      </c>
    </row>
    <row r="714" spans="1:17" x14ac:dyDescent="0.2">
      <c r="C714" s="1" t="s">
        <v>6</v>
      </c>
      <c r="D714" s="1" t="s">
        <v>7</v>
      </c>
      <c r="E714" s="1" t="s">
        <v>8</v>
      </c>
      <c r="G714" s="1" t="s">
        <v>9</v>
      </c>
      <c r="H714" s="1" t="s">
        <v>10</v>
      </c>
      <c r="I714" s="1" t="s">
        <v>11</v>
      </c>
      <c r="J714" s="1" t="s">
        <v>12</v>
      </c>
      <c r="K714" s="1" t="s">
        <v>13</v>
      </c>
      <c r="L714" s="1" t="s">
        <v>14</v>
      </c>
      <c r="M714" s="1" t="s">
        <v>15</v>
      </c>
      <c r="N714" s="1" t="s">
        <v>16</v>
      </c>
      <c r="O714" s="1" t="s">
        <v>17</v>
      </c>
      <c r="P714" s="1" t="s">
        <v>18</v>
      </c>
      <c r="Q714" s="1" t="s">
        <v>19</v>
      </c>
    </row>
    <row r="716" spans="1:17" x14ac:dyDescent="0.2">
      <c r="D716" s="1" t="s">
        <v>43</v>
      </c>
      <c r="E716" s="1">
        <v>103327754</v>
      </c>
      <c r="G716" s="1" t="s">
        <v>30</v>
      </c>
      <c r="I716" s="1" t="s">
        <v>30</v>
      </c>
      <c r="K716" s="2">
        <v>791091.12</v>
      </c>
      <c r="L716" s="1" t="s">
        <v>22</v>
      </c>
      <c r="N716" s="2">
        <v>791091.12</v>
      </c>
      <c r="O716" s="1" t="s">
        <v>22</v>
      </c>
      <c r="P716" s="1" t="s">
        <v>314</v>
      </c>
      <c r="Q716" s="1">
        <v>1</v>
      </c>
    </row>
    <row r="718" spans="1:17" x14ac:dyDescent="0.2">
      <c r="B718" s="1" t="s">
        <v>25</v>
      </c>
      <c r="K718" s="2">
        <v>791091.12</v>
      </c>
      <c r="L718" s="1" t="s">
        <v>22</v>
      </c>
      <c r="N718" s="2">
        <v>791091.12</v>
      </c>
      <c r="O718" s="1" t="s">
        <v>22</v>
      </c>
    </row>
    <row r="720" spans="1:17" x14ac:dyDescent="0.2">
      <c r="A720" s="3"/>
      <c r="B720" s="3" t="s">
        <v>26</v>
      </c>
      <c r="C720" s="3" t="s">
        <v>315</v>
      </c>
      <c r="D720" s="3"/>
      <c r="E720" s="3"/>
      <c r="F720" s="3"/>
      <c r="G720" s="3"/>
      <c r="H720" s="3"/>
      <c r="I720" s="3"/>
      <c r="J720" s="3"/>
      <c r="K720" s="4">
        <v>791091.12</v>
      </c>
      <c r="L720" s="3" t="s">
        <v>22</v>
      </c>
      <c r="M720" s="3"/>
      <c r="N720" s="4">
        <v>791091.12</v>
      </c>
      <c r="O720" s="3" t="s">
        <v>22</v>
      </c>
      <c r="P720" s="3"/>
      <c r="Q720" s="3"/>
    </row>
    <row r="722" spans="1:17" x14ac:dyDescent="0.2">
      <c r="A722" s="1" t="s">
        <v>0</v>
      </c>
      <c r="F722" s="1">
        <v>501235</v>
      </c>
    </row>
    <row r="723" spans="1:17" x14ac:dyDescent="0.2">
      <c r="A723" s="1" t="s">
        <v>1</v>
      </c>
      <c r="F723" s="1" t="s">
        <v>40</v>
      </c>
    </row>
    <row r="725" spans="1:17" x14ac:dyDescent="0.2">
      <c r="A725" s="1" t="s">
        <v>3</v>
      </c>
      <c r="F725" s="1" t="s">
        <v>316</v>
      </c>
    </row>
    <row r="726" spans="1:17" x14ac:dyDescent="0.2">
      <c r="A726" s="1" t="s">
        <v>5</v>
      </c>
      <c r="F726" s="1" t="s">
        <v>204</v>
      </c>
    </row>
    <row r="729" spans="1:17" x14ac:dyDescent="0.2">
      <c r="C729" s="1" t="s">
        <v>6</v>
      </c>
      <c r="D729" s="1" t="s">
        <v>7</v>
      </c>
      <c r="E729" s="1" t="s">
        <v>8</v>
      </c>
      <c r="G729" s="1" t="s">
        <v>9</v>
      </c>
      <c r="H729" s="1" t="s">
        <v>10</v>
      </c>
      <c r="I729" s="1" t="s">
        <v>11</v>
      </c>
      <c r="J729" s="1" t="s">
        <v>12</v>
      </c>
      <c r="K729" s="1" t="s">
        <v>13</v>
      </c>
      <c r="L729" s="1" t="s">
        <v>14</v>
      </c>
      <c r="M729" s="1" t="s">
        <v>15</v>
      </c>
      <c r="N729" s="1" t="s">
        <v>16</v>
      </c>
      <c r="O729" s="1" t="s">
        <v>17</v>
      </c>
      <c r="P729" s="1" t="s">
        <v>18</v>
      </c>
      <c r="Q729" s="1" t="s">
        <v>19</v>
      </c>
    </row>
    <row r="731" spans="1:17" x14ac:dyDescent="0.2">
      <c r="D731" s="1" t="s">
        <v>43</v>
      </c>
      <c r="E731" s="1">
        <v>103327277</v>
      </c>
      <c r="G731" s="1" t="s">
        <v>61</v>
      </c>
      <c r="I731" s="1" t="s">
        <v>61</v>
      </c>
      <c r="K731" s="2">
        <v>1871824.35</v>
      </c>
      <c r="L731" s="1" t="s">
        <v>22</v>
      </c>
      <c r="N731" s="2">
        <v>457938.68</v>
      </c>
      <c r="O731" s="1" t="s">
        <v>31</v>
      </c>
      <c r="P731" s="1" t="s">
        <v>317</v>
      </c>
      <c r="Q731" s="1">
        <v>4.0875000000000004</v>
      </c>
    </row>
    <row r="732" spans="1:17" x14ac:dyDescent="0.2">
      <c r="D732" s="1" t="s">
        <v>43</v>
      </c>
      <c r="E732" s="1">
        <v>103327293</v>
      </c>
      <c r="G732" s="1" t="s">
        <v>113</v>
      </c>
      <c r="I732" s="1" t="s">
        <v>113</v>
      </c>
      <c r="K732" s="2">
        <v>433311.57</v>
      </c>
      <c r="L732" s="1" t="s">
        <v>22</v>
      </c>
      <c r="N732" s="2">
        <v>106295</v>
      </c>
      <c r="O732" s="1" t="s">
        <v>31</v>
      </c>
      <c r="P732" s="1" t="s">
        <v>318</v>
      </c>
      <c r="Q732" s="1">
        <v>4.0765000000000002</v>
      </c>
    </row>
    <row r="733" spans="1:17" x14ac:dyDescent="0.2">
      <c r="D733" s="1" t="s">
        <v>43</v>
      </c>
      <c r="E733" s="1">
        <v>103327328</v>
      </c>
      <c r="G733" s="1" t="s">
        <v>90</v>
      </c>
      <c r="I733" s="1" t="s">
        <v>90</v>
      </c>
      <c r="K733" s="2">
        <v>148008.76</v>
      </c>
      <c r="L733" s="1" t="s">
        <v>22</v>
      </c>
      <c r="N733" s="2">
        <v>36406.04</v>
      </c>
      <c r="O733" s="1" t="s">
        <v>31</v>
      </c>
      <c r="P733" s="1" t="s">
        <v>319</v>
      </c>
      <c r="Q733" s="1">
        <v>4.0655000000000001</v>
      </c>
    </row>
    <row r="735" spans="1:17" x14ac:dyDescent="0.2">
      <c r="B735" s="1" t="s">
        <v>25</v>
      </c>
      <c r="K735" s="2">
        <v>2453144.6800000002</v>
      </c>
      <c r="L735" s="1" t="s">
        <v>22</v>
      </c>
      <c r="N735" s="2">
        <v>600639.72</v>
      </c>
      <c r="O735" s="1" t="s">
        <v>31</v>
      </c>
    </row>
    <row r="737" spans="1:17" x14ac:dyDescent="0.2">
      <c r="A737" s="3"/>
      <c r="B737" s="3" t="s">
        <v>26</v>
      </c>
      <c r="C737" s="3" t="s">
        <v>320</v>
      </c>
      <c r="D737" s="3"/>
      <c r="E737" s="3"/>
      <c r="F737" s="3"/>
      <c r="G737" s="3"/>
      <c r="H737" s="3"/>
      <c r="I737" s="3"/>
      <c r="J737" s="3"/>
      <c r="K737" s="4">
        <v>2453144.6800000002</v>
      </c>
      <c r="L737" s="3" t="s">
        <v>22</v>
      </c>
      <c r="M737" s="3"/>
      <c r="N737" s="4">
        <v>600639.72</v>
      </c>
      <c r="O737" s="3" t="s">
        <v>31</v>
      </c>
      <c r="P737" s="3"/>
      <c r="Q737" s="3"/>
    </row>
    <row r="739" spans="1:17" x14ac:dyDescent="0.2">
      <c r="A739" s="1" t="s">
        <v>0</v>
      </c>
      <c r="F739" s="1">
        <v>501241</v>
      </c>
    </row>
    <row r="740" spans="1:17" x14ac:dyDescent="0.2">
      <c r="A740" s="1" t="s">
        <v>1</v>
      </c>
      <c r="F740" s="1" t="s">
        <v>40</v>
      </c>
    </row>
    <row r="742" spans="1:17" x14ac:dyDescent="0.2">
      <c r="A742" s="1" t="s">
        <v>3</v>
      </c>
      <c r="F742" s="1" t="s">
        <v>28</v>
      </c>
    </row>
    <row r="743" spans="1:17" x14ac:dyDescent="0.2">
      <c r="A743" s="1" t="s">
        <v>5</v>
      </c>
      <c r="F743" s="1" t="s">
        <v>321</v>
      </c>
    </row>
    <row r="746" spans="1:17" x14ac:dyDescent="0.2">
      <c r="C746" s="1" t="s">
        <v>6</v>
      </c>
      <c r="D746" s="1" t="s">
        <v>7</v>
      </c>
      <c r="E746" s="1" t="s">
        <v>8</v>
      </c>
      <c r="G746" s="1" t="s">
        <v>9</v>
      </c>
      <c r="H746" s="1" t="s">
        <v>10</v>
      </c>
      <c r="I746" s="1" t="s">
        <v>11</v>
      </c>
      <c r="J746" s="1" t="s">
        <v>12</v>
      </c>
      <c r="K746" s="1" t="s">
        <v>13</v>
      </c>
      <c r="L746" s="1" t="s">
        <v>14</v>
      </c>
      <c r="M746" s="1" t="s">
        <v>15</v>
      </c>
      <c r="N746" s="1" t="s">
        <v>16</v>
      </c>
      <c r="O746" s="1" t="s">
        <v>17</v>
      </c>
      <c r="P746" s="1" t="s">
        <v>18</v>
      </c>
      <c r="Q746" s="1" t="s">
        <v>19</v>
      </c>
    </row>
    <row r="748" spans="1:17" x14ac:dyDescent="0.2">
      <c r="D748" s="1" t="s">
        <v>43</v>
      </c>
      <c r="E748" s="1">
        <v>103327148</v>
      </c>
      <c r="G748" s="1" t="s">
        <v>104</v>
      </c>
      <c r="I748" s="1" t="s">
        <v>104</v>
      </c>
      <c r="K748" s="2">
        <v>5185512.03</v>
      </c>
      <c r="L748" s="1" t="s">
        <v>22</v>
      </c>
      <c r="N748" s="2">
        <v>1254964.19</v>
      </c>
      <c r="O748" s="1" t="s">
        <v>31</v>
      </c>
      <c r="P748" s="1" t="s">
        <v>322</v>
      </c>
      <c r="Q748" s="1">
        <v>4.1319999999999997</v>
      </c>
    </row>
    <row r="749" spans="1:17" x14ac:dyDescent="0.2">
      <c r="D749" s="1" t="s">
        <v>43</v>
      </c>
      <c r="E749" s="1">
        <v>103327182</v>
      </c>
      <c r="G749" s="1" t="s">
        <v>123</v>
      </c>
      <c r="I749" s="1" t="s">
        <v>123</v>
      </c>
      <c r="K749" s="2">
        <v>15736154.779999999</v>
      </c>
      <c r="L749" s="1" t="s">
        <v>22</v>
      </c>
      <c r="N749" s="2">
        <v>3813900.82</v>
      </c>
      <c r="O749" s="1" t="s">
        <v>31</v>
      </c>
      <c r="P749" s="1" t="s">
        <v>323</v>
      </c>
      <c r="Q749" s="1">
        <v>4.1260000000000003</v>
      </c>
    </row>
    <row r="751" spans="1:17" x14ac:dyDescent="0.2">
      <c r="B751" s="1" t="s">
        <v>25</v>
      </c>
      <c r="K751" s="2">
        <v>20921666.809999999</v>
      </c>
      <c r="L751" s="1" t="s">
        <v>22</v>
      </c>
      <c r="N751" s="2">
        <v>5068865.01</v>
      </c>
      <c r="O751" s="1" t="s">
        <v>31</v>
      </c>
    </row>
    <row r="753" spans="1:17" x14ac:dyDescent="0.2">
      <c r="A753" s="3"/>
      <c r="B753" s="3" t="s">
        <v>26</v>
      </c>
      <c r="C753" s="3" t="s">
        <v>324</v>
      </c>
      <c r="D753" s="3"/>
      <c r="E753" s="3"/>
      <c r="F753" s="3"/>
      <c r="G753" s="3"/>
      <c r="H753" s="3"/>
      <c r="I753" s="3"/>
      <c r="J753" s="3"/>
      <c r="K753" s="4">
        <v>20921666.809999999</v>
      </c>
      <c r="L753" s="3" t="s">
        <v>22</v>
      </c>
      <c r="M753" s="3"/>
      <c r="N753" s="4">
        <v>5068865.01</v>
      </c>
      <c r="O753" s="3" t="s">
        <v>31</v>
      </c>
      <c r="P753" s="3"/>
      <c r="Q753" s="3"/>
    </row>
    <row r="755" spans="1:17" x14ac:dyDescent="0.2">
      <c r="A755" s="1" t="s">
        <v>0</v>
      </c>
      <c r="F755" s="1">
        <v>501254</v>
      </c>
    </row>
    <row r="756" spans="1:17" x14ac:dyDescent="0.2">
      <c r="A756" s="1" t="s">
        <v>1</v>
      </c>
      <c r="F756" s="1" t="s">
        <v>40</v>
      </c>
    </row>
    <row r="758" spans="1:17" x14ac:dyDescent="0.2">
      <c r="A758" s="1" t="s">
        <v>3</v>
      </c>
      <c r="F758" s="1" t="s">
        <v>325</v>
      </c>
    </row>
    <row r="759" spans="1:17" x14ac:dyDescent="0.2">
      <c r="A759" s="1" t="s">
        <v>5</v>
      </c>
      <c r="F759" s="1" t="s">
        <v>282</v>
      </c>
    </row>
    <row r="762" spans="1:17" x14ac:dyDescent="0.2">
      <c r="C762" s="1" t="s">
        <v>6</v>
      </c>
      <c r="D762" s="1" t="s">
        <v>7</v>
      </c>
      <c r="E762" s="1" t="s">
        <v>8</v>
      </c>
      <c r="G762" s="1" t="s">
        <v>9</v>
      </c>
      <c r="H762" s="1" t="s">
        <v>10</v>
      </c>
      <c r="I762" s="1" t="s">
        <v>11</v>
      </c>
      <c r="J762" s="1" t="s">
        <v>12</v>
      </c>
      <c r="K762" s="1" t="s">
        <v>13</v>
      </c>
      <c r="L762" s="1" t="s">
        <v>14</v>
      </c>
      <c r="M762" s="1" t="s">
        <v>15</v>
      </c>
      <c r="N762" s="1" t="s">
        <v>16</v>
      </c>
      <c r="O762" s="1" t="s">
        <v>17</v>
      </c>
      <c r="P762" s="1" t="s">
        <v>18</v>
      </c>
      <c r="Q762" s="1" t="s">
        <v>19</v>
      </c>
    </row>
    <row r="764" spans="1:17" x14ac:dyDescent="0.2">
      <c r="D764" s="1" t="s">
        <v>43</v>
      </c>
      <c r="E764" s="1">
        <v>103327256</v>
      </c>
      <c r="G764" s="1" t="s">
        <v>123</v>
      </c>
      <c r="I764" s="1" t="s">
        <v>123</v>
      </c>
      <c r="K764" s="2">
        <v>3165487.38</v>
      </c>
      <c r="L764" s="1" t="s">
        <v>22</v>
      </c>
      <c r="N764" s="2">
        <v>767204.89</v>
      </c>
      <c r="O764" s="1" t="s">
        <v>31</v>
      </c>
      <c r="P764" s="1" t="s">
        <v>326</v>
      </c>
      <c r="Q764" s="1">
        <v>4.1260000000000003</v>
      </c>
    </row>
    <row r="765" spans="1:17" x14ac:dyDescent="0.2">
      <c r="D765" s="1" t="s">
        <v>43</v>
      </c>
      <c r="E765" s="1">
        <v>103327757</v>
      </c>
      <c r="G765" s="1" t="s">
        <v>66</v>
      </c>
      <c r="I765" s="1" t="s">
        <v>66</v>
      </c>
      <c r="K765" s="2">
        <v>14475246.43</v>
      </c>
      <c r="L765" s="1" t="s">
        <v>22</v>
      </c>
      <c r="N765" s="2">
        <v>3574134.92</v>
      </c>
      <c r="O765" s="1" t="s">
        <v>31</v>
      </c>
      <c r="P765" s="1" t="s">
        <v>327</v>
      </c>
      <c r="Q765" s="1">
        <v>4.05</v>
      </c>
    </row>
    <row r="767" spans="1:17" x14ac:dyDescent="0.2">
      <c r="B767" s="1" t="s">
        <v>25</v>
      </c>
      <c r="K767" s="2">
        <f>SUM(K764:K766)</f>
        <v>17640733.809999999</v>
      </c>
      <c r="L767" s="1" t="s">
        <v>22</v>
      </c>
      <c r="N767" s="2">
        <v>4341339.8099999996</v>
      </c>
      <c r="O767" s="1" t="s">
        <v>31</v>
      </c>
    </row>
    <row r="769" spans="1:17" x14ac:dyDescent="0.2">
      <c r="A769" s="3"/>
      <c r="B769" s="3" t="s">
        <v>26</v>
      </c>
      <c r="C769" s="3" t="s">
        <v>328</v>
      </c>
      <c r="D769" s="3"/>
      <c r="E769" s="3"/>
      <c r="F769" s="3"/>
      <c r="G769" s="3"/>
      <c r="H769" s="3"/>
      <c r="I769" s="3"/>
      <c r="J769" s="3"/>
      <c r="K769" s="4">
        <f>K767</f>
        <v>17640733.809999999</v>
      </c>
      <c r="L769" s="3" t="s">
        <v>22</v>
      </c>
      <c r="M769" s="3"/>
      <c r="N769" s="4">
        <v>4341339.8099999996</v>
      </c>
      <c r="O769" s="3" t="s">
        <v>31</v>
      </c>
      <c r="P769" s="3"/>
      <c r="Q769" s="3"/>
    </row>
    <row r="771" spans="1:17" x14ac:dyDescent="0.2">
      <c r="A771" s="1" t="s">
        <v>0</v>
      </c>
      <c r="F771" s="1">
        <v>501255</v>
      </c>
    </row>
    <row r="772" spans="1:17" x14ac:dyDescent="0.2">
      <c r="A772" s="1" t="s">
        <v>1</v>
      </c>
      <c r="F772" s="1" t="s">
        <v>40</v>
      </c>
    </row>
    <row r="774" spans="1:17" x14ac:dyDescent="0.2">
      <c r="A774" s="1" t="s">
        <v>3</v>
      </c>
      <c r="F774" s="1" t="s">
        <v>329</v>
      </c>
    </row>
    <row r="775" spans="1:17" x14ac:dyDescent="0.2">
      <c r="A775" s="1" t="s">
        <v>5</v>
      </c>
      <c r="F775" s="1" t="s">
        <v>330</v>
      </c>
    </row>
    <row r="778" spans="1:17" x14ac:dyDescent="0.2">
      <c r="C778" s="1" t="s">
        <v>6</v>
      </c>
      <c r="D778" s="1" t="s">
        <v>7</v>
      </c>
      <c r="E778" s="1" t="s">
        <v>8</v>
      </c>
      <c r="G778" s="1" t="s">
        <v>9</v>
      </c>
      <c r="H778" s="1" t="s">
        <v>10</v>
      </c>
      <c r="I778" s="1" t="s">
        <v>11</v>
      </c>
      <c r="J778" s="1" t="s">
        <v>12</v>
      </c>
      <c r="K778" s="1" t="s">
        <v>13</v>
      </c>
      <c r="L778" s="1" t="s">
        <v>14</v>
      </c>
      <c r="M778" s="1" t="s">
        <v>15</v>
      </c>
      <c r="N778" s="1" t="s">
        <v>16</v>
      </c>
      <c r="O778" s="1" t="s">
        <v>17</v>
      </c>
      <c r="P778" s="1" t="s">
        <v>18</v>
      </c>
      <c r="Q778" s="1" t="s">
        <v>19</v>
      </c>
    </row>
    <row r="780" spans="1:17" x14ac:dyDescent="0.2">
      <c r="D780" s="1" t="s">
        <v>43</v>
      </c>
      <c r="E780" s="1">
        <v>103327146</v>
      </c>
      <c r="G780" s="1" t="s">
        <v>104</v>
      </c>
      <c r="I780" s="1" t="s">
        <v>104</v>
      </c>
      <c r="K780" s="2">
        <v>129600</v>
      </c>
      <c r="L780" s="1" t="s">
        <v>22</v>
      </c>
      <c r="N780" s="2">
        <v>129600</v>
      </c>
      <c r="O780" s="1" t="s">
        <v>22</v>
      </c>
      <c r="P780" s="1" t="s">
        <v>331</v>
      </c>
      <c r="Q780" s="1">
        <v>1</v>
      </c>
    </row>
    <row r="781" spans="1:17" x14ac:dyDescent="0.2">
      <c r="D781" s="1" t="s">
        <v>43</v>
      </c>
      <c r="E781" s="1">
        <v>103327224</v>
      </c>
      <c r="G781" s="1" t="s">
        <v>46</v>
      </c>
      <c r="I781" s="1" t="s">
        <v>46</v>
      </c>
      <c r="K781" s="2">
        <v>6520</v>
      </c>
      <c r="L781" s="1" t="s">
        <v>22</v>
      </c>
      <c r="N781" s="2">
        <v>6520</v>
      </c>
      <c r="O781" s="1" t="s">
        <v>22</v>
      </c>
      <c r="P781" s="1" t="s">
        <v>332</v>
      </c>
      <c r="Q781" s="1">
        <v>1</v>
      </c>
    </row>
    <row r="783" spans="1:17" x14ac:dyDescent="0.2">
      <c r="B783" s="1" t="s">
        <v>25</v>
      </c>
      <c r="K783" s="2">
        <v>136120</v>
      </c>
      <c r="L783" s="1" t="s">
        <v>22</v>
      </c>
      <c r="N783" s="2">
        <v>136120</v>
      </c>
      <c r="O783" s="1" t="s">
        <v>22</v>
      </c>
    </row>
    <row r="785" spans="1:17" x14ac:dyDescent="0.2">
      <c r="A785" s="3"/>
      <c r="B785" s="3" t="s">
        <v>26</v>
      </c>
      <c r="C785" s="3" t="s">
        <v>333</v>
      </c>
      <c r="D785" s="3"/>
      <c r="E785" s="3"/>
      <c r="F785" s="3"/>
      <c r="G785" s="3"/>
      <c r="H785" s="3"/>
      <c r="I785" s="3"/>
      <c r="J785" s="3"/>
      <c r="K785" s="4">
        <v>136120</v>
      </c>
      <c r="L785" s="3" t="s">
        <v>22</v>
      </c>
      <c r="M785" s="3"/>
      <c r="N785" s="4">
        <v>136120</v>
      </c>
      <c r="O785" s="3" t="s">
        <v>22</v>
      </c>
      <c r="P785" s="3"/>
      <c r="Q785" s="3"/>
    </row>
    <row r="787" spans="1:17" x14ac:dyDescent="0.2">
      <c r="A787" s="1" t="s">
        <v>0</v>
      </c>
      <c r="F787" s="1">
        <v>501259</v>
      </c>
    </row>
    <row r="788" spans="1:17" x14ac:dyDescent="0.2">
      <c r="A788" s="1" t="s">
        <v>1</v>
      </c>
      <c r="F788" s="1" t="s">
        <v>40</v>
      </c>
    </row>
    <row r="790" spans="1:17" x14ac:dyDescent="0.2">
      <c r="A790" s="1" t="s">
        <v>3</v>
      </c>
      <c r="F790" s="1" t="s">
        <v>334</v>
      </c>
    </row>
    <row r="791" spans="1:17" x14ac:dyDescent="0.2">
      <c r="A791" s="1" t="s">
        <v>5</v>
      </c>
      <c r="F791" s="1" t="s">
        <v>204</v>
      </c>
    </row>
    <row r="794" spans="1:17" x14ac:dyDescent="0.2">
      <c r="C794" s="1" t="s">
        <v>6</v>
      </c>
      <c r="D794" s="1" t="s">
        <v>7</v>
      </c>
      <c r="E794" s="1" t="s">
        <v>8</v>
      </c>
      <c r="G794" s="1" t="s">
        <v>9</v>
      </c>
      <c r="H794" s="1" t="s">
        <v>10</v>
      </c>
      <c r="I794" s="1" t="s">
        <v>11</v>
      </c>
      <c r="J794" s="1" t="s">
        <v>12</v>
      </c>
      <c r="K794" s="1" t="s">
        <v>13</v>
      </c>
      <c r="L794" s="1" t="s">
        <v>14</v>
      </c>
      <c r="M794" s="1" t="s">
        <v>15</v>
      </c>
      <c r="N794" s="1" t="s">
        <v>16</v>
      </c>
      <c r="O794" s="1" t="s">
        <v>17</v>
      </c>
      <c r="P794" s="1" t="s">
        <v>18</v>
      </c>
      <c r="Q794" s="1" t="s">
        <v>19</v>
      </c>
    </row>
    <row r="796" spans="1:17" x14ac:dyDescent="0.2">
      <c r="D796" s="1" t="s">
        <v>43</v>
      </c>
      <c r="E796" s="1">
        <v>103327739</v>
      </c>
      <c r="G796" s="1" t="s">
        <v>88</v>
      </c>
      <c r="I796" s="1" t="s">
        <v>88</v>
      </c>
      <c r="K796" s="2">
        <v>2800899</v>
      </c>
      <c r="L796" s="1" t="s">
        <v>22</v>
      </c>
      <c r="N796" s="2">
        <v>687000</v>
      </c>
      <c r="O796" s="1" t="s">
        <v>31</v>
      </c>
      <c r="P796" s="1" t="s">
        <v>335</v>
      </c>
      <c r="Q796" s="1">
        <v>4.077</v>
      </c>
    </row>
    <row r="797" spans="1:17" x14ac:dyDescent="0.2">
      <c r="D797" s="1" t="s">
        <v>43</v>
      </c>
      <c r="E797" s="1">
        <v>103327740</v>
      </c>
      <c r="G797" s="1" t="s">
        <v>88</v>
      </c>
      <c r="I797" s="1" t="s">
        <v>88</v>
      </c>
      <c r="K797" s="2">
        <v>2768283</v>
      </c>
      <c r="L797" s="1" t="s">
        <v>22</v>
      </c>
      <c r="N797" s="2">
        <v>679000</v>
      </c>
      <c r="O797" s="1" t="s">
        <v>31</v>
      </c>
      <c r="P797" s="1" t="s">
        <v>336</v>
      </c>
      <c r="Q797" s="1">
        <v>4.077</v>
      </c>
    </row>
    <row r="798" spans="1:17" x14ac:dyDescent="0.2">
      <c r="D798" s="1" t="s">
        <v>43</v>
      </c>
      <c r="E798" s="1">
        <v>103327749</v>
      </c>
      <c r="G798" s="1" t="s">
        <v>88</v>
      </c>
      <c r="I798" s="1" t="s">
        <v>88</v>
      </c>
      <c r="K798" s="2">
        <v>2584818</v>
      </c>
      <c r="L798" s="1" t="s">
        <v>22</v>
      </c>
      <c r="N798" s="2">
        <v>634000</v>
      </c>
      <c r="O798" s="1" t="s">
        <v>31</v>
      </c>
      <c r="P798" s="1" t="s">
        <v>337</v>
      </c>
      <c r="Q798" s="1">
        <v>4.077</v>
      </c>
    </row>
    <row r="800" spans="1:17" x14ac:dyDescent="0.2">
      <c r="B800" s="1" t="s">
        <v>25</v>
      </c>
      <c r="K800" s="2">
        <v>8154000</v>
      </c>
      <c r="L800" s="1" t="s">
        <v>22</v>
      </c>
      <c r="N800" s="2">
        <v>2000000</v>
      </c>
      <c r="O800" s="1" t="s">
        <v>31</v>
      </c>
    </row>
    <row r="802" spans="1:17" x14ac:dyDescent="0.2">
      <c r="A802" s="3"/>
      <c r="B802" s="3" t="s">
        <v>26</v>
      </c>
      <c r="C802" s="3" t="s">
        <v>338</v>
      </c>
      <c r="D802" s="3"/>
      <c r="E802" s="3"/>
      <c r="F802" s="3"/>
      <c r="G802" s="3"/>
      <c r="H802" s="3"/>
      <c r="I802" s="3"/>
      <c r="J802" s="3"/>
      <c r="K802" s="4">
        <v>8154000</v>
      </c>
      <c r="L802" s="3" t="s">
        <v>22</v>
      </c>
      <c r="M802" s="3"/>
      <c r="N802" s="4">
        <v>2000000</v>
      </c>
      <c r="O802" s="3" t="s">
        <v>31</v>
      </c>
      <c r="P802" s="3"/>
      <c r="Q802" s="3"/>
    </row>
    <row r="804" spans="1:17" x14ac:dyDescent="0.2">
      <c r="A804" s="1" t="s">
        <v>0</v>
      </c>
      <c r="F804" s="1">
        <v>501261</v>
      </c>
    </row>
    <row r="805" spans="1:17" x14ac:dyDescent="0.2">
      <c r="A805" s="1" t="s">
        <v>1</v>
      </c>
      <c r="F805" s="1" t="s">
        <v>40</v>
      </c>
    </row>
    <row r="807" spans="1:17" x14ac:dyDescent="0.2">
      <c r="A807" s="1" t="s">
        <v>3</v>
      </c>
      <c r="F807" s="1" t="s">
        <v>339</v>
      </c>
    </row>
    <row r="808" spans="1:17" x14ac:dyDescent="0.2">
      <c r="A808" s="1" t="s">
        <v>5</v>
      </c>
      <c r="F808" s="1" t="s">
        <v>70</v>
      </c>
    </row>
    <row r="811" spans="1:17" x14ac:dyDescent="0.2">
      <c r="C811" s="1" t="s">
        <v>6</v>
      </c>
      <c r="D811" s="1" t="s">
        <v>7</v>
      </c>
      <c r="E811" s="1" t="s">
        <v>8</v>
      </c>
      <c r="G811" s="1" t="s">
        <v>9</v>
      </c>
      <c r="H811" s="1" t="s">
        <v>10</v>
      </c>
      <c r="I811" s="1" t="s">
        <v>11</v>
      </c>
      <c r="J811" s="1" t="s">
        <v>12</v>
      </c>
      <c r="K811" s="1" t="s">
        <v>13</v>
      </c>
      <c r="L811" s="1" t="s">
        <v>14</v>
      </c>
      <c r="M811" s="1" t="s">
        <v>15</v>
      </c>
      <c r="N811" s="1" t="s">
        <v>16</v>
      </c>
      <c r="O811" s="1" t="s">
        <v>17</v>
      </c>
      <c r="P811" s="1" t="s">
        <v>18</v>
      </c>
      <c r="Q811" s="1" t="s">
        <v>19</v>
      </c>
    </row>
    <row r="813" spans="1:17" x14ac:dyDescent="0.2">
      <c r="D813" s="1" t="s">
        <v>43</v>
      </c>
      <c r="E813" s="1">
        <v>103327724</v>
      </c>
      <c r="G813" s="1" t="s">
        <v>64</v>
      </c>
      <c r="I813" s="1" t="s">
        <v>64</v>
      </c>
      <c r="K813" s="2">
        <v>1175410.97</v>
      </c>
      <c r="L813" s="1" t="s">
        <v>22</v>
      </c>
      <c r="N813" s="2">
        <v>1175410.97</v>
      </c>
      <c r="O813" s="1" t="s">
        <v>22</v>
      </c>
      <c r="P813" s="1" t="s">
        <v>340</v>
      </c>
      <c r="Q813" s="1">
        <v>1</v>
      </c>
    </row>
    <row r="815" spans="1:17" x14ac:dyDescent="0.2">
      <c r="B815" s="1" t="s">
        <v>25</v>
      </c>
      <c r="K815" s="2">
        <v>1175410.97</v>
      </c>
      <c r="L815" s="1" t="s">
        <v>22</v>
      </c>
      <c r="N815" s="2">
        <v>1175410.97</v>
      </c>
      <c r="O815" s="1" t="s">
        <v>22</v>
      </c>
    </row>
    <row r="817" spans="1:17" x14ac:dyDescent="0.2">
      <c r="A817" s="3"/>
      <c r="B817" s="3" t="s">
        <v>26</v>
      </c>
      <c r="C817" s="3" t="s">
        <v>341</v>
      </c>
      <c r="D817" s="3"/>
      <c r="E817" s="3"/>
      <c r="F817" s="3"/>
      <c r="G817" s="3"/>
      <c r="H817" s="3"/>
      <c r="I817" s="3"/>
      <c r="J817" s="3"/>
      <c r="K817" s="4">
        <v>1175410.97</v>
      </c>
      <c r="L817" s="3" t="s">
        <v>22</v>
      </c>
      <c r="M817" s="3"/>
      <c r="N817" s="4">
        <v>1175410.97</v>
      </c>
      <c r="O817" s="3" t="s">
        <v>22</v>
      </c>
      <c r="P817" s="3"/>
      <c r="Q817" s="3"/>
    </row>
    <row r="819" spans="1:17" x14ac:dyDescent="0.2">
      <c r="A819" s="1" t="s">
        <v>0</v>
      </c>
      <c r="F819" s="1">
        <v>501263</v>
      </c>
    </row>
    <row r="820" spans="1:17" x14ac:dyDescent="0.2">
      <c r="A820" s="1" t="s">
        <v>1</v>
      </c>
      <c r="F820" s="1" t="s">
        <v>40</v>
      </c>
    </row>
    <row r="822" spans="1:17" x14ac:dyDescent="0.2">
      <c r="A822" s="1" t="s">
        <v>3</v>
      </c>
      <c r="F822" s="1" t="s">
        <v>342</v>
      </c>
    </row>
    <row r="823" spans="1:17" x14ac:dyDescent="0.2">
      <c r="A823" s="1" t="s">
        <v>5</v>
      </c>
      <c r="F823" s="1" t="s">
        <v>70</v>
      </c>
    </row>
    <row r="826" spans="1:17" x14ac:dyDescent="0.2">
      <c r="C826" s="1" t="s">
        <v>6</v>
      </c>
      <c r="D826" s="1" t="s">
        <v>7</v>
      </c>
      <c r="E826" s="1" t="s">
        <v>8</v>
      </c>
      <c r="G826" s="1" t="s">
        <v>9</v>
      </c>
      <c r="H826" s="1" t="s">
        <v>10</v>
      </c>
      <c r="I826" s="1" t="s">
        <v>11</v>
      </c>
      <c r="J826" s="1" t="s">
        <v>12</v>
      </c>
      <c r="K826" s="1" t="s">
        <v>13</v>
      </c>
      <c r="L826" s="1" t="s">
        <v>14</v>
      </c>
      <c r="M826" s="1" t="s">
        <v>15</v>
      </c>
      <c r="N826" s="1" t="s">
        <v>16</v>
      </c>
      <c r="O826" s="1" t="s">
        <v>17</v>
      </c>
      <c r="P826" s="1" t="s">
        <v>18</v>
      </c>
      <c r="Q826" s="1" t="s">
        <v>19</v>
      </c>
    </row>
    <row r="828" spans="1:17" x14ac:dyDescent="0.2">
      <c r="D828" s="1" t="s">
        <v>43</v>
      </c>
      <c r="E828" s="1">
        <v>103343004</v>
      </c>
      <c r="G828" s="1" t="s">
        <v>30</v>
      </c>
      <c r="I828" s="1" t="s">
        <v>30</v>
      </c>
      <c r="K828" s="2">
        <v>80890000</v>
      </c>
      <c r="L828" s="1" t="s">
        <v>22</v>
      </c>
      <c r="N828" s="2">
        <v>20000000</v>
      </c>
      <c r="O828" s="1" t="s">
        <v>31</v>
      </c>
      <c r="P828" s="1" t="s">
        <v>343</v>
      </c>
      <c r="Q828" s="1">
        <v>4.0445000000000002</v>
      </c>
    </row>
    <row r="830" spans="1:17" x14ac:dyDescent="0.2">
      <c r="B830" s="1" t="s">
        <v>25</v>
      </c>
      <c r="K830" s="2">
        <v>80890000</v>
      </c>
      <c r="L830" s="1" t="s">
        <v>22</v>
      </c>
      <c r="N830" s="2">
        <v>20000000</v>
      </c>
      <c r="O830" s="1" t="s">
        <v>31</v>
      </c>
    </row>
    <row r="832" spans="1:17" x14ac:dyDescent="0.2">
      <c r="A832" s="3"/>
      <c r="B832" s="3" t="s">
        <v>26</v>
      </c>
      <c r="C832" s="3" t="s">
        <v>344</v>
      </c>
      <c r="D832" s="3"/>
      <c r="E832" s="3"/>
      <c r="F832" s="3"/>
      <c r="G832" s="3"/>
      <c r="H832" s="3"/>
      <c r="I832" s="3"/>
      <c r="J832" s="3"/>
      <c r="K832" s="4">
        <v>80890000</v>
      </c>
      <c r="L832" s="3" t="s">
        <v>22</v>
      </c>
      <c r="M832" s="3"/>
      <c r="N832" s="4">
        <v>20000000</v>
      </c>
      <c r="O832" s="3" t="s">
        <v>31</v>
      </c>
      <c r="P832" s="3"/>
      <c r="Q832" s="3"/>
    </row>
    <row r="834" spans="1:17" x14ac:dyDescent="0.2">
      <c r="A834" s="1" t="s">
        <v>0</v>
      </c>
      <c r="F834" s="1">
        <v>501270</v>
      </c>
    </row>
    <row r="835" spans="1:17" x14ac:dyDescent="0.2">
      <c r="A835" s="1" t="s">
        <v>1</v>
      </c>
      <c r="F835" s="1" t="s">
        <v>40</v>
      </c>
    </row>
    <row r="837" spans="1:17" x14ac:dyDescent="0.2">
      <c r="A837" s="1" t="s">
        <v>3</v>
      </c>
      <c r="F837" s="1" t="s">
        <v>345</v>
      </c>
    </row>
    <row r="838" spans="1:17" x14ac:dyDescent="0.2">
      <c r="A838" s="1" t="s">
        <v>5</v>
      </c>
      <c r="F838" s="1" t="s">
        <v>70</v>
      </c>
    </row>
    <row r="841" spans="1:17" x14ac:dyDescent="0.2">
      <c r="C841" s="1" t="s">
        <v>6</v>
      </c>
      <c r="D841" s="1" t="s">
        <v>7</v>
      </c>
      <c r="E841" s="1" t="s">
        <v>8</v>
      </c>
      <c r="G841" s="1" t="s">
        <v>9</v>
      </c>
      <c r="H841" s="1" t="s">
        <v>10</v>
      </c>
      <c r="I841" s="1" t="s">
        <v>11</v>
      </c>
      <c r="J841" s="1" t="s">
        <v>12</v>
      </c>
      <c r="K841" s="1" t="s">
        <v>13</v>
      </c>
      <c r="L841" s="1" t="s">
        <v>14</v>
      </c>
      <c r="M841" s="1" t="s">
        <v>15</v>
      </c>
      <c r="N841" s="1" t="s">
        <v>16</v>
      </c>
      <c r="O841" s="1" t="s">
        <v>17</v>
      </c>
      <c r="P841" s="1" t="s">
        <v>18</v>
      </c>
      <c r="Q841" s="1" t="s">
        <v>19</v>
      </c>
    </row>
    <row r="843" spans="1:17" x14ac:dyDescent="0.2">
      <c r="D843" s="1" t="s">
        <v>43</v>
      </c>
      <c r="E843" s="1">
        <v>103327161</v>
      </c>
      <c r="G843" s="1" t="s">
        <v>44</v>
      </c>
      <c r="I843" s="1" t="s">
        <v>44</v>
      </c>
      <c r="K843" s="2">
        <v>162922.35999999999</v>
      </c>
      <c r="L843" s="1" t="s">
        <v>22</v>
      </c>
      <c r="N843" s="2">
        <v>162922.35999999999</v>
      </c>
      <c r="O843" s="1" t="s">
        <v>22</v>
      </c>
      <c r="P843" s="1" t="s">
        <v>346</v>
      </c>
      <c r="Q843" s="1">
        <v>1</v>
      </c>
    </row>
    <row r="844" spans="1:17" x14ac:dyDescent="0.2">
      <c r="D844" s="1" t="s">
        <v>43</v>
      </c>
      <c r="E844" s="1">
        <v>103327173</v>
      </c>
      <c r="G844" s="1" t="s">
        <v>123</v>
      </c>
      <c r="I844" s="1" t="s">
        <v>123</v>
      </c>
      <c r="K844" s="2">
        <v>224233.74</v>
      </c>
      <c r="L844" s="1" t="s">
        <v>22</v>
      </c>
      <c r="N844" s="2">
        <v>224233.74</v>
      </c>
      <c r="O844" s="1" t="s">
        <v>22</v>
      </c>
      <c r="P844" s="1" t="s">
        <v>347</v>
      </c>
      <c r="Q844" s="1">
        <v>1</v>
      </c>
    </row>
    <row r="845" spans="1:17" x14ac:dyDescent="0.2">
      <c r="D845" s="1" t="s">
        <v>43</v>
      </c>
      <c r="E845" s="1">
        <v>103327214</v>
      </c>
      <c r="G845" s="1" t="s">
        <v>57</v>
      </c>
      <c r="I845" s="1" t="s">
        <v>57</v>
      </c>
      <c r="K845" s="2">
        <v>142381.57999999999</v>
      </c>
      <c r="L845" s="1" t="s">
        <v>22</v>
      </c>
      <c r="N845" s="2">
        <v>142381.57999999999</v>
      </c>
      <c r="O845" s="1" t="s">
        <v>22</v>
      </c>
      <c r="P845" s="1" t="s">
        <v>348</v>
      </c>
      <c r="Q845" s="1">
        <v>1</v>
      </c>
    </row>
    <row r="846" spans="1:17" x14ac:dyDescent="0.2">
      <c r="D846" s="1" t="s">
        <v>43</v>
      </c>
      <c r="E846" s="1">
        <v>103327215</v>
      </c>
      <c r="G846" s="1" t="s">
        <v>57</v>
      </c>
      <c r="I846" s="1" t="s">
        <v>57</v>
      </c>
      <c r="K846" s="2">
        <v>242865.59</v>
      </c>
      <c r="L846" s="1" t="s">
        <v>22</v>
      </c>
      <c r="N846" s="2">
        <v>242865.59</v>
      </c>
      <c r="O846" s="1" t="s">
        <v>22</v>
      </c>
      <c r="P846" s="1" t="s">
        <v>349</v>
      </c>
      <c r="Q846" s="1">
        <v>1</v>
      </c>
    </row>
    <row r="847" spans="1:17" x14ac:dyDescent="0.2">
      <c r="D847" s="1" t="s">
        <v>43</v>
      </c>
      <c r="E847" s="1">
        <v>2200006962</v>
      </c>
      <c r="G847" s="1" t="s">
        <v>57</v>
      </c>
      <c r="I847" s="1" t="s">
        <v>57</v>
      </c>
      <c r="K847" s="1">
        <v>680.62</v>
      </c>
      <c r="L847" s="1" t="s">
        <v>22</v>
      </c>
      <c r="N847" s="1">
        <v>680.62</v>
      </c>
      <c r="O847" s="1" t="s">
        <v>22</v>
      </c>
      <c r="P847" s="1" t="s">
        <v>348</v>
      </c>
      <c r="Q847" s="1">
        <v>1</v>
      </c>
    </row>
    <row r="848" spans="1:17" x14ac:dyDescent="0.2">
      <c r="D848" s="1" t="s">
        <v>43</v>
      </c>
      <c r="E848" s="1">
        <v>2200006964</v>
      </c>
      <c r="G848" s="1" t="s">
        <v>57</v>
      </c>
      <c r="I848" s="1" t="s">
        <v>57</v>
      </c>
      <c r="K848" s="2">
        <v>2855.9</v>
      </c>
      <c r="L848" s="1" t="s">
        <v>22</v>
      </c>
      <c r="N848" s="2">
        <v>2855.9</v>
      </c>
      <c r="O848" s="1" t="s">
        <v>22</v>
      </c>
      <c r="P848" s="1" t="s">
        <v>349</v>
      </c>
      <c r="Q848" s="1">
        <v>1</v>
      </c>
    </row>
    <row r="850" spans="1:17" x14ac:dyDescent="0.2">
      <c r="B850" s="1" t="s">
        <v>25</v>
      </c>
      <c r="K850" s="2">
        <v>775939.79</v>
      </c>
      <c r="L850" s="1" t="s">
        <v>22</v>
      </c>
      <c r="N850" s="2">
        <v>775939.79</v>
      </c>
      <c r="O850" s="1" t="s">
        <v>22</v>
      </c>
    </row>
    <row r="852" spans="1:17" x14ac:dyDescent="0.2">
      <c r="A852" s="3"/>
      <c r="B852" s="3" t="s">
        <v>26</v>
      </c>
      <c r="C852" s="3" t="s">
        <v>350</v>
      </c>
      <c r="D852" s="3"/>
      <c r="E852" s="3"/>
      <c r="F852" s="3"/>
      <c r="G852" s="3"/>
      <c r="H852" s="3"/>
      <c r="I852" s="3"/>
      <c r="J852" s="3"/>
      <c r="K852" s="4">
        <v>775939.79</v>
      </c>
      <c r="L852" s="3" t="s">
        <v>22</v>
      </c>
      <c r="M852" s="3"/>
      <c r="N852" s="4">
        <v>775939.79</v>
      </c>
      <c r="O852" s="3" t="s">
        <v>22</v>
      </c>
      <c r="P852" s="3"/>
      <c r="Q852" s="3"/>
    </row>
    <row r="854" spans="1:17" x14ac:dyDescent="0.2">
      <c r="A854" s="1" t="s">
        <v>0</v>
      </c>
      <c r="F854" s="1">
        <v>501285</v>
      </c>
    </row>
    <row r="855" spans="1:17" x14ac:dyDescent="0.2">
      <c r="A855" s="1" t="s">
        <v>1</v>
      </c>
      <c r="F855" s="1" t="s">
        <v>40</v>
      </c>
    </row>
    <row r="857" spans="1:17" x14ac:dyDescent="0.2">
      <c r="A857" s="1" t="s">
        <v>3</v>
      </c>
      <c r="F857" s="1" t="s">
        <v>351</v>
      </c>
    </row>
    <row r="858" spans="1:17" x14ac:dyDescent="0.2">
      <c r="A858" s="1" t="s">
        <v>5</v>
      </c>
      <c r="F858" s="1" t="s">
        <v>70</v>
      </c>
    </row>
    <row r="861" spans="1:17" x14ac:dyDescent="0.2">
      <c r="C861" s="1" t="s">
        <v>6</v>
      </c>
      <c r="D861" s="1" t="s">
        <v>7</v>
      </c>
      <c r="E861" s="1" t="s">
        <v>8</v>
      </c>
      <c r="G861" s="1" t="s">
        <v>9</v>
      </c>
      <c r="H861" s="1" t="s">
        <v>10</v>
      </c>
      <c r="I861" s="1" t="s">
        <v>11</v>
      </c>
      <c r="J861" s="1" t="s">
        <v>12</v>
      </c>
      <c r="K861" s="1" t="s">
        <v>13</v>
      </c>
      <c r="L861" s="1" t="s">
        <v>14</v>
      </c>
      <c r="M861" s="1" t="s">
        <v>15</v>
      </c>
      <c r="N861" s="1" t="s">
        <v>16</v>
      </c>
      <c r="O861" s="1" t="s">
        <v>17</v>
      </c>
      <c r="P861" s="1" t="s">
        <v>18</v>
      </c>
      <c r="Q861" s="1" t="s">
        <v>19</v>
      </c>
    </row>
    <row r="863" spans="1:17" x14ac:dyDescent="0.2">
      <c r="D863" s="1" t="s">
        <v>43</v>
      </c>
      <c r="E863" s="1">
        <v>103327216</v>
      </c>
      <c r="G863" s="1" t="s">
        <v>46</v>
      </c>
      <c r="I863" s="1" t="s">
        <v>46</v>
      </c>
      <c r="K863" s="2">
        <v>210459.48</v>
      </c>
      <c r="L863" s="1" t="s">
        <v>22</v>
      </c>
      <c r="N863" s="2">
        <v>210459.48</v>
      </c>
      <c r="O863" s="1" t="s">
        <v>22</v>
      </c>
      <c r="P863" s="1" t="s">
        <v>352</v>
      </c>
      <c r="Q863" s="1">
        <v>1</v>
      </c>
    </row>
    <row r="864" spans="1:17" x14ac:dyDescent="0.2">
      <c r="D864" s="1" t="s">
        <v>43</v>
      </c>
      <c r="E864" s="1">
        <v>103327217</v>
      </c>
      <c r="G864" s="1" t="s">
        <v>46</v>
      </c>
      <c r="I864" s="1" t="s">
        <v>46</v>
      </c>
      <c r="K864" s="2">
        <v>261516.17</v>
      </c>
      <c r="L864" s="1" t="s">
        <v>22</v>
      </c>
      <c r="N864" s="2">
        <v>261516.17</v>
      </c>
      <c r="O864" s="1" t="s">
        <v>22</v>
      </c>
      <c r="P864" s="1" t="s">
        <v>353</v>
      </c>
      <c r="Q864" s="1">
        <v>1</v>
      </c>
    </row>
    <row r="865" spans="1:17" x14ac:dyDescent="0.2">
      <c r="D865" s="1" t="s">
        <v>43</v>
      </c>
      <c r="E865" s="1">
        <v>103327218</v>
      </c>
      <c r="G865" s="1" t="s">
        <v>46</v>
      </c>
      <c r="I865" s="1" t="s">
        <v>46</v>
      </c>
      <c r="K865" s="2">
        <v>127137.68</v>
      </c>
      <c r="L865" s="1" t="s">
        <v>22</v>
      </c>
      <c r="N865" s="2">
        <v>127137.68</v>
      </c>
      <c r="O865" s="1" t="s">
        <v>22</v>
      </c>
      <c r="P865" s="1" t="s">
        <v>354</v>
      </c>
      <c r="Q865" s="1">
        <v>1</v>
      </c>
    </row>
    <row r="866" spans="1:17" x14ac:dyDescent="0.2">
      <c r="D866" s="1" t="s">
        <v>43</v>
      </c>
      <c r="E866" s="1">
        <v>103327251</v>
      </c>
      <c r="G866" s="1" t="s">
        <v>85</v>
      </c>
      <c r="I866" s="1" t="s">
        <v>85</v>
      </c>
      <c r="K866" s="2">
        <v>259797</v>
      </c>
      <c r="L866" s="1" t="s">
        <v>22</v>
      </c>
      <c r="N866" s="2">
        <v>259797</v>
      </c>
      <c r="O866" s="1" t="s">
        <v>22</v>
      </c>
      <c r="P866" s="1" t="s">
        <v>355</v>
      </c>
      <c r="Q866" s="1">
        <v>1</v>
      </c>
    </row>
    <row r="867" spans="1:17" x14ac:dyDescent="0.2">
      <c r="D867" s="1" t="s">
        <v>43</v>
      </c>
      <c r="E867" s="1">
        <v>103327716</v>
      </c>
      <c r="G867" s="1" t="s">
        <v>64</v>
      </c>
      <c r="I867" s="1" t="s">
        <v>64</v>
      </c>
      <c r="K867" s="2">
        <v>139669.31</v>
      </c>
      <c r="L867" s="1" t="s">
        <v>22</v>
      </c>
      <c r="N867" s="2">
        <v>139669.31</v>
      </c>
      <c r="O867" s="1" t="s">
        <v>22</v>
      </c>
      <c r="P867" s="1" t="s">
        <v>356</v>
      </c>
      <c r="Q867" s="1">
        <v>1</v>
      </c>
    </row>
    <row r="868" spans="1:17" x14ac:dyDescent="0.2">
      <c r="D868" s="1" t="s">
        <v>43</v>
      </c>
      <c r="E868" s="1">
        <v>103327717</v>
      </c>
      <c r="G868" s="1" t="s">
        <v>64</v>
      </c>
      <c r="I868" s="1" t="s">
        <v>64</v>
      </c>
      <c r="K868" s="2">
        <v>271466.95</v>
      </c>
      <c r="L868" s="1" t="s">
        <v>22</v>
      </c>
      <c r="N868" s="2">
        <v>271466.95</v>
      </c>
      <c r="O868" s="1" t="s">
        <v>22</v>
      </c>
      <c r="P868" s="1" t="s">
        <v>357</v>
      </c>
      <c r="Q868" s="1">
        <v>1</v>
      </c>
    </row>
    <row r="869" spans="1:17" x14ac:dyDescent="0.2">
      <c r="D869" s="1" t="s">
        <v>43</v>
      </c>
      <c r="E869" s="1">
        <v>103327718</v>
      </c>
      <c r="G869" s="1" t="s">
        <v>64</v>
      </c>
      <c r="I869" s="1" t="s">
        <v>64</v>
      </c>
      <c r="K869" s="2">
        <v>172302.77</v>
      </c>
      <c r="L869" s="1" t="s">
        <v>22</v>
      </c>
      <c r="N869" s="2">
        <v>172302.77</v>
      </c>
      <c r="O869" s="1" t="s">
        <v>22</v>
      </c>
      <c r="P869" s="1" t="s">
        <v>358</v>
      </c>
      <c r="Q869" s="1">
        <v>1</v>
      </c>
    </row>
    <row r="871" spans="1:17" x14ac:dyDescent="0.2">
      <c r="B871" s="1" t="s">
        <v>25</v>
      </c>
      <c r="K871" s="2">
        <v>1442349.36</v>
      </c>
      <c r="L871" s="1" t="s">
        <v>22</v>
      </c>
      <c r="N871" s="2">
        <v>1442349.36</v>
      </c>
      <c r="O871" s="1" t="s">
        <v>22</v>
      </c>
    </row>
    <row r="873" spans="1:17" x14ac:dyDescent="0.2">
      <c r="A873" s="3"/>
      <c r="B873" s="3" t="s">
        <v>26</v>
      </c>
      <c r="C873" s="3" t="s">
        <v>359</v>
      </c>
      <c r="D873" s="3"/>
      <c r="E873" s="3"/>
      <c r="F873" s="3"/>
      <c r="G873" s="3"/>
      <c r="H873" s="3"/>
      <c r="I873" s="3"/>
      <c r="J873" s="3"/>
      <c r="K873" s="4">
        <v>1442349.36</v>
      </c>
      <c r="L873" s="3" t="s">
        <v>22</v>
      </c>
      <c r="M873" s="3"/>
      <c r="N873" s="4">
        <v>1442349.36</v>
      </c>
      <c r="O873" s="3" t="s">
        <v>22</v>
      </c>
      <c r="P873" s="3"/>
      <c r="Q873" s="3"/>
    </row>
    <row r="875" spans="1:17" x14ac:dyDescent="0.2">
      <c r="A875" s="1" t="s">
        <v>0</v>
      </c>
      <c r="F875" s="1">
        <v>501286</v>
      </c>
    </row>
    <row r="876" spans="1:17" x14ac:dyDescent="0.2">
      <c r="A876" s="1" t="s">
        <v>1</v>
      </c>
      <c r="F876" s="1" t="s">
        <v>40</v>
      </c>
    </row>
    <row r="878" spans="1:17" x14ac:dyDescent="0.2">
      <c r="A878" s="1" t="s">
        <v>3</v>
      </c>
      <c r="F878" s="1" t="s">
        <v>360</v>
      </c>
    </row>
    <row r="879" spans="1:17" x14ac:dyDescent="0.2">
      <c r="A879" s="1" t="s">
        <v>5</v>
      </c>
      <c r="F879" s="1" t="s">
        <v>361</v>
      </c>
    </row>
    <row r="882" spans="1:17" x14ac:dyDescent="0.2">
      <c r="C882" s="1" t="s">
        <v>6</v>
      </c>
      <c r="D882" s="1" t="s">
        <v>7</v>
      </c>
      <c r="E882" s="1" t="s">
        <v>8</v>
      </c>
      <c r="G882" s="1" t="s">
        <v>9</v>
      </c>
      <c r="H882" s="1" t="s">
        <v>10</v>
      </c>
      <c r="I882" s="1" t="s">
        <v>11</v>
      </c>
      <c r="J882" s="1" t="s">
        <v>12</v>
      </c>
      <c r="K882" s="1" t="s">
        <v>13</v>
      </c>
      <c r="L882" s="1" t="s">
        <v>14</v>
      </c>
      <c r="M882" s="1" t="s">
        <v>15</v>
      </c>
      <c r="N882" s="1" t="s">
        <v>16</v>
      </c>
      <c r="O882" s="1" t="s">
        <v>17</v>
      </c>
      <c r="P882" s="1" t="s">
        <v>18</v>
      </c>
      <c r="Q882" s="1" t="s">
        <v>19</v>
      </c>
    </row>
    <row r="884" spans="1:17" x14ac:dyDescent="0.2">
      <c r="D884" s="1" t="s">
        <v>43</v>
      </c>
      <c r="E884" s="1">
        <v>103327166</v>
      </c>
      <c r="G884" s="1" t="s">
        <v>123</v>
      </c>
      <c r="I884" s="1" t="s">
        <v>123</v>
      </c>
      <c r="K884" s="2">
        <v>1806400</v>
      </c>
      <c r="L884" s="1" t="s">
        <v>22</v>
      </c>
      <c r="N884" s="2">
        <v>1806400</v>
      </c>
      <c r="O884" s="1" t="s">
        <v>22</v>
      </c>
      <c r="P884" s="1" t="s">
        <v>362</v>
      </c>
      <c r="Q884" s="1">
        <v>1</v>
      </c>
    </row>
    <row r="885" spans="1:17" x14ac:dyDescent="0.2">
      <c r="D885" s="1" t="s">
        <v>43</v>
      </c>
      <c r="E885" s="1">
        <v>103327253</v>
      </c>
      <c r="G885" s="1" t="s">
        <v>85</v>
      </c>
      <c r="I885" s="1" t="s">
        <v>85</v>
      </c>
      <c r="K885" s="2">
        <v>1506500</v>
      </c>
      <c r="L885" s="1" t="s">
        <v>22</v>
      </c>
      <c r="N885" s="2">
        <v>1506500</v>
      </c>
      <c r="O885" s="1" t="s">
        <v>22</v>
      </c>
      <c r="P885" s="1" t="s">
        <v>363</v>
      </c>
      <c r="Q885" s="1">
        <v>1</v>
      </c>
    </row>
    <row r="887" spans="1:17" x14ac:dyDescent="0.2">
      <c r="B887" s="1" t="s">
        <v>25</v>
      </c>
      <c r="K887" s="2">
        <v>3312900</v>
      </c>
      <c r="L887" s="1" t="s">
        <v>22</v>
      </c>
      <c r="N887" s="2">
        <v>3312900</v>
      </c>
      <c r="O887" s="1" t="s">
        <v>22</v>
      </c>
    </row>
    <row r="889" spans="1:17" x14ac:dyDescent="0.2">
      <c r="A889" s="3"/>
      <c r="B889" s="3" t="s">
        <v>26</v>
      </c>
      <c r="C889" s="3" t="s">
        <v>364</v>
      </c>
      <c r="D889" s="3"/>
      <c r="E889" s="3"/>
      <c r="F889" s="3"/>
      <c r="G889" s="3"/>
      <c r="H889" s="3"/>
      <c r="I889" s="3"/>
      <c r="J889" s="3"/>
      <c r="K889" s="4">
        <v>3312900</v>
      </c>
      <c r="L889" s="3" t="s">
        <v>22</v>
      </c>
      <c r="M889" s="3"/>
      <c r="N889" s="4">
        <v>3312900</v>
      </c>
      <c r="O889" s="3" t="s">
        <v>22</v>
      </c>
      <c r="P889" s="3"/>
      <c r="Q889" s="3"/>
    </row>
    <row r="891" spans="1:17" x14ac:dyDescent="0.2">
      <c r="A891" s="1" t="s">
        <v>0</v>
      </c>
      <c r="F891" s="1">
        <v>501288</v>
      </c>
    </row>
    <row r="892" spans="1:17" x14ac:dyDescent="0.2">
      <c r="A892" s="1" t="s">
        <v>1</v>
      </c>
      <c r="F892" s="1" t="s">
        <v>40</v>
      </c>
    </row>
    <row r="894" spans="1:17" x14ac:dyDescent="0.2">
      <c r="A894" s="1" t="s">
        <v>3</v>
      </c>
      <c r="F894" s="1" t="s">
        <v>365</v>
      </c>
    </row>
    <row r="895" spans="1:17" x14ac:dyDescent="0.2">
      <c r="A895" s="1" t="s">
        <v>5</v>
      </c>
      <c r="F895" s="1" t="s">
        <v>366</v>
      </c>
    </row>
    <row r="898" spans="1:17" x14ac:dyDescent="0.2">
      <c r="C898" s="1" t="s">
        <v>6</v>
      </c>
      <c r="D898" s="1" t="s">
        <v>7</v>
      </c>
      <c r="E898" s="1" t="s">
        <v>8</v>
      </c>
      <c r="G898" s="1" t="s">
        <v>9</v>
      </c>
      <c r="H898" s="1" t="s">
        <v>10</v>
      </c>
      <c r="I898" s="1" t="s">
        <v>11</v>
      </c>
      <c r="J898" s="1" t="s">
        <v>12</v>
      </c>
      <c r="K898" s="1" t="s">
        <v>13</v>
      </c>
      <c r="L898" s="1" t="s">
        <v>14</v>
      </c>
      <c r="M898" s="1" t="s">
        <v>15</v>
      </c>
      <c r="N898" s="1" t="s">
        <v>16</v>
      </c>
      <c r="O898" s="1" t="s">
        <v>17</v>
      </c>
      <c r="P898" s="1" t="s">
        <v>18</v>
      </c>
      <c r="Q898" s="1" t="s">
        <v>19</v>
      </c>
    </row>
    <row r="900" spans="1:17" x14ac:dyDescent="0.2">
      <c r="D900" s="1" t="s">
        <v>43</v>
      </c>
      <c r="E900" s="1">
        <v>103327250</v>
      </c>
      <c r="G900" s="1" t="s">
        <v>48</v>
      </c>
      <c r="I900" s="1" t="s">
        <v>48</v>
      </c>
      <c r="K900" s="2">
        <v>850000</v>
      </c>
      <c r="L900" s="1" t="s">
        <v>22</v>
      </c>
      <c r="N900" s="2">
        <v>850000</v>
      </c>
      <c r="O900" s="1" t="s">
        <v>22</v>
      </c>
      <c r="P900" s="1" t="s">
        <v>367</v>
      </c>
      <c r="Q900" s="1">
        <v>1</v>
      </c>
    </row>
    <row r="902" spans="1:17" x14ac:dyDescent="0.2">
      <c r="B902" s="1" t="s">
        <v>25</v>
      </c>
      <c r="K902" s="2">
        <v>850000</v>
      </c>
      <c r="L902" s="1" t="s">
        <v>22</v>
      </c>
      <c r="N902" s="2">
        <v>850000</v>
      </c>
      <c r="O902" s="1" t="s">
        <v>22</v>
      </c>
    </row>
    <row r="904" spans="1:17" x14ac:dyDescent="0.2">
      <c r="A904" s="3"/>
      <c r="B904" s="3" t="s">
        <v>26</v>
      </c>
      <c r="C904" s="3" t="s">
        <v>368</v>
      </c>
      <c r="D904" s="3"/>
      <c r="E904" s="3"/>
      <c r="F904" s="3"/>
      <c r="G904" s="3"/>
      <c r="H904" s="3"/>
      <c r="I904" s="3"/>
      <c r="J904" s="3"/>
      <c r="K904" s="4">
        <v>850000</v>
      </c>
      <c r="L904" s="3" t="s">
        <v>22</v>
      </c>
      <c r="M904" s="3"/>
      <c r="N904" s="4">
        <v>850000</v>
      </c>
      <c r="O904" s="3" t="s">
        <v>22</v>
      </c>
      <c r="P904" s="3"/>
      <c r="Q904" s="3"/>
    </row>
    <row r="906" spans="1:17" x14ac:dyDescent="0.2">
      <c r="A906" s="1" t="s">
        <v>0</v>
      </c>
      <c r="F906" s="1">
        <v>501290</v>
      </c>
    </row>
    <row r="907" spans="1:17" x14ac:dyDescent="0.2">
      <c r="A907" s="1" t="s">
        <v>1</v>
      </c>
      <c r="F907" s="1" t="s">
        <v>40</v>
      </c>
    </row>
    <row r="909" spans="1:17" x14ac:dyDescent="0.2">
      <c r="A909" s="1" t="s">
        <v>3</v>
      </c>
      <c r="F909" s="1" t="s">
        <v>369</v>
      </c>
    </row>
    <row r="910" spans="1:17" x14ac:dyDescent="0.2">
      <c r="A910" s="1" t="s">
        <v>5</v>
      </c>
      <c r="F910" s="1" t="s">
        <v>204</v>
      </c>
    </row>
    <row r="913" spans="1:17" x14ac:dyDescent="0.2">
      <c r="C913" s="1" t="s">
        <v>6</v>
      </c>
      <c r="D913" s="1" t="s">
        <v>7</v>
      </c>
      <c r="E913" s="1" t="s">
        <v>8</v>
      </c>
      <c r="G913" s="1" t="s">
        <v>9</v>
      </c>
      <c r="H913" s="1" t="s">
        <v>10</v>
      </c>
      <c r="I913" s="1" t="s">
        <v>11</v>
      </c>
      <c r="J913" s="1" t="s">
        <v>12</v>
      </c>
      <c r="K913" s="1" t="s">
        <v>13</v>
      </c>
      <c r="L913" s="1" t="s">
        <v>14</v>
      </c>
      <c r="M913" s="1" t="s">
        <v>15</v>
      </c>
      <c r="N913" s="1" t="s">
        <v>16</v>
      </c>
      <c r="O913" s="1" t="s">
        <v>17</v>
      </c>
      <c r="P913" s="1" t="s">
        <v>18</v>
      </c>
      <c r="Q913" s="1" t="s">
        <v>19</v>
      </c>
    </row>
    <row r="915" spans="1:17" x14ac:dyDescent="0.2">
      <c r="D915" s="1" t="s">
        <v>43</v>
      </c>
      <c r="E915" s="1">
        <v>103327164</v>
      </c>
      <c r="G915" s="1" t="s">
        <v>123</v>
      </c>
      <c r="I915" s="1" t="s">
        <v>123</v>
      </c>
      <c r="K915" s="2">
        <v>1000000</v>
      </c>
      <c r="L915" s="1" t="s">
        <v>22</v>
      </c>
      <c r="N915" s="2">
        <v>1000000</v>
      </c>
      <c r="O915" s="1" t="s">
        <v>22</v>
      </c>
      <c r="P915" s="1" t="s">
        <v>370</v>
      </c>
      <c r="Q915" s="1">
        <v>1</v>
      </c>
    </row>
    <row r="916" spans="1:17" x14ac:dyDescent="0.2">
      <c r="D916" s="1" t="s">
        <v>43</v>
      </c>
      <c r="E916" s="1">
        <v>103327165</v>
      </c>
      <c r="G916" s="1" t="s">
        <v>123</v>
      </c>
      <c r="I916" s="1" t="s">
        <v>123</v>
      </c>
      <c r="K916" s="2">
        <v>3000000</v>
      </c>
      <c r="L916" s="1" t="s">
        <v>22</v>
      </c>
      <c r="N916" s="2">
        <v>3000000</v>
      </c>
      <c r="O916" s="1" t="s">
        <v>22</v>
      </c>
      <c r="P916" s="1" t="s">
        <v>371</v>
      </c>
      <c r="Q916" s="1">
        <v>1</v>
      </c>
    </row>
    <row r="917" spans="1:17" x14ac:dyDescent="0.2">
      <c r="D917" s="1" t="s">
        <v>43</v>
      </c>
      <c r="E917" s="1">
        <v>103327317</v>
      </c>
      <c r="G917" s="1" t="s">
        <v>90</v>
      </c>
      <c r="I917" s="1" t="s">
        <v>90</v>
      </c>
      <c r="K917" s="2">
        <v>3000000</v>
      </c>
      <c r="L917" s="1" t="s">
        <v>22</v>
      </c>
      <c r="N917" s="2">
        <v>3000000</v>
      </c>
      <c r="O917" s="1" t="s">
        <v>22</v>
      </c>
      <c r="P917" s="1" t="s">
        <v>372</v>
      </c>
      <c r="Q917" s="1">
        <v>1</v>
      </c>
    </row>
    <row r="919" spans="1:17" x14ac:dyDescent="0.2">
      <c r="B919" s="1" t="s">
        <v>25</v>
      </c>
      <c r="K919" s="2">
        <v>7000000</v>
      </c>
      <c r="L919" s="1" t="s">
        <v>22</v>
      </c>
      <c r="N919" s="2">
        <v>7000000</v>
      </c>
      <c r="O919" s="1" t="s">
        <v>22</v>
      </c>
    </row>
    <row r="921" spans="1:17" x14ac:dyDescent="0.2">
      <c r="A921" s="3"/>
      <c r="B921" s="3" t="s">
        <v>26</v>
      </c>
      <c r="C921" s="3" t="s">
        <v>373</v>
      </c>
      <c r="D921" s="3"/>
      <c r="E921" s="3"/>
      <c r="F921" s="3"/>
      <c r="G921" s="3"/>
      <c r="H921" s="3"/>
      <c r="I921" s="3"/>
      <c r="J921" s="3"/>
      <c r="K921" s="4">
        <v>7000000</v>
      </c>
      <c r="L921" s="3" t="s">
        <v>22</v>
      </c>
      <c r="M921" s="3"/>
      <c r="N921" s="4">
        <v>7000000</v>
      </c>
      <c r="O921" s="3" t="s">
        <v>22</v>
      </c>
      <c r="P921" s="3"/>
      <c r="Q921" s="3"/>
    </row>
    <row r="923" spans="1:17" x14ac:dyDescent="0.2">
      <c r="A923" s="1" t="s">
        <v>0</v>
      </c>
      <c r="F923" s="1">
        <v>501293</v>
      </c>
    </row>
    <row r="924" spans="1:17" x14ac:dyDescent="0.2">
      <c r="A924" s="1" t="s">
        <v>1</v>
      </c>
      <c r="F924" s="1" t="s">
        <v>40</v>
      </c>
    </row>
    <row r="926" spans="1:17" x14ac:dyDescent="0.2">
      <c r="A926" s="1" t="s">
        <v>3</v>
      </c>
      <c r="F926" s="1" t="s">
        <v>374</v>
      </c>
    </row>
    <row r="927" spans="1:17" x14ac:dyDescent="0.2">
      <c r="A927" s="1" t="s">
        <v>5</v>
      </c>
      <c r="F927" s="1" t="s">
        <v>70</v>
      </c>
    </row>
    <row r="930" spans="1:17" x14ac:dyDescent="0.2">
      <c r="C930" s="1" t="s">
        <v>6</v>
      </c>
      <c r="D930" s="1" t="s">
        <v>7</v>
      </c>
      <c r="E930" s="1" t="s">
        <v>8</v>
      </c>
      <c r="G930" s="1" t="s">
        <v>9</v>
      </c>
      <c r="H930" s="1" t="s">
        <v>10</v>
      </c>
      <c r="I930" s="1" t="s">
        <v>11</v>
      </c>
      <c r="J930" s="1" t="s">
        <v>12</v>
      </c>
      <c r="K930" s="1" t="s">
        <v>13</v>
      </c>
      <c r="L930" s="1" t="s">
        <v>14</v>
      </c>
      <c r="M930" s="1" t="s">
        <v>15</v>
      </c>
      <c r="N930" s="1" t="s">
        <v>16</v>
      </c>
      <c r="O930" s="1" t="s">
        <v>17</v>
      </c>
      <c r="P930" s="1" t="s">
        <v>18</v>
      </c>
      <c r="Q930" s="1" t="s">
        <v>19</v>
      </c>
    </row>
    <row r="932" spans="1:17" x14ac:dyDescent="0.2">
      <c r="D932" s="1" t="s">
        <v>43</v>
      </c>
      <c r="E932" s="1">
        <v>103327721</v>
      </c>
      <c r="G932" s="1" t="s">
        <v>64</v>
      </c>
      <c r="I932" s="1" t="s">
        <v>64</v>
      </c>
      <c r="K932" s="2">
        <v>1710900</v>
      </c>
      <c r="L932" s="1" t="s">
        <v>22</v>
      </c>
      <c r="N932" s="2">
        <v>1710900</v>
      </c>
      <c r="O932" s="1" t="s">
        <v>22</v>
      </c>
      <c r="P932" s="1" t="s">
        <v>375</v>
      </c>
      <c r="Q932" s="1">
        <v>1</v>
      </c>
    </row>
    <row r="933" spans="1:17" x14ac:dyDescent="0.2">
      <c r="D933" s="1" t="s">
        <v>43</v>
      </c>
      <c r="E933" s="1">
        <v>103327722</v>
      </c>
      <c r="G933" s="1" t="s">
        <v>64</v>
      </c>
      <c r="I933" s="1" t="s">
        <v>64</v>
      </c>
      <c r="K933" s="2">
        <v>1173540</v>
      </c>
      <c r="L933" s="1" t="s">
        <v>22</v>
      </c>
      <c r="N933" s="2">
        <v>1173540</v>
      </c>
      <c r="O933" s="1" t="s">
        <v>22</v>
      </c>
      <c r="P933" s="1" t="s">
        <v>376</v>
      </c>
      <c r="Q933" s="1">
        <v>1</v>
      </c>
    </row>
    <row r="935" spans="1:17" x14ac:dyDescent="0.2">
      <c r="B935" s="1" t="s">
        <v>25</v>
      </c>
      <c r="K935" s="2">
        <v>2884440</v>
      </c>
      <c r="L935" s="1" t="s">
        <v>22</v>
      </c>
      <c r="N935" s="2">
        <v>2884440</v>
      </c>
      <c r="O935" s="1" t="s">
        <v>22</v>
      </c>
    </row>
    <row r="937" spans="1:17" x14ac:dyDescent="0.2">
      <c r="A937" s="3"/>
      <c r="B937" s="3" t="s">
        <v>26</v>
      </c>
      <c r="C937" s="3" t="s">
        <v>377</v>
      </c>
      <c r="D937" s="3"/>
      <c r="E937" s="3"/>
      <c r="F937" s="3"/>
      <c r="G937" s="3"/>
      <c r="H937" s="3"/>
      <c r="I937" s="3"/>
      <c r="J937" s="3"/>
      <c r="K937" s="4">
        <v>2884440</v>
      </c>
      <c r="L937" s="3" t="s">
        <v>22</v>
      </c>
      <c r="M937" s="3"/>
      <c r="N937" s="4">
        <v>2884440</v>
      </c>
      <c r="O937" s="3" t="s">
        <v>22</v>
      </c>
      <c r="P937" s="3"/>
      <c r="Q937" s="3"/>
    </row>
    <row r="939" spans="1:17" x14ac:dyDescent="0.2">
      <c r="A939" s="1" t="s">
        <v>0</v>
      </c>
      <c r="F939" s="1">
        <v>501298</v>
      </c>
    </row>
    <row r="940" spans="1:17" x14ac:dyDescent="0.2">
      <c r="A940" s="1" t="s">
        <v>1</v>
      </c>
      <c r="F940" s="1" t="s">
        <v>40</v>
      </c>
    </row>
    <row r="942" spans="1:17" x14ac:dyDescent="0.2">
      <c r="A942" s="1" t="s">
        <v>3</v>
      </c>
      <c r="F942" s="1" t="s">
        <v>378</v>
      </c>
    </row>
    <row r="943" spans="1:17" x14ac:dyDescent="0.2">
      <c r="A943" s="1" t="s">
        <v>5</v>
      </c>
      <c r="F943" s="1" t="s">
        <v>379</v>
      </c>
    </row>
    <row r="946" spans="1:17" x14ac:dyDescent="0.2">
      <c r="C946" s="1" t="s">
        <v>6</v>
      </c>
      <c r="D946" s="1" t="s">
        <v>7</v>
      </c>
      <c r="E946" s="1" t="s">
        <v>8</v>
      </c>
      <c r="G946" s="1" t="s">
        <v>9</v>
      </c>
      <c r="H946" s="1" t="s">
        <v>10</v>
      </c>
      <c r="I946" s="1" t="s">
        <v>11</v>
      </c>
      <c r="J946" s="1" t="s">
        <v>12</v>
      </c>
      <c r="K946" s="1" t="s">
        <v>13</v>
      </c>
      <c r="L946" s="1" t="s">
        <v>14</v>
      </c>
      <c r="M946" s="1" t="s">
        <v>15</v>
      </c>
      <c r="N946" s="1" t="s">
        <v>16</v>
      </c>
      <c r="O946" s="1" t="s">
        <v>17</v>
      </c>
      <c r="P946" s="1" t="s">
        <v>18</v>
      </c>
      <c r="Q946" s="1" t="s">
        <v>19</v>
      </c>
    </row>
    <row r="948" spans="1:17" x14ac:dyDescent="0.2">
      <c r="D948" s="1" t="s">
        <v>43</v>
      </c>
      <c r="E948" s="1">
        <v>103327248</v>
      </c>
      <c r="G948" s="1" t="s">
        <v>54</v>
      </c>
      <c r="I948" s="1" t="s">
        <v>54</v>
      </c>
      <c r="K948" s="2">
        <v>1012768.55</v>
      </c>
      <c r="L948" s="1" t="s">
        <v>22</v>
      </c>
      <c r="N948" s="2">
        <v>246505.67</v>
      </c>
      <c r="O948" s="1" t="s">
        <v>31</v>
      </c>
      <c r="P948" s="1" t="s">
        <v>380</v>
      </c>
      <c r="Q948" s="1">
        <v>4.1085000000000003</v>
      </c>
    </row>
    <row r="949" spans="1:17" x14ac:dyDescent="0.2">
      <c r="D949" s="1" t="s">
        <v>43</v>
      </c>
      <c r="E949" s="1">
        <v>103327738</v>
      </c>
      <c r="G949" s="1" t="s">
        <v>61</v>
      </c>
      <c r="I949" s="1" t="s">
        <v>61</v>
      </c>
      <c r="K949" s="2">
        <v>430986.2</v>
      </c>
      <c r="L949" s="1" t="s">
        <v>22</v>
      </c>
      <c r="N949" s="2">
        <v>105440.05</v>
      </c>
      <c r="O949" s="1" t="s">
        <v>31</v>
      </c>
      <c r="P949" s="1" t="s">
        <v>381</v>
      </c>
      <c r="Q949" s="1">
        <v>4.0875000000000004</v>
      </c>
    </row>
    <row r="951" spans="1:17" x14ac:dyDescent="0.2">
      <c r="B951" s="1" t="s">
        <v>25</v>
      </c>
      <c r="K951" s="2">
        <v>1443754.75</v>
      </c>
      <c r="L951" s="1" t="s">
        <v>22</v>
      </c>
      <c r="N951" s="2">
        <v>351945.72</v>
      </c>
      <c r="O951" s="1" t="s">
        <v>31</v>
      </c>
    </row>
    <row r="953" spans="1:17" x14ac:dyDescent="0.2">
      <c r="A953" s="3"/>
      <c r="B953" s="3" t="s">
        <v>26</v>
      </c>
      <c r="C953" s="3" t="s">
        <v>382</v>
      </c>
      <c r="D953" s="3"/>
      <c r="E953" s="3"/>
      <c r="F953" s="3"/>
      <c r="G953" s="3"/>
      <c r="H953" s="3"/>
      <c r="I953" s="3"/>
      <c r="J953" s="3"/>
      <c r="K953" s="4">
        <v>1443754.75</v>
      </c>
      <c r="L953" s="3" t="s">
        <v>22</v>
      </c>
      <c r="M953" s="3"/>
      <c r="N953" s="4">
        <v>351945.72</v>
      </c>
      <c r="O953" s="3" t="s">
        <v>31</v>
      </c>
      <c r="P953" s="3"/>
      <c r="Q953" s="3"/>
    </row>
    <row r="955" spans="1:17" x14ac:dyDescent="0.2">
      <c r="A955" s="1" t="s">
        <v>0</v>
      </c>
      <c r="F955" s="1">
        <v>501309</v>
      </c>
    </row>
    <row r="956" spans="1:17" x14ac:dyDescent="0.2">
      <c r="A956" s="1" t="s">
        <v>1</v>
      </c>
      <c r="F956" s="1" t="s">
        <v>40</v>
      </c>
    </row>
    <row r="958" spans="1:17" x14ac:dyDescent="0.2">
      <c r="A958" s="1" t="s">
        <v>3</v>
      </c>
      <c r="F958" s="1" t="s">
        <v>383</v>
      </c>
    </row>
    <row r="959" spans="1:17" x14ac:dyDescent="0.2">
      <c r="A959" s="1" t="s">
        <v>5</v>
      </c>
      <c r="F959" s="1" t="s">
        <v>384</v>
      </c>
    </row>
    <row r="962" spans="1:17" x14ac:dyDescent="0.2">
      <c r="C962" s="1" t="s">
        <v>6</v>
      </c>
      <c r="D962" s="1" t="s">
        <v>7</v>
      </c>
      <c r="E962" s="1" t="s">
        <v>8</v>
      </c>
      <c r="G962" s="1" t="s">
        <v>9</v>
      </c>
      <c r="H962" s="1" t="s">
        <v>10</v>
      </c>
      <c r="I962" s="1" t="s">
        <v>11</v>
      </c>
      <c r="J962" s="1" t="s">
        <v>12</v>
      </c>
      <c r="K962" s="1" t="s">
        <v>13</v>
      </c>
      <c r="L962" s="1" t="s">
        <v>14</v>
      </c>
      <c r="M962" s="1" t="s">
        <v>15</v>
      </c>
      <c r="N962" s="1" t="s">
        <v>16</v>
      </c>
      <c r="O962" s="1" t="s">
        <v>17</v>
      </c>
      <c r="P962" s="1" t="s">
        <v>18</v>
      </c>
      <c r="Q962" s="1" t="s">
        <v>19</v>
      </c>
    </row>
    <row r="964" spans="1:17" x14ac:dyDescent="0.2">
      <c r="D964" s="1" t="s">
        <v>43</v>
      </c>
      <c r="E964" s="1">
        <v>103327750</v>
      </c>
      <c r="G964" s="1" t="s">
        <v>113</v>
      </c>
      <c r="I964" s="1" t="s">
        <v>113</v>
      </c>
      <c r="K964" s="2">
        <v>1558908.16</v>
      </c>
      <c r="L964" s="1" t="s">
        <v>22</v>
      </c>
      <c r="N964" s="2">
        <v>1558908.16</v>
      </c>
      <c r="O964" s="1" t="s">
        <v>22</v>
      </c>
      <c r="P964" s="1" t="s">
        <v>385</v>
      </c>
      <c r="Q964" s="1">
        <v>1</v>
      </c>
    </row>
    <row r="965" spans="1:17" x14ac:dyDescent="0.2">
      <c r="D965" s="1" t="s">
        <v>43</v>
      </c>
      <c r="E965" s="1">
        <v>103342832</v>
      </c>
      <c r="G965" s="1" t="s">
        <v>88</v>
      </c>
      <c r="I965" s="1" t="s">
        <v>88</v>
      </c>
      <c r="K965" s="2">
        <v>8990838.9800000004</v>
      </c>
      <c r="L965" s="1" t="s">
        <v>22</v>
      </c>
      <c r="N965" s="2">
        <v>8990838.9800000004</v>
      </c>
      <c r="O965" s="1" t="s">
        <v>22</v>
      </c>
      <c r="P965" s="1" t="s">
        <v>386</v>
      </c>
      <c r="Q965" s="1">
        <v>1</v>
      </c>
    </row>
    <row r="967" spans="1:17" x14ac:dyDescent="0.2">
      <c r="B967" s="1" t="s">
        <v>25</v>
      </c>
      <c r="K967" s="2">
        <v>10549747.140000001</v>
      </c>
      <c r="L967" s="1" t="s">
        <v>22</v>
      </c>
      <c r="N967" s="2">
        <v>10549747.140000001</v>
      </c>
      <c r="O967" s="1" t="s">
        <v>22</v>
      </c>
    </row>
    <row r="969" spans="1:17" x14ac:dyDescent="0.2">
      <c r="A969" s="3"/>
      <c r="B969" s="3" t="s">
        <v>26</v>
      </c>
      <c r="C969" s="3" t="s">
        <v>387</v>
      </c>
      <c r="D969" s="3"/>
      <c r="E969" s="3"/>
      <c r="F969" s="3"/>
      <c r="G969" s="3"/>
      <c r="H969" s="3"/>
      <c r="I969" s="3"/>
      <c r="J969" s="3"/>
      <c r="K969" s="4">
        <v>10549747.140000001</v>
      </c>
      <c r="L969" s="3" t="s">
        <v>22</v>
      </c>
      <c r="M969" s="3"/>
      <c r="N969" s="4">
        <v>10549747.140000001</v>
      </c>
      <c r="O969" s="3" t="s">
        <v>22</v>
      </c>
      <c r="P969" s="3"/>
      <c r="Q969" s="3"/>
    </row>
    <row r="971" spans="1:17" x14ac:dyDescent="0.2">
      <c r="A971" s="1" t="s">
        <v>0</v>
      </c>
      <c r="F971" s="1">
        <v>501310</v>
      </c>
    </row>
    <row r="972" spans="1:17" x14ac:dyDescent="0.2">
      <c r="A972" s="1" t="s">
        <v>1</v>
      </c>
      <c r="F972" s="1" t="s">
        <v>40</v>
      </c>
    </row>
    <row r="974" spans="1:17" x14ac:dyDescent="0.2">
      <c r="A974" s="1" t="s">
        <v>3</v>
      </c>
      <c r="F974" s="1" t="s">
        <v>388</v>
      </c>
    </row>
    <row r="975" spans="1:17" x14ac:dyDescent="0.2">
      <c r="A975" s="1" t="s">
        <v>5</v>
      </c>
      <c r="F975" s="1" t="s">
        <v>204</v>
      </c>
    </row>
    <row r="978" spans="1:17" x14ac:dyDescent="0.2">
      <c r="C978" s="1" t="s">
        <v>6</v>
      </c>
      <c r="D978" s="1" t="s">
        <v>7</v>
      </c>
      <c r="E978" s="1" t="s">
        <v>8</v>
      </c>
      <c r="G978" s="1" t="s">
        <v>9</v>
      </c>
      <c r="H978" s="1" t="s">
        <v>10</v>
      </c>
      <c r="I978" s="1" t="s">
        <v>11</v>
      </c>
      <c r="J978" s="1" t="s">
        <v>12</v>
      </c>
      <c r="K978" s="1" t="s">
        <v>13</v>
      </c>
      <c r="L978" s="1" t="s">
        <v>14</v>
      </c>
      <c r="M978" s="1" t="s">
        <v>15</v>
      </c>
      <c r="N978" s="1" t="s">
        <v>16</v>
      </c>
      <c r="O978" s="1" t="s">
        <v>17</v>
      </c>
      <c r="P978" s="1" t="s">
        <v>18</v>
      </c>
      <c r="Q978" s="1" t="s">
        <v>19</v>
      </c>
    </row>
    <row r="980" spans="1:17" x14ac:dyDescent="0.2">
      <c r="D980" s="1" t="s">
        <v>43</v>
      </c>
      <c r="E980" s="1">
        <v>103327237</v>
      </c>
      <c r="G980" s="1" t="s">
        <v>48</v>
      </c>
      <c r="I980" s="1" t="s">
        <v>48</v>
      </c>
      <c r="K980" s="2">
        <v>239202.77</v>
      </c>
      <c r="L980" s="1" t="s">
        <v>22</v>
      </c>
      <c r="N980" s="2">
        <v>239202.77</v>
      </c>
      <c r="O980" s="1" t="s">
        <v>22</v>
      </c>
      <c r="P980" s="1" t="s">
        <v>389</v>
      </c>
      <c r="Q980" s="1">
        <v>1</v>
      </c>
    </row>
    <row r="982" spans="1:17" x14ac:dyDescent="0.2">
      <c r="B982" s="1" t="s">
        <v>25</v>
      </c>
      <c r="K982" s="2">
        <v>239202.77</v>
      </c>
      <c r="L982" s="1" t="s">
        <v>22</v>
      </c>
      <c r="N982" s="2">
        <v>239202.77</v>
      </c>
      <c r="O982" s="1" t="s">
        <v>22</v>
      </c>
    </row>
    <row r="984" spans="1:17" x14ac:dyDescent="0.2">
      <c r="A984" s="3"/>
      <c r="B984" s="3" t="s">
        <v>26</v>
      </c>
      <c r="C984" s="3" t="s">
        <v>390</v>
      </c>
      <c r="D984" s="3"/>
      <c r="E984" s="3"/>
      <c r="F984" s="3"/>
      <c r="G984" s="3"/>
      <c r="H984" s="3"/>
      <c r="I984" s="3"/>
      <c r="J984" s="3"/>
      <c r="K984" s="4">
        <v>239202.77</v>
      </c>
      <c r="L984" s="3" t="s">
        <v>22</v>
      </c>
      <c r="M984" s="3"/>
      <c r="N984" s="4">
        <v>239202.77</v>
      </c>
      <c r="O984" s="3" t="s">
        <v>22</v>
      </c>
      <c r="P984" s="3"/>
      <c r="Q984" s="3"/>
    </row>
    <row r="986" spans="1:17" x14ac:dyDescent="0.2">
      <c r="A986" s="1" t="s">
        <v>0</v>
      </c>
      <c r="F986" s="1">
        <v>501315</v>
      </c>
    </row>
    <row r="987" spans="1:17" x14ac:dyDescent="0.2">
      <c r="A987" s="1" t="s">
        <v>1</v>
      </c>
      <c r="F987" s="1" t="s">
        <v>40</v>
      </c>
    </row>
    <row r="989" spans="1:17" x14ac:dyDescent="0.2">
      <c r="A989" s="1" t="s">
        <v>3</v>
      </c>
      <c r="F989" s="1" t="s">
        <v>391</v>
      </c>
    </row>
    <row r="990" spans="1:17" x14ac:dyDescent="0.2">
      <c r="A990" s="1" t="s">
        <v>5</v>
      </c>
      <c r="F990" s="1" t="s">
        <v>392</v>
      </c>
    </row>
    <row r="993" spans="1:17" x14ac:dyDescent="0.2">
      <c r="C993" s="1" t="s">
        <v>6</v>
      </c>
      <c r="D993" s="1" t="s">
        <v>7</v>
      </c>
      <c r="E993" s="1" t="s">
        <v>8</v>
      </c>
      <c r="G993" s="1" t="s">
        <v>9</v>
      </c>
      <c r="H993" s="1" t="s">
        <v>10</v>
      </c>
      <c r="I993" s="1" t="s">
        <v>11</v>
      </c>
      <c r="J993" s="1" t="s">
        <v>12</v>
      </c>
      <c r="K993" s="1" t="s">
        <v>13</v>
      </c>
      <c r="L993" s="1" t="s">
        <v>14</v>
      </c>
      <c r="M993" s="1" t="s">
        <v>15</v>
      </c>
      <c r="N993" s="1" t="s">
        <v>16</v>
      </c>
      <c r="O993" s="1" t="s">
        <v>17</v>
      </c>
      <c r="P993" s="1" t="s">
        <v>18</v>
      </c>
      <c r="Q993" s="1" t="s">
        <v>19</v>
      </c>
    </row>
    <row r="995" spans="1:17" x14ac:dyDescent="0.2">
      <c r="D995" s="1" t="s">
        <v>43</v>
      </c>
      <c r="E995" s="1">
        <v>103327735</v>
      </c>
      <c r="G995" s="1" t="s">
        <v>61</v>
      </c>
      <c r="I995" s="1" t="s">
        <v>61</v>
      </c>
      <c r="K995" s="2">
        <v>1466880</v>
      </c>
      <c r="L995" s="1" t="s">
        <v>22</v>
      </c>
      <c r="N995" s="2">
        <v>1466880</v>
      </c>
      <c r="O995" s="1" t="s">
        <v>22</v>
      </c>
      <c r="P995" s="1" t="s">
        <v>393</v>
      </c>
      <c r="Q995" s="1">
        <v>1</v>
      </c>
    </row>
    <row r="997" spans="1:17" x14ac:dyDescent="0.2">
      <c r="B997" s="1" t="s">
        <v>25</v>
      </c>
      <c r="K997" s="2">
        <v>1466880</v>
      </c>
      <c r="L997" s="1" t="s">
        <v>22</v>
      </c>
      <c r="N997" s="2">
        <v>1466880</v>
      </c>
      <c r="O997" s="1" t="s">
        <v>22</v>
      </c>
    </row>
    <row r="999" spans="1:17" x14ac:dyDescent="0.2">
      <c r="A999" s="3"/>
      <c r="B999" s="3" t="s">
        <v>26</v>
      </c>
      <c r="C999" s="3" t="s">
        <v>394</v>
      </c>
      <c r="D999" s="3"/>
      <c r="E999" s="3"/>
      <c r="F999" s="3"/>
      <c r="G999" s="3"/>
      <c r="H999" s="3"/>
      <c r="I999" s="3"/>
      <c r="J999" s="3"/>
      <c r="K999" s="4">
        <v>1466880</v>
      </c>
      <c r="L999" s="3" t="s">
        <v>22</v>
      </c>
      <c r="M999" s="3"/>
      <c r="N999" s="4">
        <v>1466880</v>
      </c>
      <c r="O999" s="3" t="s">
        <v>22</v>
      </c>
      <c r="P999" s="3"/>
      <c r="Q999" s="3"/>
    </row>
    <row r="1001" spans="1:17" x14ac:dyDescent="0.2">
      <c r="A1001" s="1" t="s">
        <v>0</v>
      </c>
      <c r="F1001" s="1">
        <v>501316</v>
      </c>
    </row>
    <row r="1002" spans="1:17" x14ac:dyDescent="0.2">
      <c r="A1002" s="1" t="s">
        <v>1</v>
      </c>
      <c r="F1002" s="1" t="s">
        <v>40</v>
      </c>
    </row>
    <row r="1004" spans="1:17" x14ac:dyDescent="0.2">
      <c r="A1004" s="1" t="s">
        <v>3</v>
      </c>
      <c r="F1004" s="1" t="s">
        <v>391</v>
      </c>
    </row>
    <row r="1005" spans="1:17" x14ac:dyDescent="0.2">
      <c r="A1005" s="1" t="s">
        <v>5</v>
      </c>
      <c r="F1005" s="1" t="s">
        <v>395</v>
      </c>
    </row>
    <row r="1008" spans="1:17" x14ac:dyDescent="0.2">
      <c r="C1008" s="1" t="s">
        <v>6</v>
      </c>
      <c r="D1008" s="1" t="s">
        <v>7</v>
      </c>
      <c r="E1008" s="1" t="s">
        <v>8</v>
      </c>
      <c r="G1008" s="1" t="s">
        <v>9</v>
      </c>
      <c r="H1008" s="1" t="s">
        <v>10</v>
      </c>
      <c r="I1008" s="1" t="s">
        <v>11</v>
      </c>
      <c r="J1008" s="1" t="s">
        <v>12</v>
      </c>
      <c r="K1008" s="1" t="s">
        <v>13</v>
      </c>
      <c r="L1008" s="1" t="s">
        <v>14</v>
      </c>
      <c r="M1008" s="1" t="s">
        <v>15</v>
      </c>
      <c r="N1008" s="1" t="s">
        <v>16</v>
      </c>
      <c r="O1008" s="1" t="s">
        <v>17</v>
      </c>
      <c r="P1008" s="1" t="s">
        <v>18</v>
      </c>
      <c r="Q1008" s="1" t="s">
        <v>19</v>
      </c>
    </row>
    <row r="1010" spans="1:17" x14ac:dyDescent="0.2">
      <c r="D1010" s="1" t="s">
        <v>43</v>
      </c>
      <c r="E1010" s="1">
        <v>103327736</v>
      </c>
      <c r="G1010" s="1" t="s">
        <v>61</v>
      </c>
      <c r="I1010" s="1" t="s">
        <v>61</v>
      </c>
      <c r="K1010" s="2">
        <v>2200320</v>
      </c>
      <c r="L1010" s="1" t="s">
        <v>22</v>
      </c>
      <c r="N1010" s="2">
        <v>2200320</v>
      </c>
      <c r="O1010" s="1" t="s">
        <v>22</v>
      </c>
      <c r="P1010" s="1" t="s">
        <v>396</v>
      </c>
      <c r="Q1010" s="1">
        <v>1</v>
      </c>
    </row>
    <row r="1012" spans="1:17" x14ac:dyDescent="0.2">
      <c r="B1012" s="1" t="s">
        <v>25</v>
      </c>
      <c r="K1012" s="2">
        <v>2200320</v>
      </c>
      <c r="L1012" s="1" t="s">
        <v>22</v>
      </c>
      <c r="N1012" s="2">
        <v>2200320</v>
      </c>
      <c r="O1012" s="1" t="s">
        <v>22</v>
      </c>
    </row>
    <row r="1014" spans="1:17" x14ac:dyDescent="0.2">
      <c r="A1014" s="3"/>
      <c r="B1014" s="3" t="s">
        <v>26</v>
      </c>
      <c r="C1014" s="3" t="s">
        <v>397</v>
      </c>
      <c r="D1014" s="3"/>
      <c r="E1014" s="3"/>
      <c r="F1014" s="3"/>
      <c r="G1014" s="3"/>
      <c r="H1014" s="3"/>
      <c r="I1014" s="3"/>
      <c r="J1014" s="3"/>
      <c r="K1014" s="4">
        <v>2200320</v>
      </c>
      <c r="L1014" s="3" t="s">
        <v>22</v>
      </c>
      <c r="M1014" s="3"/>
      <c r="N1014" s="4">
        <v>2200320</v>
      </c>
      <c r="O1014" s="3" t="s">
        <v>22</v>
      </c>
      <c r="P1014" s="3"/>
      <c r="Q1014" s="3"/>
    </row>
    <row r="1016" spans="1:17" x14ac:dyDescent="0.2">
      <c r="A1016" s="1" t="s">
        <v>0</v>
      </c>
      <c r="F1016" s="1">
        <v>501317</v>
      </c>
    </row>
    <row r="1017" spans="1:17" x14ac:dyDescent="0.2">
      <c r="A1017" s="1" t="s">
        <v>1</v>
      </c>
      <c r="F1017" s="1" t="s">
        <v>40</v>
      </c>
    </row>
    <row r="1019" spans="1:17" x14ac:dyDescent="0.2">
      <c r="A1019" s="1" t="s">
        <v>3</v>
      </c>
      <c r="F1019" s="1" t="s">
        <v>120</v>
      </c>
    </row>
    <row r="1020" spans="1:17" x14ac:dyDescent="0.2">
      <c r="A1020" s="1" t="s">
        <v>5</v>
      </c>
      <c r="F1020" s="1" t="s">
        <v>204</v>
      </c>
    </row>
    <row r="1023" spans="1:17" x14ac:dyDescent="0.2">
      <c r="C1023" s="1" t="s">
        <v>6</v>
      </c>
      <c r="D1023" s="1" t="s">
        <v>7</v>
      </c>
      <c r="E1023" s="1" t="s">
        <v>8</v>
      </c>
      <c r="G1023" s="1" t="s">
        <v>9</v>
      </c>
      <c r="H1023" s="1" t="s">
        <v>10</v>
      </c>
      <c r="I1023" s="1" t="s">
        <v>11</v>
      </c>
      <c r="J1023" s="1" t="s">
        <v>12</v>
      </c>
      <c r="K1023" s="1" t="s">
        <v>13</v>
      </c>
      <c r="L1023" s="1" t="s">
        <v>14</v>
      </c>
      <c r="M1023" s="1" t="s">
        <v>15</v>
      </c>
      <c r="N1023" s="1" t="s">
        <v>16</v>
      </c>
      <c r="O1023" s="1" t="s">
        <v>17</v>
      </c>
      <c r="P1023" s="1" t="s">
        <v>18</v>
      </c>
      <c r="Q1023" s="1" t="s">
        <v>19</v>
      </c>
    </row>
    <row r="1025" spans="1:17" x14ac:dyDescent="0.2">
      <c r="D1025" s="1" t="s">
        <v>43</v>
      </c>
      <c r="E1025" s="1">
        <v>103327291</v>
      </c>
      <c r="G1025" s="1" t="s">
        <v>88</v>
      </c>
      <c r="I1025" s="1" t="s">
        <v>88</v>
      </c>
      <c r="K1025" s="2">
        <v>2688889.81</v>
      </c>
      <c r="L1025" s="1" t="s">
        <v>22</v>
      </c>
      <c r="N1025" s="2">
        <v>657751.91</v>
      </c>
      <c r="O1025" s="1" t="s">
        <v>31</v>
      </c>
      <c r="P1025" s="1" t="s">
        <v>398</v>
      </c>
      <c r="Q1025" s="1">
        <v>4.0880000000000001</v>
      </c>
    </row>
    <row r="1026" spans="1:17" x14ac:dyDescent="0.2">
      <c r="D1026" s="1" t="s">
        <v>43</v>
      </c>
      <c r="E1026" s="1">
        <v>103327564</v>
      </c>
      <c r="G1026" s="1" t="s">
        <v>77</v>
      </c>
      <c r="I1026" s="1" t="s">
        <v>77</v>
      </c>
      <c r="K1026" s="2">
        <v>1174411.52</v>
      </c>
      <c r="L1026" s="1" t="s">
        <v>22</v>
      </c>
      <c r="N1026" s="2">
        <v>289263.92</v>
      </c>
      <c r="O1026" s="1" t="s">
        <v>31</v>
      </c>
      <c r="P1026" s="1" t="s">
        <v>399</v>
      </c>
      <c r="Q1026" s="1">
        <v>4.0599999999999996</v>
      </c>
    </row>
    <row r="1028" spans="1:17" x14ac:dyDescent="0.2">
      <c r="B1028" s="1" t="s">
        <v>25</v>
      </c>
      <c r="K1028" s="2">
        <v>3863301.33</v>
      </c>
      <c r="L1028" s="1" t="s">
        <v>22</v>
      </c>
      <c r="N1028" s="2">
        <v>947015.83</v>
      </c>
      <c r="O1028" s="1" t="s">
        <v>31</v>
      </c>
    </row>
    <row r="1030" spans="1:17" x14ac:dyDescent="0.2">
      <c r="A1030" s="3"/>
      <c r="B1030" s="3" t="s">
        <v>26</v>
      </c>
      <c r="C1030" s="3" t="s">
        <v>400</v>
      </c>
      <c r="D1030" s="3"/>
      <c r="E1030" s="3"/>
      <c r="F1030" s="3"/>
      <c r="G1030" s="3"/>
      <c r="H1030" s="3"/>
      <c r="I1030" s="3"/>
      <c r="J1030" s="3"/>
      <c r="K1030" s="4">
        <v>3863301.33</v>
      </c>
      <c r="L1030" s="3" t="s">
        <v>22</v>
      </c>
      <c r="M1030" s="3"/>
      <c r="N1030" s="4">
        <v>947015.83</v>
      </c>
      <c r="O1030" s="3" t="s">
        <v>31</v>
      </c>
      <c r="P1030" s="3"/>
      <c r="Q1030" s="3"/>
    </row>
    <row r="1032" spans="1:17" x14ac:dyDescent="0.2">
      <c r="A1032" s="1" t="s">
        <v>0</v>
      </c>
      <c r="F1032" s="1">
        <v>501318</v>
      </c>
    </row>
    <row r="1033" spans="1:17" x14ac:dyDescent="0.2">
      <c r="A1033" s="1" t="s">
        <v>1</v>
      </c>
      <c r="F1033" s="1" t="s">
        <v>40</v>
      </c>
    </row>
    <row r="1035" spans="1:17" x14ac:dyDescent="0.2">
      <c r="A1035" s="1" t="s">
        <v>3</v>
      </c>
      <c r="F1035" s="1" t="s">
        <v>374</v>
      </c>
    </row>
    <row r="1036" spans="1:17" x14ac:dyDescent="0.2">
      <c r="A1036" s="1" t="s">
        <v>5</v>
      </c>
      <c r="F1036" s="1" t="s">
        <v>204</v>
      </c>
    </row>
    <row r="1039" spans="1:17" x14ac:dyDescent="0.2">
      <c r="C1039" s="1" t="s">
        <v>6</v>
      </c>
      <c r="D1039" s="1" t="s">
        <v>7</v>
      </c>
      <c r="E1039" s="1" t="s">
        <v>8</v>
      </c>
      <c r="G1039" s="1" t="s">
        <v>9</v>
      </c>
      <c r="H1039" s="1" t="s">
        <v>10</v>
      </c>
      <c r="I1039" s="1" t="s">
        <v>11</v>
      </c>
      <c r="J1039" s="1" t="s">
        <v>12</v>
      </c>
      <c r="K1039" s="1" t="s">
        <v>13</v>
      </c>
      <c r="L1039" s="1" t="s">
        <v>14</v>
      </c>
      <c r="M1039" s="1" t="s">
        <v>15</v>
      </c>
      <c r="N1039" s="1" t="s">
        <v>16</v>
      </c>
      <c r="O1039" s="1" t="s">
        <v>17</v>
      </c>
      <c r="P1039" s="1" t="s">
        <v>18</v>
      </c>
      <c r="Q1039" s="1" t="s">
        <v>19</v>
      </c>
    </row>
    <row r="1041" spans="1:17" x14ac:dyDescent="0.2">
      <c r="D1041" s="1" t="s">
        <v>43</v>
      </c>
      <c r="E1041" s="1">
        <v>103327292</v>
      </c>
      <c r="G1041" s="1" t="s">
        <v>113</v>
      </c>
      <c r="I1041" s="1" t="s">
        <v>113</v>
      </c>
      <c r="K1041" s="2">
        <v>1710000</v>
      </c>
      <c r="L1041" s="1" t="s">
        <v>22</v>
      </c>
      <c r="N1041" s="2">
        <v>1710000</v>
      </c>
      <c r="O1041" s="1" t="s">
        <v>22</v>
      </c>
      <c r="P1041" s="1" t="s">
        <v>401</v>
      </c>
      <c r="Q1041" s="1">
        <v>1</v>
      </c>
    </row>
    <row r="1043" spans="1:17" x14ac:dyDescent="0.2">
      <c r="B1043" s="1" t="s">
        <v>25</v>
      </c>
      <c r="K1043" s="2">
        <v>1710000</v>
      </c>
      <c r="L1043" s="1" t="s">
        <v>22</v>
      </c>
      <c r="N1043" s="2">
        <v>1710000</v>
      </c>
      <c r="O1043" s="1" t="s">
        <v>22</v>
      </c>
    </row>
    <row r="1045" spans="1:17" x14ac:dyDescent="0.2">
      <c r="A1045" s="3"/>
      <c r="B1045" s="3" t="s">
        <v>26</v>
      </c>
      <c r="C1045" s="3" t="s">
        <v>402</v>
      </c>
      <c r="D1045" s="3"/>
      <c r="E1045" s="3"/>
      <c r="F1045" s="3"/>
      <c r="G1045" s="3"/>
      <c r="H1045" s="3"/>
      <c r="I1045" s="3"/>
      <c r="J1045" s="3"/>
      <c r="K1045" s="4">
        <v>1710000</v>
      </c>
      <c r="L1045" s="3" t="s">
        <v>22</v>
      </c>
      <c r="M1045" s="3"/>
      <c r="N1045" s="4">
        <v>1710000</v>
      </c>
      <c r="O1045" s="3" t="s">
        <v>22</v>
      </c>
      <c r="P1045" s="3"/>
      <c r="Q1045" s="3"/>
    </row>
    <row r="1047" spans="1:17" x14ac:dyDescent="0.2">
      <c r="A1047" s="1" t="s">
        <v>0</v>
      </c>
      <c r="F1047" s="1">
        <v>501319</v>
      </c>
    </row>
    <row r="1048" spans="1:17" x14ac:dyDescent="0.2">
      <c r="A1048" s="1" t="s">
        <v>1</v>
      </c>
      <c r="F1048" s="1" t="s">
        <v>40</v>
      </c>
    </row>
    <row r="1050" spans="1:17" x14ac:dyDescent="0.2">
      <c r="A1050" s="1" t="s">
        <v>3</v>
      </c>
      <c r="F1050" s="1" t="s">
        <v>403</v>
      </c>
    </row>
    <row r="1051" spans="1:17" x14ac:dyDescent="0.2">
      <c r="A1051" s="1" t="s">
        <v>5</v>
      </c>
      <c r="F1051" s="1" t="s">
        <v>282</v>
      </c>
    </row>
    <row r="1054" spans="1:17" x14ac:dyDescent="0.2">
      <c r="C1054" s="1" t="s">
        <v>6</v>
      </c>
      <c r="D1054" s="1" t="s">
        <v>7</v>
      </c>
      <c r="E1054" s="1" t="s">
        <v>8</v>
      </c>
      <c r="G1054" s="1" t="s">
        <v>9</v>
      </c>
      <c r="H1054" s="1" t="s">
        <v>10</v>
      </c>
      <c r="I1054" s="1" t="s">
        <v>11</v>
      </c>
      <c r="J1054" s="1" t="s">
        <v>12</v>
      </c>
      <c r="K1054" s="1" t="s">
        <v>13</v>
      </c>
      <c r="L1054" s="1" t="s">
        <v>14</v>
      </c>
      <c r="M1054" s="1" t="s">
        <v>15</v>
      </c>
      <c r="N1054" s="1" t="s">
        <v>16</v>
      </c>
      <c r="O1054" s="1" t="s">
        <v>17</v>
      </c>
      <c r="P1054" s="1" t="s">
        <v>18</v>
      </c>
      <c r="Q1054" s="1" t="s">
        <v>19</v>
      </c>
    </row>
    <row r="1056" spans="1:17" x14ac:dyDescent="0.2">
      <c r="D1056" s="1" t="s">
        <v>43</v>
      </c>
      <c r="E1056" s="1">
        <v>103327751</v>
      </c>
      <c r="G1056" s="1" t="s">
        <v>113</v>
      </c>
      <c r="I1056" s="1" t="s">
        <v>113</v>
      </c>
      <c r="K1056" s="2">
        <v>3985949.11</v>
      </c>
      <c r="L1056" s="1" t="s">
        <v>22</v>
      </c>
      <c r="N1056" s="2">
        <v>977787.1</v>
      </c>
      <c r="O1056" s="1" t="s">
        <v>31</v>
      </c>
      <c r="P1056" s="1" t="s">
        <v>404</v>
      </c>
      <c r="Q1056" s="1">
        <v>4.0765000000000002</v>
      </c>
    </row>
    <row r="1057" spans="1:17" x14ac:dyDescent="0.2">
      <c r="D1057" s="1" t="s">
        <v>43</v>
      </c>
      <c r="E1057" s="1">
        <v>103327752</v>
      </c>
      <c r="G1057" s="1" t="s">
        <v>36</v>
      </c>
      <c r="I1057" s="1" t="s">
        <v>36</v>
      </c>
      <c r="K1057" s="2">
        <v>4510858.2</v>
      </c>
      <c r="L1057" s="1" t="s">
        <v>22</v>
      </c>
      <c r="N1057" s="2">
        <v>1114342.44</v>
      </c>
      <c r="O1057" s="1" t="s">
        <v>31</v>
      </c>
      <c r="P1057" s="1" t="s">
        <v>405</v>
      </c>
      <c r="Q1057" s="1">
        <v>4.048</v>
      </c>
    </row>
    <row r="1058" spans="1:17" x14ac:dyDescent="0.2">
      <c r="D1058" s="1" t="s">
        <v>43</v>
      </c>
      <c r="E1058" s="1">
        <v>103327758</v>
      </c>
      <c r="G1058" s="1" t="s">
        <v>66</v>
      </c>
      <c r="I1058" s="1" t="s">
        <v>66</v>
      </c>
      <c r="K1058" s="2">
        <v>1082256.5</v>
      </c>
      <c r="L1058" s="1" t="s">
        <v>22</v>
      </c>
      <c r="N1058" s="2">
        <v>266500</v>
      </c>
      <c r="O1058" s="1" t="s">
        <v>31</v>
      </c>
      <c r="P1058" s="1" t="s">
        <v>406</v>
      </c>
      <c r="Q1058" s="1">
        <v>4.0609999999999999</v>
      </c>
    </row>
    <row r="1060" spans="1:17" x14ac:dyDescent="0.2">
      <c r="B1060" s="1" t="s">
        <v>25</v>
      </c>
      <c r="K1060" s="2">
        <v>9579063.8100000005</v>
      </c>
      <c r="L1060" s="1" t="s">
        <v>22</v>
      </c>
      <c r="N1060" s="2">
        <v>2358629.54</v>
      </c>
      <c r="O1060" s="1" t="s">
        <v>31</v>
      </c>
    </row>
    <row r="1062" spans="1:17" x14ac:dyDescent="0.2">
      <c r="A1062" s="3"/>
      <c r="B1062" s="3" t="s">
        <v>26</v>
      </c>
      <c r="C1062" s="3" t="s">
        <v>407</v>
      </c>
      <c r="D1062" s="3"/>
      <c r="E1062" s="3"/>
      <c r="F1062" s="3"/>
      <c r="G1062" s="3"/>
      <c r="H1062" s="3"/>
      <c r="I1062" s="3"/>
      <c r="J1062" s="3"/>
      <c r="K1062" s="4">
        <v>9579063.8100000005</v>
      </c>
      <c r="L1062" s="3" t="s">
        <v>22</v>
      </c>
      <c r="M1062" s="3"/>
      <c r="N1062" s="4">
        <v>2358629.54</v>
      </c>
      <c r="O1062" s="3" t="s">
        <v>31</v>
      </c>
      <c r="P1062" s="3"/>
      <c r="Q1062" s="3"/>
    </row>
    <row r="1064" spans="1:17" x14ac:dyDescent="0.2">
      <c r="A1064" s="1" t="s">
        <v>0</v>
      </c>
      <c r="F1064" s="1">
        <v>501320</v>
      </c>
    </row>
    <row r="1065" spans="1:17" x14ac:dyDescent="0.2">
      <c r="A1065" s="1" t="s">
        <v>1</v>
      </c>
      <c r="F1065" s="1" t="s">
        <v>40</v>
      </c>
    </row>
    <row r="1067" spans="1:17" x14ac:dyDescent="0.2">
      <c r="A1067" s="1" t="s">
        <v>3</v>
      </c>
      <c r="F1067" s="1" t="s">
        <v>246</v>
      </c>
    </row>
    <row r="1068" spans="1:17" x14ac:dyDescent="0.2">
      <c r="A1068" s="1" t="s">
        <v>5</v>
      </c>
      <c r="F1068" s="1" t="s">
        <v>108</v>
      </c>
    </row>
    <row r="1071" spans="1:17" x14ac:dyDescent="0.2">
      <c r="C1071" s="1" t="s">
        <v>6</v>
      </c>
      <c r="D1071" s="1" t="s">
        <v>7</v>
      </c>
      <c r="E1071" s="1" t="s">
        <v>8</v>
      </c>
      <c r="G1071" s="1" t="s">
        <v>9</v>
      </c>
      <c r="H1071" s="1" t="s">
        <v>10</v>
      </c>
      <c r="I1071" s="1" t="s">
        <v>11</v>
      </c>
      <c r="J1071" s="1" t="s">
        <v>12</v>
      </c>
      <c r="K1071" s="1" t="s">
        <v>13</v>
      </c>
      <c r="L1071" s="1" t="s">
        <v>14</v>
      </c>
      <c r="M1071" s="1" t="s">
        <v>15</v>
      </c>
      <c r="N1071" s="1" t="s">
        <v>16</v>
      </c>
      <c r="O1071" s="1" t="s">
        <v>17</v>
      </c>
      <c r="P1071" s="1" t="s">
        <v>18</v>
      </c>
      <c r="Q1071" s="1" t="s">
        <v>19</v>
      </c>
    </row>
    <row r="1073" spans="4:17" x14ac:dyDescent="0.2">
      <c r="D1073" s="1" t="s">
        <v>43</v>
      </c>
      <c r="E1073" s="1">
        <v>103327318</v>
      </c>
      <c r="G1073" s="1" t="s">
        <v>90</v>
      </c>
      <c r="I1073" s="1" t="s">
        <v>90</v>
      </c>
      <c r="K1073" s="2">
        <v>931632.47</v>
      </c>
      <c r="L1073" s="1" t="s">
        <v>22</v>
      </c>
      <c r="N1073" s="2">
        <v>931632.47</v>
      </c>
      <c r="O1073" s="1" t="s">
        <v>22</v>
      </c>
      <c r="P1073" s="1" t="s">
        <v>408</v>
      </c>
      <c r="Q1073" s="1">
        <v>1</v>
      </c>
    </row>
    <row r="1074" spans="4:17" x14ac:dyDescent="0.2">
      <c r="D1074" s="1" t="s">
        <v>43</v>
      </c>
      <c r="E1074" s="1">
        <v>103327319</v>
      </c>
      <c r="G1074" s="1" t="s">
        <v>90</v>
      </c>
      <c r="I1074" s="1" t="s">
        <v>90</v>
      </c>
      <c r="K1074" s="2">
        <v>988015.87</v>
      </c>
      <c r="L1074" s="1" t="s">
        <v>22</v>
      </c>
      <c r="N1074" s="2">
        <v>988015.87</v>
      </c>
      <c r="O1074" s="1" t="s">
        <v>22</v>
      </c>
      <c r="P1074" s="1" t="s">
        <v>409</v>
      </c>
      <c r="Q1074" s="1">
        <v>1</v>
      </c>
    </row>
    <row r="1075" spans="4:17" x14ac:dyDescent="0.2">
      <c r="D1075" s="1" t="s">
        <v>43</v>
      </c>
      <c r="E1075" s="1">
        <v>103327320</v>
      </c>
      <c r="G1075" s="1" t="s">
        <v>90</v>
      </c>
      <c r="I1075" s="1" t="s">
        <v>90</v>
      </c>
      <c r="K1075" s="2">
        <v>996732.9</v>
      </c>
      <c r="L1075" s="1" t="s">
        <v>22</v>
      </c>
      <c r="N1075" s="2">
        <v>996732.9</v>
      </c>
      <c r="O1075" s="1" t="s">
        <v>22</v>
      </c>
      <c r="P1075" s="1" t="s">
        <v>410</v>
      </c>
      <c r="Q1075" s="1">
        <v>1</v>
      </c>
    </row>
    <row r="1076" spans="4:17" x14ac:dyDescent="0.2">
      <c r="D1076" s="1" t="s">
        <v>43</v>
      </c>
      <c r="E1076" s="1">
        <v>103327321</v>
      </c>
      <c r="G1076" s="1" t="s">
        <v>90</v>
      </c>
      <c r="I1076" s="1" t="s">
        <v>90</v>
      </c>
      <c r="K1076" s="2">
        <v>817977.16</v>
      </c>
      <c r="L1076" s="1" t="s">
        <v>22</v>
      </c>
      <c r="N1076" s="2">
        <v>817977.16</v>
      </c>
      <c r="O1076" s="1" t="s">
        <v>22</v>
      </c>
      <c r="P1076" s="1" t="s">
        <v>411</v>
      </c>
      <c r="Q1076" s="1">
        <v>1</v>
      </c>
    </row>
    <row r="1077" spans="4:17" x14ac:dyDescent="0.2">
      <c r="D1077" s="1" t="s">
        <v>43</v>
      </c>
      <c r="E1077" s="1">
        <v>103327322</v>
      </c>
      <c r="G1077" s="1" t="s">
        <v>90</v>
      </c>
      <c r="I1077" s="1" t="s">
        <v>90</v>
      </c>
      <c r="K1077" s="2">
        <v>823168.77</v>
      </c>
      <c r="L1077" s="1" t="s">
        <v>22</v>
      </c>
      <c r="N1077" s="2">
        <v>823168.77</v>
      </c>
      <c r="O1077" s="1" t="s">
        <v>22</v>
      </c>
      <c r="P1077" s="1" t="s">
        <v>412</v>
      </c>
      <c r="Q1077" s="1">
        <v>1</v>
      </c>
    </row>
    <row r="1078" spans="4:17" x14ac:dyDescent="0.2">
      <c r="D1078" s="1" t="s">
        <v>43</v>
      </c>
      <c r="E1078" s="1">
        <v>103327323</v>
      </c>
      <c r="G1078" s="1" t="s">
        <v>90</v>
      </c>
      <c r="I1078" s="1" t="s">
        <v>90</v>
      </c>
      <c r="K1078" s="2">
        <v>881282.04</v>
      </c>
      <c r="L1078" s="1" t="s">
        <v>22</v>
      </c>
      <c r="N1078" s="2">
        <v>881282.04</v>
      </c>
      <c r="O1078" s="1" t="s">
        <v>22</v>
      </c>
      <c r="P1078" s="1" t="s">
        <v>413</v>
      </c>
      <c r="Q1078" s="1">
        <v>1</v>
      </c>
    </row>
    <row r="1079" spans="4:17" x14ac:dyDescent="0.2">
      <c r="D1079" s="1" t="s">
        <v>43</v>
      </c>
      <c r="E1079" s="1">
        <v>103327324</v>
      </c>
      <c r="G1079" s="1" t="s">
        <v>90</v>
      </c>
      <c r="I1079" s="1" t="s">
        <v>90</v>
      </c>
      <c r="K1079" s="2">
        <v>966948.79</v>
      </c>
      <c r="L1079" s="1" t="s">
        <v>22</v>
      </c>
      <c r="N1079" s="2">
        <v>966948.79</v>
      </c>
      <c r="O1079" s="1" t="s">
        <v>22</v>
      </c>
      <c r="P1079" s="1" t="s">
        <v>414</v>
      </c>
      <c r="Q1079" s="1">
        <v>1</v>
      </c>
    </row>
    <row r="1080" spans="4:17" x14ac:dyDescent="0.2">
      <c r="D1080" s="1" t="s">
        <v>43</v>
      </c>
      <c r="E1080" s="1">
        <v>103327325</v>
      </c>
      <c r="G1080" s="1" t="s">
        <v>90</v>
      </c>
      <c r="I1080" s="1" t="s">
        <v>90</v>
      </c>
      <c r="K1080" s="2">
        <v>874706.25</v>
      </c>
      <c r="L1080" s="1" t="s">
        <v>22</v>
      </c>
      <c r="N1080" s="2">
        <v>874706.25</v>
      </c>
      <c r="O1080" s="1" t="s">
        <v>22</v>
      </c>
      <c r="P1080" s="1" t="s">
        <v>415</v>
      </c>
      <c r="Q1080" s="1">
        <v>1</v>
      </c>
    </row>
    <row r="1081" spans="4:17" x14ac:dyDescent="0.2">
      <c r="D1081" s="1" t="s">
        <v>43</v>
      </c>
      <c r="E1081" s="1">
        <v>103327339</v>
      </c>
      <c r="G1081" s="1" t="s">
        <v>36</v>
      </c>
      <c r="I1081" s="1" t="s">
        <v>36</v>
      </c>
      <c r="K1081" s="2">
        <v>896895.79</v>
      </c>
      <c r="L1081" s="1" t="s">
        <v>22</v>
      </c>
      <c r="N1081" s="2">
        <v>896895.79</v>
      </c>
      <c r="O1081" s="1" t="s">
        <v>22</v>
      </c>
      <c r="P1081" s="1" t="s">
        <v>416</v>
      </c>
      <c r="Q1081" s="1">
        <v>1</v>
      </c>
    </row>
    <row r="1082" spans="4:17" x14ac:dyDescent="0.2">
      <c r="D1082" s="1" t="s">
        <v>43</v>
      </c>
      <c r="E1082" s="1">
        <v>103327340</v>
      </c>
      <c r="G1082" s="1" t="s">
        <v>36</v>
      </c>
      <c r="I1082" s="1" t="s">
        <v>36</v>
      </c>
      <c r="K1082" s="2">
        <v>601092.4</v>
      </c>
      <c r="L1082" s="1" t="s">
        <v>22</v>
      </c>
      <c r="N1082" s="2">
        <v>601092.4</v>
      </c>
      <c r="O1082" s="1" t="s">
        <v>22</v>
      </c>
      <c r="P1082" s="1" t="s">
        <v>417</v>
      </c>
      <c r="Q1082" s="1">
        <v>1</v>
      </c>
    </row>
    <row r="1083" spans="4:17" x14ac:dyDescent="0.2">
      <c r="D1083" s="1" t="s">
        <v>43</v>
      </c>
      <c r="E1083" s="1">
        <v>103327557</v>
      </c>
      <c r="G1083" s="1" t="s">
        <v>77</v>
      </c>
      <c r="I1083" s="1" t="s">
        <v>77</v>
      </c>
      <c r="K1083" s="2">
        <v>723092.3</v>
      </c>
      <c r="L1083" s="1" t="s">
        <v>22</v>
      </c>
      <c r="N1083" s="2">
        <v>723092.3</v>
      </c>
      <c r="O1083" s="1" t="s">
        <v>22</v>
      </c>
      <c r="P1083" s="1" t="s">
        <v>418</v>
      </c>
      <c r="Q1083" s="1">
        <v>1</v>
      </c>
    </row>
    <row r="1084" spans="4:17" x14ac:dyDescent="0.2">
      <c r="D1084" s="1" t="s">
        <v>43</v>
      </c>
      <c r="E1084" s="1">
        <v>103327728</v>
      </c>
      <c r="G1084" s="1" t="s">
        <v>64</v>
      </c>
      <c r="I1084" s="1" t="s">
        <v>64</v>
      </c>
      <c r="K1084" s="2">
        <v>350673.21</v>
      </c>
      <c r="L1084" s="1" t="s">
        <v>22</v>
      </c>
      <c r="N1084" s="2">
        <v>350673.21</v>
      </c>
      <c r="O1084" s="1" t="s">
        <v>22</v>
      </c>
      <c r="P1084" s="1" t="s">
        <v>419</v>
      </c>
      <c r="Q1084" s="1">
        <v>1</v>
      </c>
    </row>
    <row r="1085" spans="4:17" x14ac:dyDescent="0.2">
      <c r="D1085" s="1" t="s">
        <v>43</v>
      </c>
      <c r="E1085" s="1">
        <v>2200007028</v>
      </c>
      <c r="G1085" s="1" t="s">
        <v>90</v>
      </c>
      <c r="I1085" s="1" t="s">
        <v>90</v>
      </c>
      <c r="K1085" s="2">
        <v>13319.79</v>
      </c>
      <c r="L1085" s="1" t="s">
        <v>22</v>
      </c>
      <c r="N1085" s="2">
        <v>13319.79</v>
      </c>
      <c r="O1085" s="1" t="s">
        <v>22</v>
      </c>
      <c r="P1085" s="1" t="s">
        <v>408</v>
      </c>
      <c r="Q1085" s="1">
        <v>1</v>
      </c>
    </row>
    <row r="1086" spans="4:17" x14ac:dyDescent="0.2">
      <c r="D1086" s="1" t="s">
        <v>43</v>
      </c>
      <c r="E1086" s="1">
        <v>2200007031</v>
      </c>
      <c r="G1086" s="1" t="s">
        <v>90</v>
      </c>
      <c r="I1086" s="1" t="s">
        <v>90</v>
      </c>
      <c r="K1086" s="2">
        <v>13991.39</v>
      </c>
      <c r="L1086" s="1" t="s">
        <v>22</v>
      </c>
      <c r="N1086" s="2">
        <v>13991.39</v>
      </c>
      <c r="O1086" s="1" t="s">
        <v>22</v>
      </c>
      <c r="P1086" s="1" t="s">
        <v>409</v>
      </c>
      <c r="Q1086" s="1">
        <v>1</v>
      </c>
    </row>
    <row r="1087" spans="4:17" x14ac:dyDescent="0.2">
      <c r="D1087" s="1" t="s">
        <v>43</v>
      </c>
      <c r="E1087" s="1">
        <v>2200007033</v>
      </c>
      <c r="G1087" s="1" t="s">
        <v>90</v>
      </c>
      <c r="I1087" s="1" t="s">
        <v>90</v>
      </c>
      <c r="K1087" s="2">
        <v>14114.83</v>
      </c>
      <c r="L1087" s="1" t="s">
        <v>22</v>
      </c>
      <c r="N1087" s="2">
        <v>14114.83</v>
      </c>
      <c r="O1087" s="1" t="s">
        <v>22</v>
      </c>
      <c r="P1087" s="1" t="s">
        <v>410</v>
      </c>
      <c r="Q1087" s="1">
        <v>1</v>
      </c>
    </row>
    <row r="1088" spans="4:17" x14ac:dyDescent="0.2">
      <c r="D1088" s="1" t="s">
        <v>43</v>
      </c>
      <c r="E1088" s="1">
        <v>2200007035</v>
      </c>
      <c r="G1088" s="1" t="s">
        <v>90</v>
      </c>
      <c r="I1088" s="1" t="s">
        <v>90</v>
      </c>
      <c r="K1088" s="2">
        <v>13588.28</v>
      </c>
      <c r="L1088" s="1" t="s">
        <v>22</v>
      </c>
      <c r="N1088" s="2">
        <v>13588.28</v>
      </c>
      <c r="O1088" s="1" t="s">
        <v>22</v>
      </c>
      <c r="P1088" s="1" t="s">
        <v>411</v>
      </c>
      <c r="Q1088" s="1">
        <v>1</v>
      </c>
    </row>
    <row r="1089" spans="1:17" x14ac:dyDescent="0.2">
      <c r="D1089" s="1" t="s">
        <v>43</v>
      </c>
      <c r="E1089" s="1">
        <v>2200007037</v>
      </c>
      <c r="G1089" s="1" t="s">
        <v>90</v>
      </c>
      <c r="I1089" s="1" t="s">
        <v>90</v>
      </c>
      <c r="K1089" s="2">
        <v>12105.32</v>
      </c>
      <c r="L1089" s="1" t="s">
        <v>22</v>
      </c>
      <c r="N1089" s="2">
        <v>12105.32</v>
      </c>
      <c r="O1089" s="1" t="s">
        <v>22</v>
      </c>
      <c r="P1089" s="1" t="s">
        <v>412</v>
      </c>
      <c r="Q1089" s="1">
        <v>1</v>
      </c>
    </row>
    <row r="1090" spans="1:17" x14ac:dyDescent="0.2">
      <c r="D1090" s="1" t="s">
        <v>43</v>
      </c>
      <c r="E1090" s="1">
        <v>2200007039</v>
      </c>
      <c r="G1090" s="1" t="s">
        <v>90</v>
      </c>
      <c r="I1090" s="1" t="s">
        <v>90</v>
      </c>
      <c r="K1090" s="2">
        <v>12959.92</v>
      </c>
      <c r="L1090" s="1" t="s">
        <v>22</v>
      </c>
      <c r="N1090" s="2">
        <v>12959.92</v>
      </c>
      <c r="O1090" s="1" t="s">
        <v>22</v>
      </c>
      <c r="P1090" s="1" t="s">
        <v>413</v>
      </c>
      <c r="Q1090" s="1">
        <v>1</v>
      </c>
    </row>
    <row r="1091" spans="1:17" x14ac:dyDescent="0.2">
      <c r="D1091" s="1" t="s">
        <v>43</v>
      </c>
      <c r="E1091" s="1">
        <v>2200007041</v>
      </c>
      <c r="G1091" s="1" t="s">
        <v>90</v>
      </c>
      <c r="I1091" s="1" t="s">
        <v>90</v>
      </c>
      <c r="K1091" s="2">
        <v>13693.05</v>
      </c>
      <c r="L1091" s="1" t="s">
        <v>22</v>
      </c>
      <c r="N1091" s="2">
        <v>13693.05</v>
      </c>
      <c r="O1091" s="1" t="s">
        <v>22</v>
      </c>
      <c r="P1091" s="1" t="s">
        <v>414</v>
      </c>
      <c r="Q1091" s="1">
        <v>1</v>
      </c>
    </row>
    <row r="1092" spans="1:17" x14ac:dyDescent="0.2">
      <c r="D1092" s="1" t="s">
        <v>43</v>
      </c>
      <c r="E1092" s="1">
        <v>2200007043</v>
      </c>
      <c r="G1092" s="1" t="s">
        <v>90</v>
      </c>
      <c r="I1092" s="1" t="s">
        <v>90</v>
      </c>
      <c r="K1092" s="2">
        <v>12505.9</v>
      </c>
      <c r="L1092" s="1" t="s">
        <v>22</v>
      </c>
      <c r="N1092" s="2">
        <v>12505.9</v>
      </c>
      <c r="O1092" s="1" t="s">
        <v>22</v>
      </c>
      <c r="P1092" s="1" t="s">
        <v>415</v>
      </c>
      <c r="Q1092" s="1">
        <v>1</v>
      </c>
    </row>
    <row r="1093" spans="1:17" x14ac:dyDescent="0.2">
      <c r="D1093" s="1" t="s">
        <v>43</v>
      </c>
      <c r="E1093" s="1">
        <v>2200007053</v>
      </c>
      <c r="G1093" s="1" t="s">
        <v>36</v>
      </c>
      <c r="I1093" s="1" t="s">
        <v>36</v>
      </c>
      <c r="K1093" s="2">
        <v>12604.21</v>
      </c>
      <c r="L1093" s="1" t="s">
        <v>22</v>
      </c>
      <c r="N1093" s="2">
        <v>12604.21</v>
      </c>
      <c r="O1093" s="1" t="s">
        <v>22</v>
      </c>
      <c r="P1093" s="1" t="s">
        <v>417</v>
      </c>
      <c r="Q1093" s="1">
        <v>1</v>
      </c>
    </row>
    <row r="1094" spans="1:17" x14ac:dyDescent="0.2">
      <c r="D1094" s="1" t="s">
        <v>43</v>
      </c>
      <c r="E1094" s="1">
        <v>2200007055</v>
      </c>
      <c r="G1094" s="1" t="s">
        <v>36</v>
      </c>
      <c r="I1094" s="1" t="s">
        <v>36</v>
      </c>
      <c r="K1094" s="2">
        <v>10907.6</v>
      </c>
      <c r="L1094" s="1" t="s">
        <v>22</v>
      </c>
      <c r="N1094" s="2">
        <v>10907.6</v>
      </c>
      <c r="O1094" s="1" t="s">
        <v>22</v>
      </c>
      <c r="P1094" s="1" t="s">
        <v>417</v>
      </c>
      <c r="Q1094" s="1">
        <v>1</v>
      </c>
    </row>
    <row r="1095" spans="1:17" x14ac:dyDescent="0.2">
      <c r="D1095" s="1" t="s">
        <v>43</v>
      </c>
      <c r="E1095" s="1">
        <v>2200007080</v>
      </c>
      <c r="G1095" s="1" t="s">
        <v>77</v>
      </c>
      <c r="I1095" s="1" t="s">
        <v>77</v>
      </c>
      <c r="K1095" s="2">
        <v>10457.700000000001</v>
      </c>
      <c r="L1095" s="1" t="s">
        <v>22</v>
      </c>
      <c r="N1095" s="2">
        <v>10457.700000000001</v>
      </c>
      <c r="O1095" s="1" t="s">
        <v>22</v>
      </c>
      <c r="P1095" s="1" t="s">
        <v>418</v>
      </c>
      <c r="Q1095" s="1">
        <v>1</v>
      </c>
    </row>
    <row r="1096" spans="1:17" x14ac:dyDescent="0.2">
      <c r="D1096" s="1" t="s">
        <v>43</v>
      </c>
      <c r="E1096" s="1">
        <v>2200007109</v>
      </c>
      <c r="G1096" s="1" t="s">
        <v>64</v>
      </c>
      <c r="I1096" s="1" t="s">
        <v>64</v>
      </c>
      <c r="K1096" s="2">
        <v>7176.79</v>
      </c>
      <c r="L1096" s="1" t="s">
        <v>22</v>
      </c>
      <c r="N1096" s="2">
        <v>7176.79</v>
      </c>
      <c r="O1096" s="1" t="s">
        <v>22</v>
      </c>
      <c r="P1096" s="1" t="s">
        <v>419</v>
      </c>
      <c r="Q1096" s="1">
        <v>1</v>
      </c>
    </row>
    <row r="1098" spans="1:17" x14ac:dyDescent="0.2">
      <c r="B1098" s="1" t="s">
        <v>25</v>
      </c>
      <c r="K1098" s="2">
        <v>9999642.7300000004</v>
      </c>
      <c r="L1098" s="1" t="s">
        <v>22</v>
      </c>
      <c r="N1098" s="2">
        <v>9999642.7300000004</v>
      </c>
      <c r="O1098" s="1" t="s">
        <v>22</v>
      </c>
    </row>
    <row r="1100" spans="1:17" x14ac:dyDescent="0.2">
      <c r="A1100" s="3"/>
      <c r="B1100" s="3" t="s">
        <v>26</v>
      </c>
      <c r="C1100" s="3" t="s">
        <v>420</v>
      </c>
      <c r="D1100" s="3"/>
      <c r="E1100" s="3"/>
      <c r="F1100" s="3"/>
      <c r="G1100" s="3"/>
      <c r="H1100" s="3"/>
      <c r="I1100" s="3"/>
      <c r="J1100" s="3"/>
      <c r="K1100" s="4">
        <v>9999642.7300000004</v>
      </c>
      <c r="L1100" s="3" t="s">
        <v>22</v>
      </c>
      <c r="M1100" s="3"/>
      <c r="N1100" s="4">
        <v>9999642.7300000004</v>
      </c>
      <c r="O1100" s="3" t="s">
        <v>22</v>
      </c>
      <c r="P1100" s="3"/>
      <c r="Q1100" s="3"/>
    </row>
    <row r="1102" spans="1:17" x14ac:dyDescent="0.2">
      <c r="A1102" s="1" t="s">
        <v>0</v>
      </c>
      <c r="F1102" s="1">
        <v>501321</v>
      </c>
    </row>
    <row r="1103" spans="1:17" x14ac:dyDescent="0.2">
      <c r="A1103" s="1" t="s">
        <v>1</v>
      </c>
      <c r="F1103" s="1" t="s">
        <v>40</v>
      </c>
    </row>
    <row r="1105" spans="1:17" x14ac:dyDescent="0.2">
      <c r="A1105" s="1" t="s">
        <v>3</v>
      </c>
      <c r="F1105" s="1" t="s">
        <v>360</v>
      </c>
    </row>
    <row r="1106" spans="1:17" x14ac:dyDescent="0.2">
      <c r="A1106" s="1" t="s">
        <v>5</v>
      </c>
      <c r="F1106" s="1" t="s">
        <v>421</v>
      </c>
    </row>
    <row r="1109" spans="1:17" x14ac:dyDescent="0.2">
      <c r="C1109" s="1" t="s">
        <v>6</v>
      </c>
      <c r="D1109" s="1" t="s">
        <v>7</v>
      </c>
      <c r="E1109" s="1" t="s">
        <v>8</v>
      </c>
      <c r="G1109" s="1" t="s">
        <v>9</v>
      </c>
      <c r="H1109" s="1" t="s">
        <v>10</v>
      </c>
      <c r="I1109" s="1" t="s">
        <v>11</v>
      </c>
      <c r="J1109" s="1" t="s">
        <v>12</v>
      </c>
      <c r="K1109" s="1" t="s">
        <v>13</v>
      </c>
      <c r="L1109" s="1" t="s">
        <v>14</v>
      </c>
      <c r="M1109" s="1" t="s">
        <v>15</v>
      </c>
      <c r="N1109" s="1" t="s">
        <v>16</v>
      </c>
      <c r="O1109" s="1" t="s">
        <v>17</v>
      </c>
      <c r="P1109" s="1" t="s">
        <v>18</v>
      </c>
      <c r="Q1109" s="1" t="s">
        <v>19</v>
      </c>
    </row>
    <row r="1111" spans="1:17" x14ac:dyDescent="0.2">
      <c r="D1111" s="1" t="s">
        <v>43</v>
      </c>
      <c r="E1111" s="1">
        <v>103327338</v>
      </c>
      <c r="G1111" s="1" t="s">
        <v>36</v>
      </c>
      <c r="I1111" s="1" t="s">
        <v>36</v>
      </c>
      <c r="K1111" s="2">
        <v>1568960</v>
      </c>
      <c r="L1111" s="1" t="s">
        <v>22</v>
      </c>
      <c r="N1111" s="2">
        <v>1568960</v>
      </c>
      <c r="O1111" s="1" t="s">
        <v>22</v>
      </c>
      <c r="P1111" s="1" t="s">
        <v>422</v>
      </c>
      <c r="Q1111" s="1">
        <v>1</v>
      </c>
    </row>
    <row r="1113" spans="1:17" x14ac:dyDescent="0.2">
      <c r="B1113" s="1" t="s">
        <v>25</v>
      </c>
      <c r="K1113" s="2">
        <v>1568960</v>
      </c>
      <c r="L1113" s="1" t="s">
        <v>22</v>
      </c>
      <c r="N1113" s="2">
        <v>1568960</v>
      </c>
      <c r="O1113" s="1" t="s">
        <v>22</v>
      </c>
    </row>
    <row r="1115" spans="1:17" x14ac:dyDescent="0.2">
      <c r="A1115" s="3"/>
      <c r="B1115" s="3" t="s">
        <v>26</v>
      </c>
      <c r="C1115" s="3" t="s">
        <v>423</v>
      </c>
      <c r="D1115" s="3"/>
      <c r="E1115" s="3"/>
      <c r="F1115" s="3"/>
      <c r="G1115" s="3"/>
      <c r="H1115" s="3"/>
      <c r="I1115" s="3"/>
      <c r="J1115" s="3"/>
      <c r="K1115" s="4">
        <v>1568960</v>
      </c>
      <c r="L1115" s="3" t="s">
        <v>22</v>
      </c>
      <c r="M1115" s="3"/>
      <c r="N1115" s="4">
        <v>1568960</v>
      </c>
      <c r="O1115" s="3" t="s">
        <v>22</v>
      </c>
      <c r="P1115" s="3"/>
      <c r="Q1115" s="3"/>
    </row>
    <row r="1117" spans="1:17" x14ac:dyDescent="0.2">
      <c r="A1117" s="1" t="s">
        <v>0</v>
      </c>
      <c r="F1117" s="1">
        <v>501322</v>
      </c>
    </row>
    <row r="1118" spans="1:17" x14ac:dyDescent="0.2">
      <c r="A1118" s="1" t="s">
        <v>1</v>
      </c>
      <c r="F1118" s="1" t="s">
        <v>40</v>
      </c>
    </row>
    <row r="1120" spans="1:17" x14ac:dyDescent="0.2">
      <c r="A1120" s="1" t="s">
        <v>3</v>
      </c>
      <c r="F1120" s="1" t="s">
        <v>403</v>
      </c>
    </row>
    <row r="1121" spans="1:17" x14ac:dyDescent="0.2">
      <c r="A1121" s="1" t="s">
        <v>5</v>
      </c>
      <c r="F1121" s="1" t="s">
        <v>204</v>
      </c>
    </row>
    <row r="1124" spans="1:17" x14ac:dyDescent="0.2">
      <c r="C1124" s="1" t="s">
        <v>6</v>
      </c>
      <c r="D1124" s="1" t="s">
        <v>7</v>
      </c>
      <c r="E1124" s="1" t="s">
        <v>8</v>
      </c>
      <c r="G1124" s="1" t="s">
        <v>9</v>
      </c>
      <c r="H1124" s="1" t="s">
        <v>10</v>
      </c>
      <c r="I1124" s="1" t="s">
        <v>11</v>
      </c>
      <c r="J1124" s="1" t="s">
        <v>12</v>
      </c>
      <c r="K1124" s="1" t="s">
        <v>13</v>
      </c>
      <c r="L1124" s="1" t="s">
        <v>14</v>
      </c>
      <c r="M1124" s="1" t="s">
        <v>15</v>
      </c>
      <c r="N1124" s="1" t="s">
        <v>16</v>
      </c>
      <c r="O1124" s="1" t="s">
        <v>17</v>
      </c>
      <c r="P1124" s="1" t="s">
        <v>18</v>
      </c>
      <c r="Q1124" s="1" t="s">
        <v>19</v>
      </c>
    </row>
    <row r="1126" spans="1:17" x14ac:dyDescent="0.2">
      <c r="D1126" s="1" t="s">
        <v>43</v>
      </c>
      <c r="E1126" s="1">
        <v>103342833</v>
      </c>
      <c r="G1126" s="1" t="s">
        <v>66</v>
      </c>
      <c r="I1126" s="1" t="s">
        <v>66</v>
      </c>
      <c r="K1126" s="2">
        <v>405736.01</v>
      </c>
      <c r="L1126" s="1" t="s">
        <v>22</v>
      </c>
      <c r="N1126" s="2">
        <v>99910.37</v>
      </c>
      <c r="O1126" s="1" t="s">
        <v>31</v>
      </c>
      <c r="P1126" s="1" t="s">
        <v>404</v>
      </c>
      <c r="Q1126" s="1">
        <v>4.0609999999999999</v>
      </c>
    </row>
    <row r="1128" spans="1:17" x14ac:dyDescent="0.2">
      <c r="B1128" s="1" t="s">
        <v>25</v>
      </c>
      <c r="K1128" s="2">
        <v>405736.01</v>
      </c>
      <c r="L1128" s="1" t="s">
        <v>22</v>
      </c>
      <c r="N1128" s="2">
        <v>99910.37</v>
      </c>
      <c r="O1128" s="1" t="s">
        <v>31</v>
      </c>
    </row>
    <row r="1130" spans="1:17" x14ac:dyDescent="0.2">
      <c r="A1130" s="3"/>
      <c r="B1130" s="3" t="s">
        <v>26</v>
      </c>
      <c r="C1130" s="3" t="s">
        <v>424</v>
      </c>
      <c r="D1130" s="3"/>
      <c r="E1130" s="3"/>
      <c r="F1130" s="3"/>
      <c r="G1130" s="3"/>
      <c r="H1130" s="3"/>
      <c r="I1130" s="3"/>
      <c r="J1130" s="3"/>
      <c r="K1130" s="4">
        <v>405736.01</v>
      </c>
      <c r="L1130" s="3" t="s">
        <v>22</v>
      </c>
      <c r="M1130" s="3"/>
      <c r="N1130" s="4">
        <v>99910.37</v>
      </c>
      <c r="O1130" s="3" t="s">
        <v>31</v>
      </c>
      <c r="P1130" s="3"/>
      <c r="Q1130" s="3"/>
    </row>
    <row r="1132" spans="1:17" x14ac:dyDescent="0.2">
      <c r="A1132" s="1" t="s">
        <v>0</v>
      </c>
      <c r="F1132" s="1" t="s">
        <v>25</v>
      </c>
    </row>
    <row r="1133" spans="1:17" x14ac:dyDescent="0.2">
      <c r="A1133" s="1" t="s">
        <v>1</v>
      </c>
      <c r="F1133" s="1" t="s">
        <v>25</v>
      </c>
    </row>
    <row r="1135" spans="1:17" x14ac:dyDescent="0.2">
      <c r="A1135" s="1" t="s">
        <v>3</v>
      </c>
      <c r="F1135" s="1" t="s">
        <v>25</v>
      </c>
    </row>
    <row r="1136" spans="1:17" x14ac:dyDescent="0.2">
      <c r="A1136" s="1" t="s">
        <v>5</v>
      </c>
      <c r="F1136" s="1" t="s">
        <v>25</v>
      </c>
    </row>
    <row r="1139" spans="2:17" x14ac:dyDescent="0.2">
      <c r="C1139" s="1" t="s">
        <v>6</v>
      </c>
      <c r="D1139" s="1" t="s">
        <v>7</v>
      </c>
      <c r="E1139" s="1" t="s">
        <v>8</v>
      </c>
      <c r="G1139" s="1" t="s">
        <v>9</v>
      </c>
      <c r="H1139" s="1" t="s">
        <v>10</v>
      </c>
      <c r="I1139" s="1" t="s">
        <v>11</v>
      </c>
      <c r="J1139" s="1" t="s">
        <v>12</v>
      </c>
      <c r="K1139" s="1" t="s">
        <v>13</v>
      </c>
      <c r="L1139" s="1" t="s">
        <v>14</v>
      </c>
      <c r="M1139" s="1" t="s">
        <v>15</v>
      </c>
      <c r="N1139" s="1" t="s">
        <v>16</v>
      </c>
      <c r="O1139" s="1" t="s">
        <v>17</v>
      </c>
      <c r="P1139" s="1" t="s">
        <v>18</v>
      </c>
      <c r="Q1139" s="1" t="s">
        <v>19</v>
      </c>
    </row>
    <row r="1141" spans="2:17" x14ac:dyDescent="0.2">
      <c r="B1141" s="1" t="s">
        <v>39</v>
      </c>
      <c r="K1141" s="2">
        <v>775791686.33000004</v>
      </c>
      <c r="L1141" s="1" t="s">
        <v>22</v>
      </c>
      <c r="N1141" s="2">
        <v>590332311.74000001</v>
      </c>
      <c r="O1141" s="1" t="s">
        <v>22</v>
      </c>
    </row>
    <row r="1142" spans="2:17" x14ac:dyDescent="0.2">
      <c r="N1142" s="2">
        <v>45561400.490000002</v>
      </c>
      <c r="O1142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F28A-2BB1-418A-A751-1A2B9E088F67}">
  <dimension ref="A2:Q1859"/>
  <sheetViews>
    <sheetView topLeftCell="A1842" workbookViewId="0">
      <selection activeCell="M20" sqref="M20"/>
    </sheetView>
  </sheetViews>
  <sheetFormatPr defaultRowHeight="11.4" x14ac:dyDescent="0.2"/>
  <cols>
    <col min="1" max="1" width="13" style="1" bestFit="1" customWidth="1"/>
    <col min="2" max="2" width="3.109375" style="1" bestFit="1" customWidth="1"/>
    <col min="3" max="3" width="12.44140625" style="1" bestFit="1" customWidth="1"/>
    <col min="4" max="4" width="9.33203125" style="1" bestFit="1" customWidth="1"/>
    <col min="5" max="5" width="10.5546875" style="1" bestFit="1" customWidth="1"/>
    <col min="6" max="6" width="32.33203125" style="1" bestFit="1" customWidth="1"/>
    <col min="7" max="7" width="8.77734375" style="1" bestFit="1" customWidth="1"/>
    <col min="8" max="8" width="1.77734375" style="1" bestFit="1" customWidth="1"/>
    <col min="9" max="9" width="8.88671875" style="1"/>
    <col min="10" max="10" width="3" style="1" bestFit="1" customWidth="1"/>
    <col min="11" max="11" width="12.5546875" style="1" bestFit="1" customWidth="1"/>
    <col min="12" max="12" width="4.77734375" style="1" bestFit="1" customWidth="1"/>
    <col min="13" max="13" width="8.77734375" style="1" bestFit="1" customWidth="1"/>
    <col min="14" max="14" width="13.6640625" style="1" bestFit="1" customWidth="1"/>
    <col min="15" max="15" width="4.33203125" style="1" bestFit="1" customWidth="1"/>
    <col min="16" max="16" width="36.6640625" style="1" bestFit="1" customWidth="1"/>
    <col min="17" max="17" width="8.6640625" style="1" bestFit="1" customWidth="1"/>
    <col min="18" max="16384" width="8.88671875" style="1"/>
  </cols>
  <sheetData>
    <row r="2" spans="1:17" x14ac:dyDescent="0.2">
      <c r="A2" s="1" t="s">
        <v>0</v>
      </c>
      <c r="F2" s="1">
        <v>500605</v>
      </c>
    </row>
    <row r="3" spans="1:17" x14ac:dyDescent="0.2">
      <c r="A3" s="1" t="s">
        <v>1</v>
      </c>
      <c r="F3" s="1" t="s">
        <v>40</v>
      </c>
    </row>
    <row r="5" spans="1:17" x14ac:dyDescent="0.2">
      <c r="A5" s="1" t="s">
        <v>3</v>
      </c>
      <c r="F5" s="1" t="s">
        <v>41</v>
      </c>
    </row>
    <row r="6" spans="1:17" x14ac:dyDescent="0.2">
      <c r="A6" s="1" t="s">
        <v>5</v>
      </c>
      <c r="F6" s="1" t="s">
        <v>42</v>
      </c>
    </row>
    <row r="9" spans="1:17" x14ac:dyDescent="0.2">
      <c r="C9" s="1" t="s">
        <v>6</v>
      </c>
      <c r="D9" s="1" t="s">
        <v>7</v>
      </c>
      <c r="E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</row>
    <row r="11" spans="1:17" x14ac:dyDescent="0.2">
      <c r="D11" s="1" t="s">
        <v>20</v>
      </c>
      <c r="E11" s="1">
        <v>1400013724</v>
      </c>
      <c r="G11" s="1" t="s">
        <v>46</v>
      </c>
      <c r="I11" s="1" t="s">
        <v>46</v>
      </c>
      <c r="K11" s="2">
        <v>-1705266</v>
      </c>
      <c r="L11" s="1" t="s">
        <v>22</v>
      </c>
      <c r="N11" s="2">
        <v>-414000</v>
      </c>
      <c r="O11" s="1" t="s">
        <v>31</v>
      </c>
      <c r="P11" s="1" t="s">
        <v>425</v>
      </c>
      <c r="Q11" s="1">
        <v>4.1189999999999998</v>
      </c>
    </row>
    <row r="12" spans="1:17" x14ac:dyDescent="0.2">
      <c r="D12" s="1" t="s">
        <v>20</v>
      </c>
      <c r="E12" s="1">
        <v>1400013749</v>
      </c>
      <c r="G12" s="1" t="s">
        <v>85</v>
      </c>
      <c r="I12" s="1" t="s">
        <v>85</v>
      </c>
      <c r="K12" s="2">
        <v>-2242690</v>
      </c>
      <c r="L12" s="1" t="s">
        <v>22</v>
      </c>
      <c r="N12" s="2">
        <v>-548000</v>
      </c>
      <c r="O12" s="1" t="s">
        <v>31</v>
      </c>
      <c r="P12" s="1" t="s">
        <v>426</v>
      </c>
      <c r="Q12" s="1">
        <v>4.0925000000000002</v>
      </c>
    </row>
    <row r="13" spans="1:17" x14ac:dyDescent="0.2">
      <c r="D13" s="1" t="s">
        <v>20</v>
      </c>
      <c r="E13" s="1">
        <v>1400013852</v>
      </c>
      <c r="G13" s="1" t="s">
        <v>21</v>
      </c>
      <c r="I13" s="1" t="s">
        <v>21</v>
      </c>
      <c r="K13" s="2">
        <v>-1769880</v>
      </c>
      <c r="L13" s="1" t="s">
        <v>22</v>
      </c>
      <c r="N13" s="2">
        <v>-430000</v>
      </c>
      <c r="O13" s="1" t="s">
        <v>31</v>
      </c>
      <c r="P13" s="1" t="s">
        <v>427</v>
      </c>
      <c r="Q13" s="1">
        <v>4.1159999999999997</v>
      </c>
    </row>
    <row r="15" spans="1:17" x14ac:dyDescent="0.2">
      <c r="B15" s="1" t="s">
        <v>25</v>
      </c>
      <c r="K15" s="2">
        <v>-5717836</v>
      </c>
      <c r="L15" s="1" t="s">
        <v>22</v>
      </c>
      <c r="N15" s="2">
        <v>-1392000</v>
      </c>
      <c r="O15" s="1" t="s">
        <v>31</v>
      </c>
    </row>
    <row r="17" spans="1:17" x14ac:dyDescent="0.2">
      <c r="A17" s="3"/>
      <c r="B17" s="3" t="s">
        <v>26</v>
      </c>
      <c r="C17" s="3" t="s">
        <v>52</v>
      </c>
      <c r="D17" s="3"/>
      <c r="E17" s="3"/>
      <c r="F17" s="3"/>
      <c r="G17" s="3"/>
      <c r="H17" s="3"/>
      <c r="I17" s="3"/>
      <c r="J17" s="3"/>
      <c r="K17" s="4">
        <v>-5717836</v>
      </c>
      <c r="L17" s="3" t="s">
        <v>22</v>
      </c>
      <c r="M17" s="3"/>
      <c r="N17" s="4">
        <v>-1392000</v>
      </c>
      <c r="O17" s="3" t="s">
        <v>31</v>
      </c>
      <c r="P17" s="3"/>
      <c r="Q17" s="3"/>
    </row>
    <row r="19" spans="1:17" x14ac:dyDescent="0.2">
      <c r="A19" s="1" t="s">
        <v>0</v>
      </c>
      <c r="F19" s="1">
        <v>500676</v>
      </c>
    </row>
    <row r="20" spans="1:17" x14ac:dyDescent="0.2">
      <c r="A20" s="1" t="s">
        <v>1</v>
      </c>
      <c r="F20" s="1" t="s">
        <v>40</v>
      </c>
    </row>
    <row r="22" spans="1:17" x14ac:dyDescent="0.2">
      <c r="A22" s="1" t="s">
        <v>3</v>
      </c>
      <c r="F22" s="1" t="s">
        <v>428</v>
      </c>
    </row>
    <row r="23" spans="1:17" x14ac:dyDescent="0.2">
      <c r="A23" s="1" t="s">
        <v>5</v>
      </c>
    </row>
    <row r="26" spans="1:17" x14ac:dyDescent="0.2">
      <c r="C26" s="1" t="s">
        <v>6</v>
      </c>
      <c r="D26" s="1" t="s">
        <v>7</v>
      </c>
      <c r="E26" s="1" t="s">
        <v>8</v>
      </c>
      <c r="G26" s="1" t="s">
        <v>9</v>
      </c>
      <c r="H26" s="1" t="s">
        <v>10</v>
      </c>
      <c r="I26" s="1" t="s">
        <v>11</v>
      </c>
      <c r="J26" s="1" t="s">
        <v>12</v>
      </c>
      <c r="K26" s="1" t="s">
        <v>13</v>
      </c>
      <c r="L26" s="1" t="s">
        <v>14</v>
      </c>
      <c r="M26" s="1" t="s">
        <v>15</v>
      </c>
      <c r="N26" s="1" t="s">
        <v>16</v>
      </c>
      <c r="O26" s="1" t="s">
        <v>17</v>
      </c>
      <c r="P26" s="1" t="s">
        <v>18</v>
      </c>
      <c r="Q26" s="1" t="s">
        <v>19</v>
      </c>
    </row>
    <row r="28" spans="1:17" x14ac:dyDescent="0.2">
      <c r="D28" s="1" t="s">
        <v>20</v>
      </c>
      <c r="E28" s="1">
        <v>103327650</v>
      </c>
      <c r="G28" s="1" t="s">
        <v>88</v>
      </c>
      <c r="I28" s="1" t="s">
        <v>88</v>
      </c>
      <c r="K28" s="2">
        <v>-17000</v>
      </c>
      <c r="L28" s="1" t="s">
        <v>22</v>
      </c>
      <c r="M28" s="1">
        <v>103342847</v>
      </c>
      <c r="N28" s="2">
        <v>-4169.7299999999996</v>
      </c>
      <c r="O28" s="1" t="s">
        <v>31</v>
      </c>
      <c r="P28" s="1" t="s">
        <v>429</v>
      </c>
      <c r="Q28" s="1">
        <v>4.077</v>
      </c>
    </row>
    <row r="29" spans="1:17" x14ac:dyDescent="0.2">
      <c r="D29" s="1" t="s">
        <v>20</v>
      </c>
      <c r="E29" s="1">
        <v>103327655</v>
      </c>
      <c r="G29" s="1" t="s">
        <v>50</v>
      </c>
      <c r="I29" s="1" t="s">
        <v>50</v>
      </c>
      <c r="K29" s="2">
        <v>-17339.89</v>
      </c>
      <c r="L29" s="1" t="s">
        <v>22</v>
      </c>
      <c r="M29" s="1">
        <v>103342847</v>
      </c>
      <c r="N29" s="2">
        <v>-4241.66</v>
      </c>
      <c r="O29" s="1" t="s">
        <v>31</v>
      </c>
      <c r="P29" s="1" t="s">
        <v>429</v>
      </c>
      <c r="Q29" s="1">
        <v>4.0880000000000001</v>
      </c>
    </row>
    <row r="30" spans="1:17" x14ac:dyDescent="0.2">
      <c r="D30" s="1" t="s">
        <v>20</v>
      </c>
      <c r="E30" s="1">
        <v>103327662</v>
      </c>
      <c r="G30" s="1" t="s">
        <v>54</v>
      </c>
      <c r="I30" s="1" t="s">
        <v>54</v>
      </c>
      <c r="K30" s="2">
        <v>-206039.34</v>
      </c>
      <c r="L30" s="1" t="s">
        <v>22</v>
      </c>
      <c r="M30" s="1">
        <v>103342847</v>
      </c>
      <c r="N30" s="2">
        <v>-50149.53</v>
      </c>
      <c r="O30" s="1" t="s">
        <v>31</v>
      </c>
      <c r="P30" s="1" t="s">
        <v>429</v>
      </c>
      <c r="Q30" s="1">
        <v>4.1085000000000003</v>
      </c>
    </row>
    <row r="32" spans="1:17" x14ac:dyDescent="0.2">
      <c r="B32" s="1" t="s">
        <v>25</v>
      </c>
      <c r="K32" s="2">
        <v>-240379.23</v>
      </c>
      <c r="L32" s="1" t="s">
        <v>22</v>
      </c>
      <c r="N32" s="2">
        <v>-58560.92</v>
      </c>
      <c r="O32" s="1" t="s">
        <v>31</v>
      </c>
    </row>
    <row r="34" spans="1:17" x14ac:dyDescent="0.2">
      <c r="A34" s="3"/>
      <c r="B34" s="3" t="s">
        <v>26</v>
      </c>
      <c r="C34" s="3" t="s">
        <v>430</v>
      </c>
      <c r="D34" s="3"/>
      <c r="E34" s="3"/>
      <c r="F34" s="3"/>
      <c r="G34" s="3"/>
      <c r="H34" s="3"/>
      <c r="I34" s="3"/>
      <c r="J34" s="3"/>
      <c r="K34" s="4">
        <v>-240379.23</v>
      </c>
      <c r="L34" s="3" t="s">
        <v>22</v>
      </c>
      <c r="M34" s="3"/>
      <c r="N34" s="4">
        <v>-58560.92</v>
      </c>
      <c r="O34" s="3" t="s">
        <v>31</v>
      </c>
      <c r="P34" s="3"/>
      <c r="Q34" s="3"/>
    </row>
    <row r="36" spans="1:17" x14ac:dyDescent="0.2">
      <c r="A36" s="1" t="s">
        <v>0</v>
      </c>
      <c r="F36" s="1">
        <v>500783</v>
      </c>
    </row>
    <row r="37" spans="1:17" x14ac:dyDescent="0.2">
      <c r="A37" s="1" t="s">
        <v>1</v>
      </c>
      <c r="F37" s="1" t="s">
        <v>40</v>
      </c>
    </row>
    <row r="39" spans="1:17" x14ac:dyDescent="0.2">
      <c r="A39" s="1" t="s">
        <v>3</v>
      </c>
      <c r="F39" s="1" t="s">
        <v>53</v>
      </c>
    </row>
    <row r="40" spans="1:17" x14ac:dyDescent="0.2">
      <c r="A40" s="1" t="s">
        <v>5</v>
      </c>
    </row>
    <row r="43" spans="1:17" x14ac:dyDescent="0.2">
      <c r="C43" s="1" t="s">
        <v>6</v>
      </c>
      <c r="D43" s="1" t="s">
        <v>7</v>
      </c>
      <c r="E43" s="1" t="s">
        <v>8</v>
      </c>
      <c r="G43" s="1" t="s">
        <v>9</v>
      </c>
      <c r="H43" s="1" t="s">
        <v>10</v>
      </c>
      <c r="I43" s="1" t="s">
        <v>11</v>
      </c>
      <c r="J43" s="1" t="s">
        <v>12</v>
      </c>
      <c r="K43" s="1" t="s">
        <v>13</v>
      </c>
      <c r="L43" s="1" t="s">
        <v>14</v>
      </c>
      <c r="M43" s="1" t="s">
        <v>15</v>
      </c>
      <c r="N43" s="1" t="s">
        <v>16</v>
      </c>
      <c r="O43" s="1" t="s">
        <v>17</v>
      </c>
      <c r="P43" s="1" t="s">
        <v>18</v>
      </c>
      <c r="Q43" s="1" t="s">
        <v>19</v>
      </c>
    </row>
    <row r="45" spans="1:17" x14ac:dyDescent="0.2">
      <c r="D45" s="1" t="s">
        <v>20</v>
      </c>
      <c r="E45" s="1">
        <v>1400013697</v>
      </c>
      <c r="G45" s="1" t="s">
        <v>123</v>
      </c>
      <c r="I45" s="1" t="s">
        <v>123</v>
      </c>
      <c r="K45" s="2">
        <v>-2000000</v>
      </c>
      <c r="L45" s="1" t="s">
        <v>22</v>
      </c>
      <c r="N45" s="2">
        <v>-2000000</v>
      </c>
      <c r="O45" s="1" t="s">
        <v>22</v>
      </c>
      <c r="P45" s="1" t="s">
        <v>431</v>
      </c>
      <c r="Q45" s="1">
        <v>1</v>
      </c>
    </row>
    <row r="46" spans="1:17" x14ac:dyDescent="0.2">
      <c r="D46" s="1" t="s">
        <v>20</v>
      </c>
      <c r="E46" s="1">
        <v>1400013700</v>
      </c>
      <c r="G46" s="1" t="s">
        <v>182</v>
      </c>
      <c r="I46" s="1" t="s">
        <v>182</v>
      </c>
      <c r="K46" s="2">
        <v>-3000000</v>
      </c>
      <c r="L46" s="1" t="s">
        <v>22</v>
      </c>
      <c r="N46" s="2">
        <v>-3000000</v>
      </c>
      <c r="O46" s="1" t="s">
        <v>22</v>
      </c>
      <c r="P46" s="1" t="s">
        <v>432</v>
      </c>
      <c r="Q46" s="1">
        <v>1</v>
      </c>
    </row>
    <row r="47" spans="1:17" x14ac:dyDescent="0.2">
      <c r="D47" s="1" t="s">
        <v>20</v>
      </c>
      <c r="E47" s="1">
        <v>1400013741</v>
      </c>
      <c r="G47" s="1" t="s">
        <v>48</v>
      </c>
      <c r="I47" s="1" t="s">
        <v>48</v>
      </c>
      <c r="K47" s="2">
        <v>-2000000</v>
      </c>
      <c r="L47" s="1" t="s">
        <v>22</v>
      </c>
      <c r="N47" s="2">
        <v>-2000000</v>
      </c>
      <c r="O47" s="1" t="s">
        <v>22</v>
      </c>
      <c r="P47" s="1" t="s">
        <v>433</v>
      </c>
      <c r="Q47" s="1">
        <v>1</v>
      </c>
    </row>
    <row r="48" spans="1:17" x14ac:dyDescent="0.2">
      <c r="D48" s="1" t="s">
        <v>20</v>
      </c>
      <c r="E48" s="1">
        <v>1400013758</v>
      </c>
      <c r="G48" s="1" t="s">
        <v>50</v>
      </c>
      <c r="I48" s="1" t="s">
        <v>50</v>
      </c>
      <c r="K48" s="2">
        <v>-2000000</v>
      </c>
      <c r="L48" s="1" t="s">
        <v>22</v>
      </c>
      <c r="N48" s="2">
        <v>-2000000</v>
      </c>
      <c r="O48" s="1" t="s">
        <v>22</v>
      </c>
      <c r="P48" s="1" t="s">
        <v>434</v>
      </c>
      <c r="Q48" s="1">
        <v>1</v>
      </c>
    </row>
    <row r="49" spans="1:17" x14ac:dyDescent="0.2">
      <c r="D49" s="1" t="s">
        <v>20</v>
      </c>
      <c r="E49" s="1">
        <v>1400013781</v>
      </c>
      <c r="G49" s="1" t="s">
        <v>90</v>
      </c>
      <c r="I49" s="1" t="s">
        <v>90</v>
      </c>
      <c r="K49" s="2">
        <v>-3000000</v>
      </c>
      <c r="L49" s="1" t="s">
        <v>22</v>
      </c>
      <c r="N49" s="2">
        <v>-3000000</v>
      </c>
      <c r="O49" s="1" t="s">
        <v>22</v>
      </c>
      <c r="P49" s="1" t="s">
        <v>435</v>
      </c>
      <c r="Q49" s="1">
        <v>1</v>
      </c>
    </row>
    <row r="50" spans="1:17" x14ac:dyDescent="0.2">
      <c r="D50" s="1" t="s">
        <v>20</v>
      </c>
      <c r="E50" s="1">
        <v>1400013859</v>
      </c>
      <c r="G50" s="1" t="s">
        <v>77</v>
      </c>
      <c r="I50" s="1" t="s">
        <v>77</v>
      </c>
      <c r="K50" s="2">
        <v>-2000000</v>
      </c>
      <c r="L50" s="1" t="s">
        <v>22</v>
      </c>
      <c r="N50" s="2">
        <v>-2000000</v>
      </c>
      <c r="O50" s="1" t="s">
        <v>22</v>
      </c>
      <c r="P50" s="1" t="s">
        <v>436</v>
      </c>
      <c r="Q50" s="1">
        <v>1</v>
      </c>
    </row>
    <row r="51" spans="1:17" x14ac:dyDescent="0.2">
      <c r="D51" s="1" t="s">
        <v>20</v>
      </c>
      <c r="E51" s="1">
        <v>1400013867</v>
      </c>
      <c r="G51" s="1" t="s">
        <v>64</v>
      </c>
      <c r="I51" s="1" t="s">
        <v>64</v>
      </c>
      <c r="K51" s="2">
        <v>-3000000</v>
      </c>
      <c r="L51" s="1" t="s">
        <v>22</v>
      </c>
      <c r="N51" s="2">
        <v>-3000000</v>
      </c>
      <c r="O51" s="1" t="s">
        <v>22</v>
      </c>
      <c r="P51" s="1" t="s">
        <v>437</v>
      </c>
      <c r="Q51" s="1">
        <v>1</v>
      </c>
    </row>
    <row r="53" spans="1:17" x14ac:dyDescent="0.2">
      <c r="B53" s="1" t="s">
        <v>25</v>
      </c>
      <c r="K53" s="2">
        <v>-17000000</v>
      </c>
      <c r="L53" s="1" t="s">
        <v>22</v>
      </c>
      <c r="N53" s="2">
        <v>-17000000</v>
      </c>
      <c r="O53" s="1" t="s">
        <v>22</v>
      </c>
    </row>
    <row r="55" spans="1:17" x14ac:dyDescent="0.2">
      <c r="A55" s="3"/>
      <c r="B55" s="3" t="s">
        <v>26</v>
      </c>
      <c r="C55" s="3" t="s">
        <v>68</v>
      </c>
      <c r="D55" s="3"/>
      <c r="E55" s="3"/>
      <c r="F55" s="3"/>
      <c r="G55" s="3"/>
      <c r="H55" s="3"/>
      <c r="I55" s="3"/>
      <c r="J55" s="3"/>
      <c r="K55" s="4">
        <v>-17000000</v>
      </c>
      <c r="L55" s="3" t="s">
        <v>22</v>
      </c>
      <c r="M55" s="3"/>
      <c r="N55" s="4">
        <v>-17000000</v>
      </c>
      <c r="O55" s="3" t="s">
        <v>22</v>
      </c>
      <c r="P55" s="3"/>
      <c r="Q55" s="3"/>
    </row>
    <row r="57" spans="1:17" x14ac:dyDescent="0.2">
      <c r="A57" s="1" t="s">
        <v>0</v>
      </c>
      <c r="F57" s="1">
        <v>500784</v>
      </c>
    </row>
    <row r="58" spans="1:17" x14ac:dyDescent="0.2">
      <c r="A58" s="1" t="s">
        <v>1</v>
      </c>
      <c r="F58" s="1" t="s">
        <v>40</v>
      </c>
    </row>
    <row r="60" spans="1:17" x14ac:dyDescent="0.2">
      <c r="A60" s="1" t="s">
        <v>3</v>
      </c>
      <c r="F60" s="1" t="s">
        <v>69</v>
      </c>
    </row>
    <row r="61" spans="1:17" x14ac:dyDescent="0.2">
      <c r="A61" s="1" t="s">
        <v>5</v>
      </c>
      <c r="F61" s="1" t="s">
        <v>70</v>
      </c>
    </row>
    <row r="64" spans="1:17" x14ac:dyDescent="0.2">
      <c r="C64" s="1" t="s">
        <v>6</v>
      </c>
      <c r="D64" s="1" t="s">
        <v>7</v>
      </c>
      <c r="E64" s="1" t="s">
        <v>8</v>
      </c>
      <c r="G64" s="1" t="s">
        <v>9</v>
      </c>
      <c r="H64" s="1" t="s">
        <v>10</v>
      </c>
      <c r="I64" s="1" t="s">
        <v>11</v>
      </c>
      <c r="J64" s="1" t="s">
        <v>12</v>
      </c>
      <c r="K64" s="1" t="s">
        <v>13</v>
      </c>
      <c r="L64" s="1" t="s">
        <v>14</v>
      </c>
      <c r="M64" s="1" t="s">
        <v>15</v>
      </c>
      <c r="N64" s="1" t="s">
        <v>16</v>
      </c>
      <c r="O64" s="1" t="s">
        <v>17</v>
      </c>
      <c r="P64" s="1" t="s">
        <v>18</v>
      </c>
      <c r="Q64" s="1" t="s">
        <v>19</v>
      </c>
    </row>
    <row r="66" spans="1:17" x14ac:dyDescent="0.2">
      <c r="D66" s="1" t="s">
        <v>20</v>
      </c>
      <c r="E66" s="1">
        <v>1400013716</v>
      </c>
      <c r="G66" s="1" t="s">
        <v>21</v>
      </c>
      <c r="I66" s="1" t="s">
        <v>21</v>
      </c>
      <c r="K66" s="2">
        <v>-38000000</v>
      </c>
      <c r="L66" s="1" t="s">
        <v>22</v>
      </c>
      <c r="N66" s="2">
        <v>-38000000</v>
      </c>
      <c r="O66" s="1" t="s">
        <v>22</v>
      </c>
      <c r="P66" s="1" t="s">
        <v>438</v>
      </c>
      <c r="Q66" s="1">
        <v>1</v>
      </c>
    </row>
    <row r="67" spans="1:17" x14ac:dyDescent="0.2">
      <c r="D67" s="1" t="s">
        <v>20</v>
      </c>
      <c r="E67" s="1">
        <v>1400013721</v>
      </c>
      <c r="G67" s="1" t="s">
        <v>57</v>
      </c>
      <c r="I67" s="1" t="s">
        <v>57</v>
      </c>
      <c r="K67" s="2">
        <v>-33000000</v>
      </c>
      <c r="L67" s="1" t="s">
        <v>22</v>
      </c>
      <c r="N67" s="2">
        <v>-33000000</v>
      </c>
      <c r="O67" s="1" t="s">
        <v>22</v>
      </c>
      <c r="P67" s="1" t="s">
        <v>439</v>
      </c>
      <c r="Q67" s="1">
        <v>1</v>
      </c>
    </row>
    <row r="68" spans="1:17" x14ac:dyDescent="0.2">
      <c r="D68" s="1" t="s">
        <v>20</v>
      </c>
      <c r="E68" s="1">
        <v>1400013791</v>
      </c>
      <c r="G68" s="1" t="s">
        <v>30</v>
      </c>
      <c r="I68" s="1" t="s">
        <v>30</v>
      </c>
      <c r="K68" s="2">
        <v>-38000000</v>
      </c>
      <c r="L68" s="1" t="s">
        <v>22</v>
      </c>
      <c r="N68" s="2">
        <v>-38000000</v>
      </c>
      <c r="O68" s="1" t="s">
        <v>22</v>
      </c>
      <c r="P68" s="1" t="s">
        <v>440</v>
      </c>
      <c r="Q68" s="1">
        <v>1</v>
      </c>
    </row>
    <row r="69" spans="1:17" x14ac:dyDescent="0.2">
      <c r="D69" s="1" t="s">
        <v>20</v>
      </c>
      <c r="E69" s="1">
        <v>1400013861</v>
      </c>
      <c r="G69" s="1" t="s">
        <v>77</v>
      </c>
      <c r="I69" s="1" t="s">
        <v>77</v>
      </c>
      <c r="K69" s="2">
        <v>-33000000</v>
      </c>
      <c r="L69" s="1" t="s">
        <v>22</v>
      </c>
      <c r="N69" s="2">
        <v>-33000000</v>
      </c>
      <c r="O69" s="1" t="s">
        <v>22</v>
      </c>
      <c r="P69" s="1" t="s">
        <v>441</v>
      </c>
      <c r="Q69" s="1">
        <v>1</v>
      </c>
    </row>
    <row r="70" spans="1:17" x14ac:dyDescent="0.2">
      <c r="D70" s="1" t="s">
        <v>20</v>
      </c>
      <c r="E70" s="1">
        <v>1400013903</v>
      </c>
      <c r="G70" s="1" t="s">
        <v>66</v>
      </c>
      <c r="I70" s="1" t="s">
        <v>66</v>
      </c>
      <c r="K70" s="2">
        <v>-60000000</v>
      </c>
      <c r="L70" s="1" t="s">
        <v>22</v>
      </c>
      <c r="N70" s="2">
        <v>-60000000</v>
      </c>
      <c r="O70" s="1" t="s">
        <v>22</v>
      </c>
      <c r="P70" s="1" t="s">
        <v>442</v>
      </c>
      <c r="Q70" s="1">
        <v>1</v>
      </c>
    </row>
    <row r="71" spans="1:17" x14ac:dyDescent="0.2">
      <c r="D71" s="1" t="s">
        <v>20</v>
      </c>
      <c r="E71" s="1">
        <v>1400013903</v>
      </c>
      <c r="G71" s="1" t="s">
        <v>66</v>
      </c>
      <c r="I71" s="1" t="s">
        <v>66</v>
      </c>
      <c r="K71" s="2">
        <v>-38000000</v>
      </c>
      <c r="L71" s="1" t="s">
        <v>22</v>
      </c>
      <c r="N71" s="2">
        <v>-38000000</v>
      </c>
      <c r="O71" s="1" t="s">
        <v>22</v>
      </c>
      <c r="P71" s="1" t="s">
        <v>443</v>
      </c>
      <c r="Q71" s="1">
        <v>1</v>
      </c>
    </row>
    <row r="72" spans="1:17" x14ac:dyDescent="0.2">
      <c r="D72" s="1" t="s">
        <v>20</v>
      </c>
      <c r="E72" s="1">
        <v>1400013903</v>
      </c>
      <c r="G72" s="1" t="s">
        <v>66</v>
      </c>
      <c r="I72" s="1" t="s">
        <v>66</v>
      </c>
      <c r="K72" s="2">
        <v>-73000000</v>
      </c>
      <c r="L72" s="1" t="s">
        <v>22</v>
      </c>
      <c r="N72" s="2">
        <v>-73000000</v>
      </c>
      <c r="O72" s="1" t="s">
        <v>22</v>
      </c>
      <c r="P72" s="1" t="s">
        <v>444</v>
      </c>
      <c r="Q72" s="1">
        <v>1</v>
      </c>
    </row>
    <row r="73" spans="1:17" x14ac:dyDescent="0.2">
      <c r="D73" s="1" t="s">
        <v>20</v>
      </c>
      <c r="E73" s="1">
        <v>1400013903</v>
      </c>
      <c r="G73" s="1" t="s">
        <v>66</v>
      </c>
      <c r="I73" s="1" t="s">
        <v>66</v>
      </c>
      <c r="K73" s="2">
        <v>-86000000</v>
      </c>
      <c r="L73" s="1" t="s">
        <v>22</v>
      </c>
      <c r="N73" s="2">
        <v>-86000000</v>
      </c>
      <c r="O73" s="1" t="s">
        <v>22</v>
      </c>
      <c r="P73" s="1" t="s">
        <v>445</v>
      </c>
      <c r="Q73" s="1">
        <v>1</v>
      </c>
    </row>
    <row r="75" spans="1:17" x14ac:dyDescent="0.2">
      <c r="B75" s="1" t="s">
        <v>25</v>
      </c>
      <c r="K75" s="2">
        <v>-399000000</v>
      </c>
      <c r="L75" s="1" t="s">
        <v>22</v>
      </c>
      <c r="N75" s="2">
        <v>-399000000</v>
      </c>
      <c r="O75" s="1" t="s">
        <v>22</v>
      </c>
    </row>
    <row r="77" spans="1:17" x14ac:dyDescent="0.2">
      <c r="A77" s="3"/>
      <c r="B77" s="3" t="s">
        <v>26</v>
      </c>
      <c r="C77" s="3" t="s">
        <v>80</v>
      </c>
      <c r="D77" s="3"/>
      <c r="E77" s="3"/>
      <c r="F77" s="3"/>
      <c r="G77" s="3"/>
      <c r="H77" s="3"/>
      <c r="I77" s="3"/>
      <c r="J77" s="3"/>
      <c r="K77" s="4">
        <v>-399000000</v>
      </c>
      <c r="L77" s="3" t="s">
        <v>22</v>
      </c>
      <c r="M77" s="3"/>
      <c r="N77" s="4">
        <v>-399000000</v>
      </c>
      <c r="O77" s="3" t="s">
        <v>22</v>
      </c>
      <c r="P77" s="3"/>
      <c r="Q77" s="3"/>
    </row>
    <row r="79" spans="1:17" x14ac:dyDescent="0.2">
      <c r="A79" s="1" t="s">
        <v>0</v>
      </c>
      <c r="F79" s="1">
        <v>500790</v>
      </c>
    </row>
    <row r="80" spans="1:17" x14ac:dyDescent="0.2">
      <c r="A80" s="1" t="s">
        <v>1</v>
      </c>
      <c r="F80" s="1" t="s">
        <v>40</v>
      </c>
    </row>
    <row r="82" spans="1:17" x14ac:dyDescent="0.2">
      <c r="A82" s="1" t="s">
        <v>3</v>
      </c>
      <c r="F82" s="1" t="s">
        <v>81</v>
      </c>
    </row>
    <row r="83" spans="1:17" x14ac:dyDescent="0.2">
      <c r="A83" s="1" t="s">
        <v>5</v>
      </c>
    </row>
    <row r="86" spans="1:17" x14ac:dyDescent="0.2">
      <c r="C86" s="1" t="s">
        <v>6</v>
      </c>
      <c r="D86" s="1" t="s">
        <v>7</v>
      </c>
      <c r="E86" s="1" t="s">
        <v>8</v>
      </c>
      <c r="G86" s="1" t="s">
        <v>9</v>
      </c>
      <c r="H86" s="1" t="s">
        <v>10</v>
      </c>
      <c r="I86" s="1" t="s">
        <v>11</v>
      </c>
      <c r="J86" s="1" t="s">
        <v>12</v>
      </c>
      <c r="K86" s="1" t="s">
        <v>13</v>
      </c>
      <c r="L86" s="1" t="s">
        <v>14</v>
      </c>
      <c r="M86" s="1" t="s">
        <v>15</v>
      </c>
      <c r="N86" s="1" t="s">
        <v>16</v>
      </c>
      <c r="O86" s="1" t="s">
        <v>17</v>
      </c>
      <c r="P86" s="1" t="s">
        <v>18</v>
      </c>
      <c r="Q86" s="1" t="s">
        <v>19</v>
      </c>
    </row>
    <row r="88" spans="1:17" x14ac:dyDescent="0.2">
      <c r="D88" s="1" t="s">
        <v>20</v>
      </c>
      <c r="E88" s="1">
        <v>1400013726</v>
      </c>
      <c r="G88" s="1" t="s">
        <v>46</v>
      </c>
      <c r="I88" s="1" t="s">
        <v>46</v>
      </c>
      <c r="K88" s="2">
        <v>-4000000</v>
      </c>
      <c r="L88" s="1" t="s">
        <v>22</v>
      </c>
      <c r="N88" s="2">
        <v>-4000000</v>
      </c>
      <c r="O88" s="1" t="s">
        <v>22</v>
      </c>
      <c r="P88" s="1" t="s">
        <v>446</v>
      </c>
      <c r="Q88" s="1">
        <v>1</v>
      </c>
    </row>
    <row r="89" spans="1:17" x14ac:dyDescent="0.2">
      <c r="D89" s="1" t="s">
        <v>20</v>
      </c>
      <c r="E89" s="1">
        <v>1400013726</v>
      </c>
      <c r="G89" s="1" t="s">
        <v>46</v>
      </c>
      <c r="I89" s="1" t="s">
        <v>46</v>
      </c>
      <c r="K89" s="2">
        <v>-4000000</v>
      </c>
      <c r="L89" s="1" t="s">
        <v>22</v>
      </c>
      <c r="N89" s="2">
        <v>-4000000</v>
      </c>
      <c r="O89" s="1" t="s">
        <v>22</v>
      </c>
      <c r="P89" s="1" t="s">
        <v>447</v>
      </c>
      <c r="Q89" s="1">
        <v>1</v>
      </c>
    </row>
    <row r="90" spans="1:17" x14ac:dyDescent="0.2">
      <c r="D90" s="1" t="s">
        <v>20</v>
      </c>
      <c r="E90" s="1">
        <v>1400013740</v>
      </c>
      <c r="G90" s="1" t="s">
        <v>48</v>
      </c>
      <c r="I90" s="1" t="s">
        <v>48</v>
      </c>
      <c r="K90" s="2">
        <v>-3000000</v>
      </c>
      <c r="L90" s="1" t="s">
        <v>22</v>
      </c>
      <c r="N90" s="2">
        <v>-3000000</v>
      </c>
      <c r="O90" s="1" t="s">
        <v>22</v>
      </c>
      <c r="P90" s="1" t="s">
        <v>448</v>
      </c>
      <c r="Q90" s="1">
        <v>1</v>
      </c>
    </row>
    <row r="91" spans="1:17" x14ac:dyDescent="0.2">
      <c r="D91" s="1" t="s">
        <v>20</v>
      </c>
      <c r="E91" s="1">
        <v>1400013753</v>
      </c>
      <c r="G91" s="1" t="s">
        <v>59</v>
      </c>
      <c r="I91" s="1" t="s">
        <v>59</v>
      </c>
      <c r="K91" s="2">
        <v>-3500000</v>
      </c>
      <c r="L91" s="1" t="s">
        <v>22</v>
      </c>
      <c r="N91" s="2">
        <v>-3500000</v>
      </c>
      <c r="O91" s="1" t="s">
        <v>22</v>
      </c>
      <c r="P91" s="1" t="s">
        <v>449</v>
      </c>
      <c r="Q91" s="1">
        <v>1</v>
      </c>
    </row>
    <row r="92" spans="1:17" x14ac:dyDescent="0.2">
      <c r="D92" s="1" t="s">
        <v>20</v>
      </c>
      <c r="E92" s="1">
        <v>1400013763</v>
      </c>
      <c r="G92" s="1" t="s">
        <v>61</v>
      </c>
      <c r="I92" s="1" t="s">
        <v>61</v>
      </c>
      <c r="K92" s="2">
        <v>-3300000</v>
      </c>
      <c r="L92" s="1" t="s">
        <v>22</v>
      </c>
      <c r="N92" s="2">
        <v>-3300000</v>
      </c>
      <c r="O92" s="1" t="s">
        <v>22</v>
      </c>
      <c r="P92" s="1" t="s">
        <v>450</v>
      </c>
      <c r="Q92" s="1">
        <v>1</v>
      </c>
    </row>
    <row r="93" spans="1:17" x14ac:dyDescent="0.2">
      <c r="D93" s="1" t="s">
        <v>20</v>
      </c>
      <c r="E93" s="1">
        <v>1400013773</v>
      </c>
      <c r="G93" s="1" t="s">
        <v>113</v>
      </c>
      <c r="I93" s="1" t="s">
        <v>113</v>
      </c>
      <c r="K93" s="2">
        <v>-3000000</v>
      </c>
      <c r="L93" s="1" t="s">
        <v>22</v>
      </c>
      <c r="N93" s="2">
        <v>-3000000</v>
      </c>
      <c r="O93" s="1" t="s">
        <v>22</v>
      </c>
      <c r="P93" s="1" t="s">
        <v>451</v>
      </c>
      <c r="Q93" s="1">
        <v>1</v>
      </c>
    </row>
    <row r="94" spans="1:17" x14ac:dyDescent="0.2">
      <c r="D94" s="1" t="s">
        <v>20</v>
      </c>
      <c r="E94" s="1">
        <v>1400013789</v>
      </c>
      <c r="G94" s="1" t="s">
        <v>36</v>
      </c>
      <c r="I94" s="1" t="s">
        <v>36</v>
      </c>
      <c r="K94" s="2">
        <v>-3000000</v>
      </c>
      <c r="L94" s="1" t="s">
        <v>22</v>
      </c>
      <c r="N94" s="2">
        <v>-3000000</v>
      </c>
      <c r="O94" s="1" t="s">
        <v>22</v>
      </c>
      <c r="P94" s="1" t="s">
        <v>452</v>
      </c>
      <c r="Q94" s="1">
        <v>1</v>
      </c>
    </row>
    <row r="95" spans="1:17" x14ac:dyDescent="0.2">
      <c r="D95" s="1" t="s">
        <v>20</v>
      </c>
      <c r="E95" s="1">
        <v>1400013792</v>
      </c>
      <c r="G95" s="1" t="s">
        <v>30</v>
      </c>
      <c r="I95" s="1" t="s">
        <v>30</v>
      </c>
      <c r="K95" s="2">
        <v>-3000000</v>
      </c>
      <c r="L95" s="1" t="s">
        <v>22</v>
      </c>
      <c r="N95" s="2">
        <v>-3000000</v>
      </c>
      <c r="O95" s="1" t="s">
        <v>22</v>
      </c>
      <c r="P95" s="1" t="s">
        <v>453</v>
      </c>
      <c r="Q95" s="1">
        <v>1</v>
      </c>
    </row>
    <row r="96" spans="1:17" x14ac:dyDescent="0.2">
      <c r="D96" s="1" t="s">
        <v>20</v>
      </c>
      <c r="E96" s="1">
        <v>1400013871</v>
      </c>
      <c r="G96" s="1" t="s">
        <v>64</v>
      </c>
      <c r="I96" s="1" t="s">
        <v>64</v>
      </c>
      <c r="K96" s="2">
        <v>-4000000</v>
      </c>
      <c r="L96" s="1" t="s">
        <v>22</v>
      </c>
      <c r="N96" s="2">
        <v>-4000000</v>
      </c>
      <c r="O96" s="1" t="s">
        <v>22</v>
      </c>
      <c r="P96" s="1" t="s">
        <v>454</v>
      </c>
      <c r="Q96" s="1">
        <v>1</v>
      </c>
    </row>
    <row r="98" spans="1:17" x14ac:dyDescent="0.2">
      <c r="B98" s="1" t="s">
        <v>25</v>
      </c>
      <c r="K98" s="2">
        <v>-30800000</v>
      </c>
      <c r="L98" s="1" t="s">
        <v>22</v>
      </c>
      <c r="N98" s="2">
        <v>-30800000</v>
      </c>
      <c r="O98" s="1" t="s">
        <v>22</v>
      </c>
    </row>
    <row r="100" spans="1:17" x14ac:dyDescent="0.2">
      <c r="A100" s="3"/>
      <c r="B100" s="3" t="s">
        <v>26</v>
      </c>
      <c r="C100" s="3" t="s">
        <v>96</v>
      </c>
      <c r="D100" s="3"/>
      <c r="E100" s="3"/>
      <c r="F100" s="3"/>
      <c r="G100" s="3"/>
      <c r="H100" s="3"/>
      <c r="I100" s="3"/>
      <c r="J100" s="3"/>
      <c r="K100" s="4">
        <v>-30800000</v>
      </c>
      <c r="L100" s="3" t="s">
        <v>22</v>
      </c>
      <c r="M100" s="3"/>
      <c r="N100" s="4">
        <v>-30800000</v>
      </c>
      <c r="O100" s="3" t="s">
        <v>22</v>
      </c>
      <c r="P100" s="3"/>
      <c r="Q100" s="3"/>
    </row>
    <row r="102" spans="1:17" x14ac:dyDescent="0.2">
      <c r="A102" s="1" t="s">
        <v>0</v>
      </c>
      <c r="F102" s="1">
        <v>500943</v>
      </c>
    </row>
    <row r="103" spans="1:17" x14ac:dyDescent="0.2">
      <c r="A103" s="1" t="s">
        <v>1</v>
      </c>
      <c r="F103" s="1" t="s">
        <v>40</v>
      </c>
    </row>
    <row r="105" spans="1:17" x14ac:dyDescent="0.2">
      <c r="A105" s="1" t="s">
        <v>3</v>
      </c>
      <c r="F105" s="1" t="s">
        <v>455</v>
      </c>
    </row>
    <row r="106" spans="1:17" x14ac:dyDescent="0.2">
      <c r="A106" s="1" t="s">
        <v>5</v>
      </c>
      <c r="F106" s="1" t="s">
        <v>395</v>
      </c>
    </row>
    <row r="109" spans="1:17" x14ac:dyDescent="0.2">
      <c r="C109" s="1" t="s">
        <v>6</v>
      </c>
      <c r="D109" s="1" t="s">
        <v>7</v>
      </c>
      <c r="E109" s="1" t="s">
        <v>8</v>
      </c>
      <c r="G109" s="1" t="s">
        <v>9</v>
      </c>
      <c r="H109" s="1" t="s">
        <v>10</v>
      </c>
      <c r="I109" s="1" t="s">
        <v>11</v>
      </c>
      <c r="J109" s="1" t="s">
        <v>12</v>
      </c>
      <c r="K109" s="1" t="s">
        <v>13</v>
      </c>
      <c r="L109" s="1" t="s">
        <v>14</v>
      </c>
      <c r="M109" s="1" t="s">
        <v>15</v>
      </c>
      <c r="N109" s="1" t="s">
        <v>16</v>
      </c>
      <c r="O109" s="1" t="s">
        <v>17</v>
      </c>
      <c r="P109" s="1" t="s">
        <v>18</v>
      </c>
      <c r="Q109" s="1" t="s">
        <v>19</v>
      </c>
    </row>
    <row r="111" spans="1:17" x14ac:dyDescent="0.2">
      <c r="D111" s="1" t="s">
        <v>20</v>
      </c>
      <c r="E111" s="1">
        <v>1400013675</v>
      </c>
      <c r="G111" s="1" t="s">
        <v>46</v>
      </c>
      <c r="I111" s="1" t="s">
        <v>46</v>
      </c>
      <c r="K111" s="2">
        <v>-202539.43</v>
      </c>
      <c r="L111" s="1" t="s">
        <v>22</v>
      </c>
      <c r="N111" s="2">
        <v>-202539.43</v>
      </c>
      <c r="O111" s="1" t="s">
        <v>22</v>
      </c>
      <c r="P111" s="1" t="s">
        <v>456</v>
      </c>
      <c r="Q111" s="1">
        <v>1</v>
      </c>
    </row>
    <row r="113" spans="1:17" x14ac:dyDescent="0.2">
      <c r="B113" s="1" t="s">
        <v>25</v>
      </c>
      <c r="K113" s="2">
        <v>-202539.43</v>
      </c>
      <c r="L113" s="1" t="s">
        <v>22</v>
      </c>
      <c r="N113" s="2">
        <v>-202539.43</v>
      </c>
      <c r="O113" s="1" t="s">
        <v>22</v>
      </c>
    </row>
    <row r="115" spans="1:17" x14ac:dyDescent="0.2">
      <c r="A115" s="3"/>
      <c r="B115" s="3" t="s">
        <v>26</v>
      </c>
      <c r="C115" s="3" t="s">
        <v>457</v>
      </c>
      <c r="D115" s="3"/>
      <c r="E115" s="3"/>
      <c r="F115" s="3"/>
      <c r="G115" s="3"/>
      <c r="H115" s="3"/>
      <c r="I115" s="3"/>
      <c r="J115" s="3"/>
      <c r="K115" s="4">
        <v>-202539.43</v>
      </c>
      <c r="L115" s="3" t="s">
        <v>22</v>
      </c>
      <c r="M115" s="3"/>
      <c r="N115" s="4">
        <v>-202539.43</v>
      </c>
      <c r="O115" s="3" t="s">
        <v>22</v>
      </c>
      <c r="P115" s="3"/>
      <c r="Q115" s="3"/>
    </row>
    <row r="117" spans="1:17" x14ac:dyDescent="0.2">
      <c r="A117" s="1" t="s">
        <v>0</v>
      </c>
      <c r="F117" s="1">
        <v>500947</v>
      </c>
    </row>
    <row r="118" spans="1:17" x14ac:dyDescent="0.2">
      <c r="A118" s="1" t="s">
        <v>1</v>
      </c>
      <c r="F118" s="1" t="s">
        <v>40</v>
      </c>
    </row>
    <row r="120" spans="1:17" x14ac:dyDescent="0.2">
      <c r="A120" s="1" t="s">
        <v>3</v>
      </c>
      <c r="F120" s="1" t="s">
        <v>458</v>
      </c>
    </row>
    <row r="121" spans="1:17" x14ac:dyDescent="0.2">
      <c r="A121" s="1" t="s">
        <v>5</v>
      </c>
    </row>
    <row r="124" spans="1:17" x14ac:dyDescent="0.2">
      <c r="C124" s="1" t="s">
        <v>6</v>
      </c>
      <c r="D124" s="1" t="s">
        <v>7</v>
      </c>
      <c r="E124" s="1" t="s">
        <v>8</v>
      </c>
      <c r="G124" s="1" t="s">
        <v>9</v>
      </c>
      <c r="H124" s="1" t="s">
        <v>10</v>
      </c>
      <c r="I124" s="1" t="s">
        <v>11</v>
      </c>
      <c r="J124" s="1" t="s">
        <v>12</v>
      </c>
      <c r="K124" s="1" t="s">
        <v>13</v>
      </c>
      <c r="L124" s="1" t="s">
        <v>14</v>
      </c>
      <c r="M124" s="1" t="s">
        <v>15</v>
      </c>
      <c r="N124" s="1" t="s">
        <v>16</v>
      </c>
      <c r="O124" s="1" t="s">
        <v>17</v>
      </c>
      <c r="P124" s="1" t="s">
        <v>18</v>
      </c>
      <c r="Q124" s="1" t="s">
        <v>19</v>
      </c>
    </row>
    <row r="126" spans="1:17" x14ac:dyDescent="0.2">
      <c r="D126" s="1" t="s">
        <v>20</v>
      </c>
      <c r="E126" s="1">
        <v>1400013804</v>
      </c>
      <c r="G126" s="1" t="s">
        <v>85</v>
      </c>
      <c r="I126" s="1" t="s">
        <v>85</v>
      </c>
      <c r="K126" s="2">
        <v>-359483.28</v>
      </c>
      <c r="L126" s="1" t="s">
        <v>22</v>
      </c>
      <c r="N126" s="2">
        <v>-87839.53</v>
      </c>
      <c r="O126" s="1" t="s">
        <v>31</v>
      </c>
      <c r="P126" s="1" t="s">
        <v>459</v>
      </c>
      <c r="Q126" s="1">
        <v>4.0925000000000002</v>
      </c>
    </row>
    <row r="127" spans="1:17" x14ac:dyDescent="0.2">
      <c r="D127" s="1" t="s">
        <v>20</v>
      </c>
      <c r="E127" s="1">
        <v>1400013804</v>
      </c>
      <c r="G127" s="1" t="s">
        <v>85</v>
      </c>
      <c r="I127" s="1" t="s">
        <v>85</v>
      </c>
      <c r="K127" s="2">
        <v>-2914516.72</v>
      </c>
      <c r="L127" s="1" t="s">
        <v>22</v>
      </c>
      <c r="N127" s="2">
        <v>-712160.47</v>
      </c>
      <c r="O127" s="1" t="s">
        <v>31</v>
      </c>
      <c r="P127" s="1" t="s">
        <v>459</v>
      </c>
      <c r="Q127" s="1">
        <v>4.0925000000000002</v>
      </c>
    </row>
    <row r="128" spans="1:17" x14ac:dyDescent="0.2">
      <c r="D128" s="1" t="s">
        <v>20</v>
      </c>
      <c r="E128" s="1">
        <v>1400013805</v>
      </c>
      <c r="G128" s="1" t="s">
        <v>59</v>
      </c>
      <c r="I128" s="1" t="s">
        <v>59</v>
      </c>
      <c r="K128" s="2">
        <v>-187359.6</v>
      </c>
      <c r="L128" s="1" t="s">
        <v>22</v>
      </c>
      <c r="N128" s="2">
        <v>-45837.21</v>
      </c>
      <c r="O128" s="1" t="s">
        <v>31</v>
      </c>
      <c r="P128" s="1" t="s">
        <v>459</v>
      </c>
      <c r="Q128" s="1">
        <v>4.0875000000000004</v>
      </c>
    </row>
    <row r="130" spans="1:17" x14ac:dyDescent="0.2">
      <c r="B130" s="1" t="s">
        <v>25</v>
      </c>
      <c r="K130" s="2">
        <f>SUM(K126:K129)</f>
        <v>-3461359.6</v>
      </c>
      <c r="L130" s="1" t="s">
        <v>22</v>
      </c>
      <c r="N130" s="2">
        <f>SUM(N126:N129)</f>
        <v>-845837.21</v>
      </c>
      <c r="O130" s="1" t="s">
        <v>31</v>
      </c>
    </row>
    <row r="132" spans="1:17" x14ac:dyDescent="0.2">
      <c r="A132" s="3"/>
      <c r="B132" s="3" t="s">
        <v>26</v>
      </c>
      <c r="C132" s="3" t="s">
        <v>460</v>
      </c>
      <c r="D132" s="3"/>
      <c r="E132" s="3"/>
      <c r="F132" s="3"/>
      <c r="G132" s="3"/>
      <c r="H132" s="3"/>
      <c r="I132" s="3"/>
      <c r="J132" s="3"/>
      <c r="K132" s="4">
        <f>K130</f>
        <v>-3461359.6</v>
      </c>
      <c r="L132" s="3" t="s">
        <v>22</v>
      </c>
      <c r="M132" s="3"/>
      <c r="N132" s="4">
        <f>N130</f>
        <v>-845837.21</v>
      </c>
      <c r="O132" s="3" t="s">
        <v>31</v>
      </c>
      <c r="P132" s="3"/>
      <c r="Q132" s="3"/>
    </row>
    <row r="134" spans="1:17" x14ac:dyDescent="0.2">
      <c r="A134" s="1" t="s">
        <v>0</v>
      </c>
      <c r="F134" s="1">
        <v>500995</v>
      </c>
    </row>
    <row r="135" spans="1:17" x14ac:dyDescent="0.2">
      <c r="A135" s="1" t="s">
        <v>1</v>
      </c>
      <c r="F135" s="1" t="s">
        <v>40</v>
      </c>
    </row>
    <row r="137" spans="1:17" x14ac:dyDescent="0.2">
      <c r="A137" s="1" t="s">
        <v>3</v>
      </c>
      <c r="F137" s="1" t="s">
        <v>97</v>
      </c>
    </row>
    <row r="138" spans="1:17" x14ac:dyDescent="0.2">
      <c r="A138" s="1" t="s">
        <v>5</v>
      </c>
    </row>
    <row r="141" spans="1:17" x14ac:dyDescent="0.2">
      <c r="C141" s="1" t="s">
        <v>6</v>
      </c>
      <c r="D141" s="1" t="s">
        <v>7</v>
      </c>
      <c r="E141" s="1" t="s">
        <v>8</v>
      </c>
      <c r="G141" s="1" t="s">
        <v>9</v>
      </c>
      <c r="H141" s="1" t="s">
        <v>10</v>
      </c>
      <c r="I141" s="1" t="s">
        <v>11</v>
      </c>
      <c r="J141" s="1" t="s">
        <v>12</v>
      </c>
      <c r="K141" s="1" t="s">
        <v>13</v>
      </c>
      <c r="L141" s="1" t="s">
        <v>14</v>
      </c>
      <c r="M141" s="1" t="s">
        <v>15</v>
      </c>
      <c r="N141" s="1" t="s">
        <v>16</v>
      </c>
      <c r="O141" s="1" t="s">
        <v>17</v>
      </c>
      <c r="P141" s="1" t="s">
        <v>18</v>
      </c>
      <c r="Q141" s="1" t="s">
        <v>19</v>
      </c>
    </row>
    <row r="143" spans="1:17" x14ac:dyDescent="0.2">
      <c r="D143" s="1" t="s">
        <v>20</v>
      </c>
      <c r="E143" s="1">
        <v>1400013680</v>
      </c>
      <c r="G143" s="1" t="s">
        <v>44</v>
      </c>
      <c r="I143" s="1" t="s">
        <v>44</v>
      </c>
      <c r="K143" s="2">
        <v>-48000</v>
      </c>
      <c r="L143" s="1" t="s">
        <v>22</v>
      </c>
      <c r="N143" s="2">
        <v>-48000</v>
      </c>
      <c r="O143" s="1" t="s">
        <v>22</v>
      </c>
      <c r="P143" s="1" t="s">
        <v>461</v>
      </c>
      <c r="Q143" s="1">
        <v>1</v>
      </c>
    </row>
    <row r="144" spans="1:17" x14ac:dyDescent="0.2">
      <c r="D144" s="1" t="s">
        <v>20</v>
      </c>
      <c r="E144" s="1">
        <v>1400013743</v>
      </c>
      <c r="G144" s="1" t="s">
        <v>57</v>
      </c>
      <c r="I144" s="1" t="s">
        <v>57</v>
      </c>
      <c r="K144" s="2">
        <v>-890000</v>
      </c>
      <c r="L144" s="1" t="s">
        <v>22</v>
      </c>
      <c r="N144" s="2">
        <v>-890000</v>
      </c>
      <c r="O144" s="1" t="s">
        <v>22</v>
      </c>
      <c r="P144" s="1" t="s">
        <v>462</v>
      </c>
      <c r="Q144" s="1">
        <v>1</v>
      </c>
    </row>
    <row r="145" spans="1:17" x14ac:dyDescent="0.2">
      <c r="D145" s="1" t="s">
        <v>20</v>
      </c>
      <c r="E145" s="1">
        <v>1400013750</v>
      </c>
      <c r="G145" s="1" t="s">
        <v>85</v>
      </c>
      <c r="I145" s="1" t="s">
        <v>85</v>
      </c>
      <c r="K145" s="2">
        <v>-275000</v>
      </c>
      <c r="L145" s="1" t="s">
        <v>22</v>
      </c>
      <c r="N145" s="2">
        <v>-275000</v>
      </c>
      <c r="O145" s="1" t="s">
        <v>22</v>
      </c>
      <c r="P145" s="1" t="s">
        <v>463</v>
      </c>
      <c r="Q145" s="1">
        <v>1</v>
      </c>
    </row>
    <row r="146" spans="1:17" x14ac:dyDescent="0.2">
      <c r="D146" s="1" t="s">
        <v>20</v>
      </c>
      <c r="E146" s="1">
        <v>1400013750</v>
      </c>
      <c r="G146" s="1" t="s">
        <v>85</v>
      </c>
      <c r="I146" s="1" t="s">
        <v>85</v>
      </c>
      <c r="K146" s="2">
        <v>-213000</v>
      </c>
      <c r="L146" s="1" t="s">
        <v>22</v>
      </c>
      <c r="N146" s="2">
        <v>-213000</v>
      </c>
      <c r="O146" s="1" t="s">
        <v>22</v>
      </c>
      <c r="P146" s="1" t="s">
        <v>464</v>
      </c>
      <c r="Q146" s="1">
        <v>1</v>
      </c>
    </row>
    <row r="147" spans="1:17" x14ac:dyDescent="0.2">
      <c r="D147" s="1" t="s">
        <v>20</v>
      </c>
      <c r="E147" s="1">
        <v>1400013775</v>
      </c>
      <c r="G147" s="1" t="s">
        <v>85</v>
      </c>
      <c r="I147" s="1" t="s">
        <v>85</v>
      </c>
      <c r="K147" s="2">
        <v>-565000</v>
      </c>
      <c r="L147" s="1" t="s">
        <v>22</v>
      </c>
      <c r="N147" s="2">
        <v>-565000</v>
      </c>
      <c r="O147" s="1" t="s">
        <v>22</v>
      </c>
      <c r="P147" s="1" t="s">
        <v>465</v>
      </c>
      <c r="Q147" s="1">
        <v>1</v>
      </c>
    </row>
    <row r="148" spans="1:17" x14ac:dyDescent="0.2">
      <c r="D148" s="1" t="s">
        <v>20</v>
      </c>
      <c r="E148" s="1">
        <v>1400013784</v>
      </c>
      <c r="G148" s="1" t="s">
        <v>90</v>
      </c>
      <c r="I148" s="1" t="s">
        <v>90</v>
      </c>
      <c r="K148" s="2">
        <v>-254000</v>
      </c>
      <c r="L148" s="1" t="s">
        <v>22</v>
      </c>
      <c r="N148" s="2">
        <v>-254000</v>
      </c>
      <c r="O148" s="1" t="s">
        <v>22</v>
      </c>
      <c r="P148" s="1" t="s">
        <v>466</v>
      </c>
      <c r="Q148" s="1">
        <v>1</v>
      </c>
    </row>
    <row r="149" spans="1:17" x14ac:dyDescent="0.2">
      <c r="D149" s="1" t="s">
        <v>20</v>
      </c>
      <c r="E149" s="1">
        <v>1400013874</v>
      </c>
      <c r="G149" s="1" t="s">
        <v>64</v>
      </c>
      <c r="I149" s="1" t="s">
        <v>64</v>
      </c>
      <c r="K149" s="2">
        <v>-68000</v>
      </c>
      <c r="L149" s="1" t="s">
        <v>22</v>
      </c>
      <c r="N149" s="2">
        <v>-68000</v>
      </c>
      <c r="O149" s="1" t="s">
        <v>22</v>
      </c>
      <c r="P149" s="1" t="s">
        <v>467</v>
      </c>
      <c r="Q149" s="1">
        <v>1</v>
      </c>
    </row>
    <row r="151" spans="1:17" x14ac:dyDescent="0.2">
      <c r="B151" s="1" t="s">
        <v>25</v>
      </c>
      <c r="K151" s="2">
        <v>-2313000</v>
      </c>
      <c r="L151" s="1" t="s">
        <v>22</v>
      </c>
      <c r="N151" s="2">
        <v>-2313000</v>
      </c>
      <c r="O151" s="1" t="s">
        <v>22</v>
      </c>
    </row>
    <row r="153" spans="1:17" x14ac:dyDescent="0.2">
      <c r="A153" s="3"/>
      <c r="B153" s="3" t="s">
        <v>26</v>
      </c>
      <c r="C153" s="3" t="s">
        <v>102</v>
      </c>
      <c r="D153" s="3"/>
      <c r="E153" s="3"/>
      <c r="F153" s="3"/>
      <c r="G153" s="3"/>
      <c r="H153" s="3"/>
      <c r="I153" s="3"/>
      <c r="J153" s="3"/>
      <c r="K153" s="4">
        <v>-2313000</v>
      </c>
      <c r="L153" s="3" t="s">
        <v>22</v>
      </c>
      <c r="M153" s="3"/>
      <c r="N153" s="4">
        <v>-2313000</v>
      </c>
      <c r="O153" s="3" t="s">
        <v>22</v>
      </c>
      <c r="P153" s="3"/>
      <c r="Q153" s="3"/>
    </row>
    <row r="155" spans="1:17" x14ac:dyDescent="0.2">
      <c r="A155" s="1" t="s">
        <v>0</v>
      </c>
      <c r="F155" s="1">
        <v>501018</v>
      </c>
    </row>
    <row r="156" spans="1:17" x14ac:dyDescent="0.2">
      <c r="A156" s="1" t="s">
        <v>1</v>
      </c>
      <c r="F156" s="1" t="s">
        <v>40</v>
      </c>
    </row>
    <row r="158" spans="1:17" x14ac:dyDescent="0.2">
      <c r="A158" s="1" t="s">
        <v>3</v>
      </c>
      <c r="F158" s="1" t="s">
        <v>468</v>
      </c>
    </row>
    <row r="159" spans="1:17" x14ac:dyDescent="0.2">
      <c r="A159" s="1" t="s">
        <v>5</v>
      </c>
    </row>
    <row r="162" spans="1:17" x14ac:dyDescent="0.2">
      <c r="C162" s="1" t="s">
        <v>6</v>
      </c>
      <c r="D162" s="1" t="s">
        <v>7</v>
      </c>
      <c r="E162" s="1" t="s">
        <v>8</v>
      </c>
      <c r="G162" s="1" t="s">
        <v>9</v>
      </c>
      <c r="H162" s="1" t="s">
        <v>10</v>
      </c>
      <c r="I162" s="1" t="s">
        <v>11</v>
      </c>
      <c r="J162" s="1" t="s">
        <v>12</v>
      </c>
      <c r="K162" s="1" t="s">
        <v>13</v>
      </c>
      <c r="L162" s="1" t="s">
        <v>14</v>
      </c>
      <c r="M162" s="1" t="s">
        <v>15</v>
      </c>
      <c r="N162" s="1" t="s">
        <v>16</v>
      </c>
      <c r="O162" s="1" t="s">
        <v>17</v>
      </c>
      <c r="P162" s="1" t="s">
        <v>18</v>
      </c>
      <c r="Q162" s="1" t="s">
        <v>19</v>
      </c>
    </row>
    <row r="164" spans="1:17" x14ac:dyDescent="0.2">
      <c r="D164" s="1" t="s">
        <v>20</v>
      </c>
      <c r="E164" s="1">
        <v>1400013911</v>
      </c>
      <c r="G164" s="1" t="s">
        <v>64</v>
      </c>
      <c r="I164" s="1" t="s">
        <v>64</v>
      </c>
      <c r="K164" s="2">
        <v>-1716978.88</v>
      </c>
      <c r="L164" s="1" t="s">
        <v>22</v>
      </c>
      <c r="N164" s="2">
        <v>-424259.67</v>
      </c>
      <c r="O164" s="1" t="s">
        <v>31</v>
      </c>
      <c r="P164" s="1" t="s">
        <v>469</v>
      </c>
      <c r="Q164" s="1">
        <v>4.0469999999999997</v>
      </c>
    </row>
    <row r="166" spans="1:17" x14ac:dyDescent="0.2">
      <c r="B166" s="1" t="s">
        <v>25</v>
      </c>
      <c r="K166" s="2">
        <v>-1716978.88</v>
      </c>
      <c r="L166" s="1" t="s">
        <v>22</v>
      </c>
      <c r="N166" s="2">
        <v>-424259.67</v>
      </c>
      <c r="O166" s="1" t="s">
        <v>31</v>
      </c>
    </row>
    <row r="168" spans="1:17" x14ac:dyDescent="0.2">
      <c r="A168" s="3"/>
      <c r="B168" s="3" t="s">
        <v>26</v>
      </c>
      <c r="C168" s="3" t="s">
        <v>470</v>
      </c>
      <c r="D168" s="3"/>
      <c r="E168" s="3"/>
      <c r="F168" s="3"/>
      <c r="G168" s="3"/>
      <c r="H168" s="3"/>
      <c r="I168" s="3"/>
      <c r="J168" s="3"/>
      <c r="K168" s="4">
        <v>-1716978.88</v>
      </c>
      <c r="L168" s="3" t="s">
        <v>22</v>
      </c>
      <c r="M168" s="3"/>
      <c r="N168" s="4">
        <v>-424259.67</v>
      </c>
      <c r="O168" s="3" t="s">
        <v>31</v>
      </c>
      <c r="P168" s="3"/>
      <c r="Q168" s="3"/>
    </row>
    <row r="170" spans="1:17" x14ac:dyDescent="0.2">
      <c r="A170" s="1" t="s">
        <v>0</v>
      </c>
      <c r="F170" s="1">
        <v>501027</v>
      </c>
    </row>
    <row r="171" spans="1:17" x14ac:dyDescent="0.2">
      <c r="A171" s="1" t="s">
        <v>1</v>
      </c>
      <c r="F171" s="1" t="s">
        <v>40</v>
      </c>
    </row>
    <row r="173" spans="1:17" x14ac:dyDescent="0.2">
      <c r="A173" s="1" t="s">
        <v>3</v>
      </c>
      <c r="F173" s="1" t="s">
        <v>471</v>
      </c>
    </row>
    <row r="174" spans="1:17" x14ac:dyDescent="0.2">
      <c r="A174" s="1" t="s">
        <v>5</v>
      </c>
      <c r="F174" s="1" t="s">
        <v>472</v>
      </c>
    </row>
    <row r="177" spans="1:17" x14ac:dyDescent="0.2">
      <c r="C177" s="1" t="s">
        <v>6</v>
      </c>
      <c r="D177" s="1" t="s">
        <v>7</v>
      </c>
      <c r="E177" s="1" t="s">
        <v>8</v>
      </c>
      <c r="G177" s="1" t="s">
        <v>9</v>
      </c>
      <c r="H177" s="1" t="s">
        <v>10</v>
      </c>
      <c r="I177" s="1" t="s">
        <v>11</v>
      </c>
      <c r="J177" s="1" t="s">
        <v>12</v>
      </c>
      <c r="K177" s="1" t="s">
        <v>13</v>
      </c>
      <c r="L177" s="1" t="s">
        <v>14</v>
      </c>
      <c r="M177" s="1" t="s">
        <v>15</v>
      </c>
      <c r="N177" s="1" t="s">
        <v>16</v>
      </c>
      <c r="O177" s="1" t="s">
        <v>17</v>
      </c>
      <c r="P177" s="1" t="s">
        <v>18</v>
      </c>
      <c r="Q177" s="1" t="s">
        <v>19</v>
      </c>
    </row>
    <row r="179" spans="1:17" x14ac:dyDescent="0.2">
      <c r="D179" s="1" t="s">
        <v>20</v>
      </c>
      <c r="E179" s="1">
        <v>1400013849</v>
      </c>
      <c r="G179" s="1" t="s">
        <v>77</v>
      </c>
      <c r="I179" s="1" t="s">
        <v>77</v>
      </c>
      <c r="K179" s="2">
        <v>-7198.19</v>
      </c>
      <c r="L179" s="1" t="s">
        <v>22</v>
      </c>
      <c r="N179" s="2">
        <v>-7198.19</v>
      </c>
      <c r="O179" s="1" t="s">
        <v>22</v>
      </c>
      <c r="P179" s="1" t="s">
        <v>473</v>
      </c>
      <c r="Q179" s="1">
        <v>1</v>
      </c>
    </row>
    <row r="181" spans="1:17" x14ac:dyDescent="0.2">
      <c r="B181" s="1" t="s">
        <v>25</v>
      </c>
      <c r="K181" s="2">
        <v>-7198.19</v>
      </c>
      <c r="L181" s="1" t="s">
        <v>22</v>
      </c>
      <c r="N181" s="2">
        <v>-7198.19</v>
      </c>
      <c r="O181" s="1" t="s">
        <v>22</v>
      </c>
    </row>
    <row r="183" spans="1:17" x14ac:dyDescent="0.2">
      <c r="A183" s="3"/>
      <c r="B183" s="3" t="s">
        <v>26</v>
      </c>
      <c r="C183" s="3" t="s">
        <v>474</v>
      </c>
      <c r="D183" s="3"/>
      <c r="E183" s="3"/>
      <c r="F183" s="3"/>
      <c r="G183" s="3"/>
      <c r="H183" s="3"/>
      <c r="I183" s="3"/>
      <c r="J183" s="3"/>
      <c r="K183" s="4">
        <v>-7198.19</v>
      </c>
      <c r="L183" s="3" t="s">
        <v>22</v>
      </c>
      <c r="M183" s="3"/>
      <c r="N183" s="4">
        <v>-7198.19</v>
      </c>
      <c r="O183" s="3" t="s">
        <v>22</v>
      </c>
      <c r="P183" s="3"/>
      <c r="Q183" s="3"/>
    </row>
    <row r="185" spans="1:17" x14ac:dyDescent="0.2">
      <c r="A185" s="1" t="s">
        <v>0</v>
      </c>
      <c r="F185" s="1">
        <v>501049</v>
      </c>
    </row>
    <row r="186" spans="1:17" x14ac:dyDescent="0.2">
      <c r="A186" s="1" t="s">
        <v>1</v>
      </c>
      <c r="F186" s="1" t="s">
        <v>40</v>
      </c>
    </row>
    <row r="188" spans="1:17" x14ac:dyDescent="0.2">
      <c r="A188" s="1" t="s">
        <v>3</v>
      </c>
      <c r="F188" s="1" t="s">
        <v>41</v>
      </c>
    </row>
    <row r="189" spans="1:17" x14ac:dyDescent="0.2">
      <c r="A189" s="1" t="s">
        <v>5</v>
      </c>
      <c r="F189" s="1" t="s">
        <v>475</v>
      </c>
    </row>
    <row r="192" spans="1:17" x14ac:dyDescent="0.2">
      <c r="C192" s="1" t="s">
        <v>6</v>
      </c>
      <c r="D192" s="1" t="s">
        <v>7</v>
      </c>
      <c r="E192" s="1" t="s">
        <v>8</v>
      </c>
      <c r="G192" s="1" t="s">
        <v>9</v>
      </c>
      <c r="H192" s="1" t="s">
        <v>10</v>
      </c>
      <c r="I192" s="1" t="s">
        <v>11</v>
      </c>
      <c r="J192" s="1" t="s">
        <v>12</v>
      </c>
      <c r="K192" s="1" t="s">
        <v>13</v>
      </c>
      <c r="L192" s="1" t="s">
        <v>14</v>
      </c>
      <c r="M192" s="1" t="s">
        <v>15</v>
      </c>
      <c r="N192" s="1" t="s">
        <v>16</v>
      </c>
      <c r="O192" s="1" t="s">
        <v>17</v>
      </c>
      <c r="P192" s="1" t="s">
        <v>18</v>
      </c>
      <c r="Q192" s="1" t="s">
        <v>19</v>
      </c>
    </row>
    <row r="194" spans="1:17" x14ac:dyDescent="0.2">
      <c r="D194" s="1" t="s">
        <v>20</v>
      </c>
      <c r="E194" s="1">
        <v>1400013823</v>
      </c>
      <c r="G194" s="1" t="s">
        <v>113</v>
      </c>
      <c r="I194" s="1" t="s">
        <v>113</v>
      </c>
      <c r="K194" s="2">
        <v>-493156.99</v>
      </c>
      <c r="L194" s="1" t="s">
        <v>22</v>
      </c>
      <c r="N194" s="2">
        <v>-120975.59</v>
      </c>
      <c r="O194" s="1" t="s">
        <v>31</v>
      </c>
      <c r="P194" s="1" t="s">
        <v>476</v>
      </c>
      <c r="Q194" s="1">
        <v>4.0765000000000002</v>
      </c>
    </row>
    <row r="196" spans="1:17" x14ac:dyDescent="0.2">
      <c r="B196" s="1" t="s">
        <v>25</v>
      </c>
      <c r="K196" s="2">
        <v>-493156.99</v>
      </c>
      <c r="L196" s="1" t="s">
        <v>22</v>
      </c>
      <c r="N196" s="2">
        <v>-120975.59</v>
      </c>
      <c r="O196" s="1" t="s">
        <v>31</v>
      </c>
    </row>
    <row r="198" spans="1:17" x14ac:dyDescent="0.2">
      <c r="A198" s="3"/>
      <c r="B198" s="3" t="s">
        <v>26</v>
      </c>
      <c r="C198" s="3" t="s">
        <v>477</v>
      </c>
      <c r="D198" s="3"/>
      <c r="E198" s="3"/>
      <c r="F198" s="3"/>
      <c r="G198" s="3"/>
      <c r="H198" s="3"/>
      <c r="I198" s="3"/>
      <c r="J198" s="3"/>
      <c r="K198" s="4">
        <v>-493156.99</v>
      </c>
      <c r="L198" s="3" t="s">
        <v>22</v>
      </c>
      <c r="M198" s="3"/>
      <c r="N198" s="4">
        <v>-120975.59</v>
      </c>
      <c r="O198" s="3" t="s">
        <v>31</v>
      </c>
      <c r="P198" s="3"/>
      <c r="Q198" s="3"/>
    </row>
    <row r="200" spans="1:17" x14ac:dyDescent="0.2">
      <c r="A200" s="1" t="s">
        <v>0</v>
      </c>
      <c r="F200" s="1">
        <v>501056</v>
      </c>
    </row>
    <row r="201" spans="1:17" x14ac:dyDescent="0.2">
      <c r="A201" s="1" t="s">
        <v>1</v>
      </c>
      <c r="F201" s="1" t="s">
        <v>40</v>
      </c>
    </row>
    <row r="203" spans="1:17" x14ac:dyDescent="0.2">
      <c r="A203" s="1" t="s">
        <v>3</v>
      </c>
      <c r="F203" s="1" t="s">
        <v>478</v>
      </c>
    </row>
    <row r="204" spans="1:17" x14ac:dyDescent="0.2">
      <c r="A204" s="1" t="s">
        <v>5</v>
      </c>
      <c r="F204" s="1" t="s">
        <v>479</v>
      </c>
    </row>
    <row r="207" spans="1:17" x14ac:dyDescent="0.2">
      <c r="C207" s="1" t="s">
        <v>6</v>
      </c>
      <c r="D207" s="1" t="s">
        <v>7</v>
      </c>
      <c r="E207" s="1" t="s">
        <v>8</v>
      </c>
      <c r="G207" s="1" t="s">
        <v>9</v>
      </c>
      <c r="H207" s="1" t="s">
        <v>10</v>
      </c>
      <c r="I207" s="1" t="s">
        <v>11</v>
      </c>
      <c r="J207" s="1" t="s">
        <v>12</v>
      </c>
      <c r="K207" s="1" t="s">
        <v>13</v>
      </c>
      <c r="L207" s="1" t="s">
        <v>14</v>
      </c>
      <c r="M207" s="1" t="s">
        <v>15</v>
      </c>
      <c r="N207" s="1" t="s">
        <v>16</v>
      </c>
      <c r="O207" s="1" t="s">
        <v>17</v>
      </c>
      <c r="P207" s="1" t="s">
        <v>18</v>
      </c>
      <c r="Q207" s="1" t="s">
        <v>19</v>
      </c>
    </row>
    <row r="209" spans="1:17" x14ac:dyDescent="0.2">
      <c r="D209" s="1" t="s">
        <v>20</v>
      </c>
      <c r="E209" s="1">
        <v>1400013887</v>
      </c>
      <c r="G209" s="1" t="s">
        <v>64</v>
      </c>
      <c r="I209" s="1" t="s">
        <v>64</v>
      </c>
      <c r="K209" s="2">
        <v>-4337.26</v>
      </c>
      <c r="L209" s="1" t="s">
        <v>22</v>
      </c>
      <c r="N209" s="2">
        <v>-4337.26</v>
      </c>
      <c r="O209" s="1" t="s">
        <v>22</v>
      </c>
      <c r="P209" s="1" t="s">
        <v>480</v>
      </c>
      <c r="Q209" s="1">
        <v>1</v>
      </c>
    </row>
    <row r="211" spans="1:17" x14ac:dyDescent="0.2">
      <c r="B211" s="1" t="s">
        <v>25</v>
      </c>
      <c r="K211" s="2">
        <v>-4337.26</v>
      </c>
      <c r="L211" s="1" t="s">
        <v>22</v>
      </c>
      <c r="N211" s="2">
        <v>-4337.26</v>
      </c>
      <c r="O211" s="1" t="s">
        <v>22</v>
      </c>
    </row>
    <row r="213" spans="1:17" x14ac:dyDescent="0.2">
      <c r="A213" s="3"/>
      <c r="B213" s="3" t="s">
        <v>26</v>
      </c>
      <c r="C213" s="3" t="s">
        <v>481</v>
      </c>
      <c r="D213" s="3"/>
      <c r="E213" s="3"/>
      <c r="F213" s="3"/>
      <c r="G213" s="3"/>
      <c r="H213" s="3"/>
      <c r="I213" s="3"/>
      <c r="J213" s="3"/>
      <c r="K213" s="4">
        <v>-4337.26</v>
      </c>
      <c r="L213" s="3" t="s">
        <v>22</v>
      </c>
      <c r="M213" s="3"/>
      <c r="N213" s="4">
        <v>-4337.26</v>
      </c>
      <c r="O213" s="3" t="s">
        <v>22</v>
      </c>
      <c r="P213" s="3"/>
      <c r="Q213" s="3"/>
    </row>
    <row r="215" spans="1:17" x14ac:dyDescent="0.2">
      <c r="A215" s="1" t="s">
        <v>0</v>
      </c>
      <c r="F215" s="1">
        <v>501057</v>
      </c>
    </row>
    <row r="216" spans="1:17" x14ac:dyDescent="0.2">
      <c r="A216" s="1" t="s">
        <v>1</v>
      </c>
      <c r="F216" s="1" t="s">
        <v>40</v>
      </c>
    </row>
    <row r="218" spans="1:17" x14ac:dyDescent="0.2">
      <c r="A218" s="1" t="s">
        <v>3</v>
      </c>
      <c r="F218" s="1" t="s">
        <v>478</v>
      </c>
    </row>
    <row r="219" spans="1:17" x14ac:dyDescent="0.2">
      <c r="A219" s="1" t="s">
        <v>5</v>
      </c>
      <c r="F219" s="1" t="s">
        <v>392</v>
      </c>
    </row>
    <row r="222" spans="1:17" x14ac:dyDescent="0.2">
      <c r="C222" s="1" t="s">
        <v>6</v>
      </c>
      <c r="D222" s="1" t="s">
        <v>7</v>
      </c>
      <c r="E222" s="1" t="s">
        <v>8</v>
      </c>
      <c r="G222" s="1" t="s">
        <v>9</v>
      </c>
      <c r="H222" s="1" t="s">
        <v>10</v>
      </c>
      <c r="I222" s="1" t="s">
        <v>11</v>
      </c>
      <c r="J222" s="1" t="s">
        <v>12</v>
      </c>
      <c r="K222" s="1" t="s">
        <v>13</v>
      </c>
      <c r="L222" s="1" t="s">
        <v>14</v>
      </c>
      <c r="M222" s="1" t="s">
        <v>15</v>
      </c>
      <c r="N222" s="1" t="s">
        <v>16</v>
      </c>
      <c r="O222" s="1" t="s">
        <v>17</v>
      </c>
      <c r="P222" s="1" t="s">
        <v>18</v>
      </c>
      <c r="Q222" s="1" t="s">
        <v>19</v>
      </c>
    </row>
    <row r="224" spans="1:17" x14ac:dyDescent="0.2">
      <c r="D224" s="1" t="s">
        <v>20</v>
      </c>
      <c r="E224" s="1">
        <v>1400013887</v>
      </c>
      <c r="G224" s="1" t="s">
        <v>64</v>
      </c>
      <c r="I224" s="1" t="s">
        <v>64</v>
      </c>
      <c r="K224" s="2">
        <v>-5405.38</v>
      </c>
      <c r="L224" s="1" t="s">
        <v>22</v>
      </c>
      <c r="N224" s="2">
        <v>-5405.38</v>
      </c>
      <c r="O224" s="1" t="s">
        <v>22</v>
      </c>
      <c r="P224" s="1" t="s">
        <v>482</v>
      </c>
      <c r="Q224" s="1">
        <v>1</v>
      </c>
    </row>
    <row r="226" spans="1:17" x14ac:dyDescent="0.2">
      <c r="B226" s="1" t="s">
        <v>25</v>
      </c>
      <c r="K226" s="2">
        <v>-5405.38</v>
      </c>
      <c r="L226" s="1" t="s">
        <v>22</v>
      </c>
      <c r="N226" s="2">
        <v>-5405.38</v>
      </c>
      <c r="O226" s="1" t="s">
        <v>22</v>
      </c>
    </row>
    <row r="228" spans="1:17" x14ac:dyDescent="0.2">
      <c r="A228" s="3"/>
      <c r="B228" s="3" t="s">
        <v>26</v>
      </c>
      <c r="C228" s="3" t="s">
        <v>483</v>
      </c>
      <c r="D228" s="3"/>
      <c r="E228" s="3"/>
      <c r="F228" s="3"/>
      <c r="G228" s="3"/>
      <c r="H228" s="3"/>
      <c r="I228" s="3"/>
      <c r="J228" s="3"/>
      <c r="K228" s="4">
        <v>-5405.38</v>
      </c>
      <c r="L228" s="3" t="s">
        <v>22</v>
      </c>
      <c r="M228" s="3"/>
      <c r="N228" s="4">
        <v>-5405.38</v>
      </c>
      <c r="O228" s="3" t="s">
        <v>22</v>
      </c>
      <c r="P228" s="3"/>
      <c r="Q228" s="3"/>
    </row>
    <row r="230" spans="1:17" x14ac:dyDescent="0.2">
      <c r="A230" s="1" t="s">
        <v>0</v>
      </c>
      <c r="F230" s="1">
        <v>501058</v>
      </c>
    </row>
    <row r="231" spans="1:17" x14ac:dyDescent="0.2">
      <c r="A231" s="1" t="s">
        <v>1</v>
      </c>
      <c r="F231" s="1" t="s">
        <v>40</v>
      </c>
    </row>
    <row r="233" spans="1:17" x14ac:dyDescent="0.2">
      <c r="A233" s="1" t="s">
        <v>3</v>
      </c>
      <c r="F233" s="1" t="s">
        <v>478</v>
      </c>
    </row>
    <row r="234" spans="1:17" x14ac:dyDescent="0.2">
      <c r="A234" s="1" t="s">
        <v>5</v>
      </c>
      <c r="F234" s="1" t="s">
        <v>395</v>
      </c>
    </row>
    <row r="237" spans="1:17" x14ac:dyDescent="0.2">
      <c r="C237" s="1" t="s">
        <v>6</v>
      </c>
      <c r="D237" s="1" t="s">
        <v>7</v>
      </c>
      <c r="E237" s="1" t="s">
        <v>8</v>
      </c>
      <c r="G237" s="1" t="s">
        <v>9</v>
      </c>
      <c r="H237" s="1" t="s">
        <v>10</v>
      </c>
      <c r="I237" s="1" t="s">
        <v>11</v>
      </c>
      <c r="J237" s="1" t="s">
        <v>12</v>
      </c>
      <c r="K237" s="1" t="s">
        <v>13</v>
      </c>
      <c r="L237" s="1" t="s">
        <v>14</v>
      </c>
      <c r="M237" s="1" t="s">
        <v>15</v>
      </c>
      <c r="N237" s="1" t="s">
        <v>16</v>
      </c>
      <c r="O237" s="1" t="s">
        <v>17</v>
      </c>
      <c r="P237" s="1" t="s">
        <v>18</v>
      </c>
      <c r="Q237" s="1" t="s">
        <v>19</v>
      </c>
    </row>
    <row r="239" spans="1:17" x14ac:dyDescent="0.2">
      <c r="D239" s="1" t="s">
        <v>20</v>
      </c>
      <c r="E239" s="1">
        <v>1400013887</v>
      </c>
      <c r="G239" s="1" t="s">
        <v>64</v>
      </c>
      <c r="I239" s="1" t="s">
        <v>64</v>
      </c>
      <c r="K239" s="2">
        <v>-3308.79</v>
      </c>
      <c r="L239" s="1" t="s">
        <v>22</v>
      </c>
      <c r="N239" s="2">
        <v>-3308.79</v>
      </c>
      <c r="O239" s="1" t="s">
        <v>22</v>
      </c>
      <c r="P239" s="1" t="s">
        <v>484</v>
      </c>
      <c r="Q239" s="1">
        <v>1</v>
      </c>
    </row>
    <row r="241" spans="1:17" x14ac:dyDescent="0.2">
      <c r="B241" s="1" t="s">
        <v>25</v>
      </c>
      <c r="K241" s="2">
        <v>-3308.79</v>
      </c>
      <c r="L241" s="1" t="s">
        <v>22</v>
      </c>
      <c r="N241" s="2">
        <v>-3308.79</v>
      </c>
      <c r="O241" s="1" t="s">
        <v>22</v>
      </c>
    </row>
    <row r="243" spans="1:17" x14ac:dyDescent="0.2">
      <c r="A243" s="3"/>
      <c r="B243" s="3" t="s">
        <v>26</v>
      </c>
      <c r="C243" s="3" t="s">
        <v>485</v>
      </c>
      <c r="D243" s="3"/>
      <c r="E243" s="3"/>
      <c r="F243" s="3"/>
      <c r="G243" s="3"/>
      <c r="H243" s="3"/>
      <c r="I243" s="3"/>
      <c r="J243" s="3"/>
      <c r="K243" s="4">
        <v>-3308.79</v>
      </c>
      <c r="L243" s="3" t="s">
        <v>22</v>
      </c>
      <c r="M243" s="3"/>
      <c r="N243" s="4">
        <v>-3308.79</v>
      </c>
      <c r="O243" s="3" t="s">
        <v>22</v>
      </c>
      <c r="P243" s="3"/>
      <c r="Q243" s="3"/>
    </row>
    <row r="245" spans="1:17" x14ac:dyDescent="0.2">
      <c r="A245" s="1" t="s">
        <v>0</v>
      </c>
      <c r="F245" s="1">
        <v>501060</v>
      </c>
    </row>
    <row r="246" spans="1:17" x14ac:dyDescent="0.2">
      <c r="A246" s="1" t="s">
        <v>1</v>
      </c>
      <c r="F246" s="1" t="s">
        <v>40</v>
      </c>
    </row>
    <row r="248" spans="1:17" x14ac:dyDescent="0.2">
      <c r="A248" s="1" t="s">
        <v>3</v>
      </c>
      <c r="F248" s="1" t="s">
        <v>471</v>
      </c>
    </row>
    <row r="249" spans="1:17" x14ac:dyDescent="0.2">
      <c r="A249" s="1" t="s">
        <v>5</v>
      </c>
      <c r="F249" s="1" t="s">
        <v>479</v>
      </c>
    </row>
    <row r="252" spans="1:17" x14ac:dyDescent="0.2">
      <c r="C252" s="1" t="s">
        <v>6</v>
      </c>
      <c r="D252" s="1" t="s">
        <v>7</v>
      </c>
      <c r="E252" s="1" t="s">
        <v>8</v>
      </c>
      <c r="G252" s="1" t="s">
        <v>9</v>
      </c>
      <c r="H252" s="1" t="s">
        <v>10</v>
      </c>
      <c r="I252" s="1" t="s">
        <v>11</v>
      </c>
      <c r="J252" s="1" t="s">
        <v>12</v>
      </c>
      <c r="K252" s="1" t="s">
        <v>13</v>
      </c>
      <c r="L252" s="1" t="s">
        <v>14</v>
      </c>
      <c r="M252" s="1" t="s">
        <v>15</v>
      </c>
      <c r="N252" s="1" t="s">
        <v>16</v>
      </c>
      <c r="O252" s="1" t="s">
        <v>17</v>
      </c>
      <c r="P252" s="1" t="s">
        <v>18</v>
      </c>
      <c r="Q252" s="1" t="s">
        <v>19</v>
      </c>
    </row>
    <row r="254" spans="1:17" x14ac:dyDescent="0.2">
      <c r="D254" s="1" t="s">
        <v>20</v>
      </c>
      <c r="E254" s="1">
        <v>1400013733</v>
      </c>
      <c r="G254" s="1" t="s">
        <v>486</v>
      </c>
      <c r="I254" s="1" t="s">
        <v>486</v>
      </c>
      <c r="K254" s="2">
        <v>-35779.03</v>
      </c>
      <c r="L254" s="1" t="s">
        <v>22</v>
      </c>
      <c r="N254" s="2">
        <v>-35779.03</v>
      </c>
      <c r="O254" s="1" t="s">
        <v>22</v>
      </c>
      <c r="P254" s="1" t="s">
        <v>487</v>
      </c>
      <c r="Q254" s="1">
        <v>1</v>
      </c>
    </row>
    <row r="256" spans="1:17" x14ac:dyDescent="0.2">
      <c r="B256" s="1" t="s">
        <v>25</v>
      </c>
      <c r="K256" s="2">
        <v>-35779.03</v>
      </c>
      <c r="L256" s="1" t="s">
        <v>22</v>
      </c>
      <c r="N256" s="2">
        <v>-35779.03</v>
      </c>
      <c r="O256" s="1" t="s">
        <v>22</v>
      </c>
    </row>
    <row r="258" spans="1:17" x14ac:dyDescent="0.2">
      <c r="A258" s="3"/>
      <c r="B258" s="3" t="s">
        <v>26</v>
      </c>
      <c r="C258" s="3" t="s">
        <v>488</v>
      </c>
      <c r="D258" s="3"/>
      <c r="E258" s="3"/>
      <c r="F258" s="3"/>
      <c r="G258" s="3"/>
      <c r="H258" s="3"/>
      <c r="I258" s="3"/>
      <c r="J258" s="3"/>
      <c r="K258" s="4">
        <v>-35779.03</v>
      </c>
      <c r="L258" s="3" t="s">
        <v>22</v>
      </c>
      <c r="M258" s="3"/>
      <c r="N258" s="4">
        <v>-35779.03</v>
      </c>
      <c r="O258" s="3" t="s">
        <v>22</v>
      </c>
      <c r="P258" s="3"/>
      <c r="Q258" s="3"/>
    </row>
    <row r="260" spans="1:17" x14ac:dyDescent="0.2">
      <c r="A260" s="1" t="s">
        <v>0</v>
      </c>
      <c r="F260" s="1">
        <v>501061</v>
      </c>
    </row>
    <row r="261" spans="1:17" x14ac:dyDescent="0.2">
      <c r="A261" s="1" t="s">
        <v>1</v>
      </c>
      <c r="F261" s="1" t="s">
        <v>40</v>
      </c>
    </row>
    <row r="263" spans="1:17" x14ac:dyDescent="0.2">
      <c r="A263" s="1" t="s">
        <v>3</v>
      </c>
      <c r="F263" s="1" t="s">
        <v>471</v>
      </c>
    </row>
    <row r="264" spans="1:17" x14ac:dyDescent="0.2">
      <c r="A264" s="1" t="s">
        <v>5</v>
      </c>
      <c r="F264" s="1" t="s">
        <v>392</v>
      </c>
    </row>
    <row r="267" spans="1:17" x14ac:dyDescent="0.2">
      <c r="C267" s="1" t="s">
        <v>6</v>
      </c>
      <c r="D267" s="1" t="s">
        <v>7</v>
      </c>
      <c r="E267" s="1" t="s">
        <v>8</v>
      </c>
      <c r="G267" s="1" t="s">
        <v>9</v>
      </c>
      <c r="H267" s="1" t="s">
        <v>10</v>
      </c>
      <c r="I267" s="1" t="s">
        <v>11</v>
      </c>
      <c r="J267" s="1" t="s">
        <v>12</v>
      </c>
      <c r="K267" s="1" t="s">
        <v>13</v>
      </c>
      <c r="L267" s="1" t="s">
        <v>14</v>
      </c>
      <c r="M267" s="1" t="s">
        <v>15</v>
      </c>
      <c r="N267" s="1" t="s">
        <v>16</v>
      </c>
      <c r="O267" s="1" t="s">
        <v>17</v>
      </c>
      <c r="P267" s="1" t="s">
        <v>18</v>
      </c>
      <c r="Q267" s="1" t="s">
        <v>19</v>
      </c>
    </row>
    <row r="269" spans="1:17" x14ac:dyDescent="0.2">
      <c r="D269" s="1" t="s">
        <v>20</v>
      </c>
      <c r="E269" s="1">
        <v>1400013734</v>
      </c>
      <c r="G269" s="1" t="s">
        <v>85</v>
      </c>
      <c r="I269" s="1" t="s">
        <v>85</v>
      </c>
      <c r="K269" s="2">
        <v>-12935.02</v>
      </c>
      <c r="L269" s="1" t="s">
        <v>22</v>
      </c>
      <c r="N269" s="2">
        <v>-12935.02</v>
      </c>
      <c r="O269" s="1" t="s">
        <v>22</v>
      </c>
      <c r="P269" s="1" t="s">
        <v>489</v>
      </c>
      <c r="Q269" s="1">
        <v>1</v>
      </c>
    </row>
    <row r="271" spans="1:17" x14ac:dyDescent="0.2">
      <c r="B271" s="1" t="s">
        <v>25</v>
      </c>
      <c r="K271" s="2">
        <v>-12935.02</v>
      </c>
      <c r="L271" s="1" t="s">
        <v>22</v>
      </c>
      <c r="N271" s="2">
        <v>-12935.02</v>
      </c>
      <c r="O271" s="1" t="s">
        <v>22</v>
      </c>
    </row>
    <row r="273" spans="1:17" x14ac:dyDescent="0.2">
      <c r="A273" s="3"/>
      <c r="B273" s="3" t="s">
        <v>26</v>
      </c>
      <c r="C273" s="3" t="s">
        <v>490</v>
      </c>
      <c r="D273" s="3"/>
      <c r="E273" s="3"/>
      <c r="F273" s="3"/>
      <c r="G273" s="3"/>
      <c r="H273" s="3"/>
      <c r="I273" s="3"/>
      <c r="J273" s="3"/>
      <c r="K273" s="4">
        <v>-12935.02</v>
      </c>
      <c r="L273" s="3" t="s">
        <v>22</v>
      </c>
      <c r="M273" s="3"/>
      <c r="N273" s="4">
        <v>-12935.02</v>
      </c>
      <c r="O273" s="3" t="s">
        <v>22</v>
      </c>
      <c r="P273" s="3"/>
      <c r="Q273" s="3"/>
    </row>
    <row r="275" spans="1:17" x14ac:dyDescent="0.2">
      <c r="A275" s="1" t="s">
        <v>0</v>
      </c>
      <c r="F275" s="1">
        <v>501070</v>
      </c>
    </row>
    <row r="276" spans="1:17" x14ac:dyDescent="0.2">
      <c r="A276" s="1" t="s">
        <v>1</v>
      </c>
      <c r="F276" s="1" t="s">
        <v>40</v>
      </c>
    </row>
    <row r="278" spans="1:17" x14ac:dyDescent="0.2">
      <c r="A278" s="1" t="s">
        <v>3</v>
      </c>
      <c r="F278" s="1" t="s">
        <v>491</v>
      </c>
    </row>
    <row r="279" spans="1:17" x14ac:dyDescent="0.2">
      <c r="A279" s="1" t="s">
        <v>5</v>
      </c>
      <c r="F279" s="1" t="s">
        <v>492</v>
      </c>
    </row>
    <row r="282" spans="1:17" x14ac:dyDescent="0.2">
      <c r="C282" s="1" t="s">
        <v>6</v>
      </c>
      <c r="D282" s="1" t="s">
        <v>7</v>
      </c>
      <c r="E282" s="1" t="s">
        <v>8</v>
      </c>
      <c r="G282" s="1" t="s">
        <v>9</v>
      </c>
      <c r="H282" s="1" t="s">
        <v>10</v>
      </c>
      <c r="I282" s="1" t="s">
        <v>11</v>
      </c>
      <c r="J282" s="1" t="s">
        <v>12</v>
      </c>
      <c r="K282" s="1" t="s">
        <v>13</v>
      </c>
      <c r="L282" s="1" t="s">
        <v>14</v>
      </c>
      <c r="M282" s="1" t="s">
        <v>15</v>
      </c>
      <c r="N282" s="1" t="s">
        <v>16</v>
      </c>
      <c r="O282" s="1" t="s">
        <v>17</v>
      </c>
      <c r="P282" s="1" t="s">
        <v>18</v>
      </c>
      <c r="Q282" s="1" t="s">
        <v>19</v>
      </c>
    </row>
    <row r="284" spans="1:17" x14ac:dyDescent="0.2">
      <c r="D284" s="1" t="s">
        <v>20</v>
      </c>
      <c r="E284" s="1">
        <v>1400013833</v>
      </c>
      <c r="G284" s="1" t="s">
        <v>61</v>
      </c>
      <c r="I284" s="1" t="s">
        <v>61</v>
      </c>
      <c r="K284" s="2">
        <v>-88685.65</v>
      </c>
      <c r="L284" s="1" t="s">
        <v>22</v>
      </c>
      <c r="N284" s="2">
        <v>-88685.65</v>
      </c>
      <c r="O284" s="1" t="s">
        <v>22</v>
      </c>
      <c r="P284" s="1" t="s">
        <v>493</v>
      </c>
      <c r="Q284" s="1">
        <v>1</v>
      </c>
    </row>
    <row r="286" spans="1:17" x14ac:dyDescent="0.2">
      <c r="B286" s="1" t="s">
        <v>25</v>
      </c>
      <c r="K286" s="2">
        <v>-88685.65</v>
      </c>
      <c r="L286" s="1" t="s">
        <v>22</v>
      </c>
      <c r="N286" s="2">
        <v>-88685.65</v>
      </c>
      <c r="O286" s="1" t="s">
        <v>22</v>
      </c>
    </row>
    <row r="288" spans="1:17" x14ac:dyDescent="0.2">
      <c r="A288" s="3"/>
      <c r="B288" s="3" t="s">
        <v>26</v>
      </c>
      <c r="C288" s="3" t="s">
        <v>494</v>
      </c>
      <c r="D288" s="3"/>
      <c r="E288" s="3"/>
      <c r="F288" s="3"/>
      <c r="G288" s="3"/>
      <c r="H288" s="3"/>
      <c r="I288" s="3"/>
      <c r="J288" s="3"/>
      <c r="K288" s="4">
        <v>-88685.65</v>
      </c>
      <c r="L288" s="3" t="s">
        <v>22</v>
      </c>
      <c r="M288" s="3"/>
      <c r="N288" s="4">
        <v>-88685.65</v>
      </c>
      <c r="O288" s="3" t="s">
        <v>22</v>
      </c>
      <c r="P288" s="3"/>
      <c r="Q288" s="3"/>
    </row>
    <row r="290" spans="1:17" x14ac:dyDescent="0.2">
      <c r="A290" s="1" t="s">
        <v>0</v>
      </c>
      <c r="F290" s="1">
        <v>501071</v>
      </c>
    </row>
    <row r="291" spans="1:17" x14ac:dyDescent="0.2">
      <c r="A291" s="1" t="s">
        <v>1</v>
      </c>
      <c r="F291" s="1" t="s">
        <v>40</v>
      </c>
    </row>
    <row r="293" spans="1:17" x14ac:dyDescent="0.2">
      <c r="A293" s="1" t="s">
        <v>3</v>
      </c>
      <c r="F293" s="1" t="s">
        <v>478</v>
      </c>
    </row>
    <row r="294" spans="1:17" x14ac:dyDescent="0.2">
      <c r="A294" s="1" t="s">
        <v>5</v>
      </c>
      <c r="F294" s="1" t="s">
        <v>495</v>
      </c>
    </row>
    <row r="297" spans="1:17" x14ac:dyDescent="0.2">
      <c r="C297" s="1" t="s">
        <v>6</v>
      </c>
      <c r="D297" s="1" t="s">
        <v>7</v>
      </c>
      <c r="E297" s="1" t="s">
        <v>8</v>
      </c>
      <c r="G297" s="1" t="s">
        <v>9</v>
      </c>
      <c r="H297" s="1" t="s">
        <v>10</v>
      </c>
      <c r="I297" s="1" t="s">
        <v>11</v>
      </c>
      <c r="J297" s="1" t="s">
        <v>12</v>
      </c>
      <c r="K297" s="1" t="s">
        <v>13</v>
      </c>
      <c r="L297" s="1" t="s">
        <v>14</v>
      </c>
      <c r="M297" s="1" t="s">
        <v>15</v>
      </c>
      <c r="N297" s="1" t="s">
        <v>16</v>
      </c>
      <c r="O297" s="1" t="s">
        <v>17</v>
      </c>
      <c r="P297" s="1" t="s">
        <v>18</v>
      </c>
      <c r="Q297" s="1" t="s">
        <v>19</v>
      </c>
    </row>
    <row r="299" spans="1:17" x14ac:dyDescent="0.2">
      <c r="D299" s="1" t="s">
        <v>20</v>
      </c>
      <c r="E299" s="1">
        <v>1400013887</v>
      </c>
      <c r="G299" s="1" t="s">
        <v>64</v>
      </c>
      <c r="I299" s="1" t="s">
        <v>64</v>
      </c>
      <c r="K299" s="2">
        <v>-3292.79</v>
      </c>
      <c r="L299" s="1" t="s">
        <v>22</v>
      </c>
      <c r="N299" s="2">
        <v>-3292.79</v>
      </c>
      <c r="O299" s="1" t="s">
        <v>22</v>
      </c>
      <c r="P299" s="1" t="s">
        <v>496</v>
      </c>
      <c r="Q299" s="1">
        <v>1</v>
      </c>
    </row>
    <row r="301" spans="1:17" x14ac:dyDescent="0.2">
      <c r="B301" s="1" t="s">
        <v>25</v>
      </c>
      <c r="K301" s="2">
        <v>-3292.79</v>
      </c>
      <c r="L301" s="1" t="s">
        <v>22</v>
      </c>
      <c r="N301" s="2">
        <v>-3292.79</v>
      </c>
      <c r="O301" s="1" t="s">
        <v>22</v>
      </c>
    </row>
    <row r="303" spans="1:17" x14ac:dyDescent="0.2">
      <c r="A303" s="3"/>
      <c r="B303" s="3" t="s">
        <v>26</v>
      </c>
      <c r="C303" s="3" t="s">
        <v>497</v>
      </c>
      <c r="D303" s="3"/>
      <c r="E303" s="3"/>
      <c r="F303" s="3"/>
      <c r="G303" s="3"/>
      <c r="H303" s="3"/>
      <c r="I303" s="3"/>
      <c r="J303" s="3"/>
      <c r="K303" s="4">
        <v>-3292.79</v>
      </c>
      <c r="L303" s="3" t="s">
        <v>22</v>
      </c>
      <c r="M303" s="3"/>
      <c r="N303" s="4">
        <v>-3292.79</v>
      </c>
      <c r="O303" s="3" t="s">
        <v>22</v>
      </c>
      <c r="P303" s="3"/>
      <c r="Q303" s="3"/>
    </row>
    <row r="305" spans="1:17" x14ac:dyDescent="0.2">
      <c r="A305" s="1" t="s">
        <v>0</v>
      </c>
      <c r="F305" s="1">
        <v>501096</v>
      </c>
    </row>
    <row r="306" spans="1:17" x14ac:dyDescent="0.2">
      <c r="A306" s="1" t="s">
        <v>1</v>
      </c>
      <c r="F306" s="1" t="s">
        <v>40</v>
      </c>
    </row>
    <row r="308" spans="1:17" x14ac:dyDescent="0.2">
      <c r="A308" s="1" t="s">
        <v>3</v>
      </c>
      <c r="F308" s="1" t="s">
        <v>498</v>
      </c>
    </row>
    <row r="309" spans="1:17" x14ac:dyDescent="0.2">
      <c r="A309" s="1" t="s">
        <v>5</v>
      </c>
    </row>
    <row r="312" spans="1:17" x14ac:dyDescent="0.2">
      <c r="C312" s="1" t="s">
        <v>6</v>
      </c>
      <c r="D312" s="1" t="s">
        <v>7</v>
      </c>
      <c r="E312" s="1" t="s">
        <v>8</v>
      </c>
      <c r="G312" s="1" t="s">
        <v>9</v>
      </c>
      <c r="H312" s="1" t="s">
        <v>10</v>
      </c>
      <c r="I312" s="1" t="s">
        <v>11</v>
      </c>
      <c r="J312" s="1" t="s">
        <v>12</v>
      </c>
      <c r="K312" s="1" t="s">
        <v>13</v>
      </c>
      <c r="L312" s="1" t="s">
        <v>14</v>
      </c>
      <c r="M312" s="1" t="s">
        <v>15</v>
      </c>
      <c r="N312" s="1" t="s">
        <v>16</v>
      </c>
      <c r="O312" s="1" t="s">
        <v>17</v>
      </c>
      <c r="P312" s="1" t="s">
        <v>18</v>
      </c>
      <c r="Q312" s="1" t="s">
        <v>19</v>
      </c>
    </row>
    <row r="314" spans="1:17" x14ac:dyDescent="0.2">
      <c r="D314" s="1" t="s">
        <v>20</v>
      </c>
      <c r="E314" s="1">
        <v>1400013674</v>
      </c>
      <c r="G314" s="1" t="s">
        <v>21</v>
      </c>
      <c r="I314" s="1" t="s">
        <v>21</v>
      </c>
      <c r="K314" s="2">
        <v>-126063.41</v>
      </c>
      <c r="L314" s="1" t="s">
        <v>22</v>
      </c>
      <c r="N314" s="2">
        <v>-30627.65</v>
      </c>
      <c r="O314" s="1" t="s">
        <v>31</v>
      </c>
      <c r="P314" s="1" t="s">
        <v>499</v>
      </c>
      <c r="Q314" s="1">
        <v>4.1159999999999997</v>
      </c>
    </row>
    <row r="316" spans="1:17" x14ac:dyDescent="0.2">
      <c r="B316" s="1" t="s">
        <v>25</v>
      </c>
      <c r="K316" s="2">
        <v>-126063.41</v>
      </c>
      <c r="L316" s="1" t="s">
        <v>22</v>
      </c>
      <c r="N316" s="2">
        <v>-30627.65</v>
      </c>
      <c r="O316" s="1" t="s">
        <v>31</v>
      </c>
    </row>
    <row r="318" spans="1:17" x14ac:dyDescent="0.2">
      <c r="A318" s="3"/>
      <c r="B318" s="3" t="s">
        <v>26</v>
      </c>
      <c r="C318" s="3" t="s">
        <v>500</v>
      </c>
      <c r="D318" s="3"/>
      <c r="E318" s="3"/>
      <c r="F318" s="3"/>
      <c r="G318" s="3"/>
      <c r="H318" s="3"/>
      <c r="I318" s="3"/>
      <c r="J318" s="3"/>
      <c r="K318" s="4">
        <v>-126063.41</v>
      </c>
      <c r="L318" s="3" t="s">
        <v>22</v>
      </c>
      <c r="M318" s="3"/>
      <c r="N318" s="4">
        <v>-30627.65</v>
      </c>
      <c r="O318" s="3" t="s">
        <v>31</v>
      </c>
      <c r="P318" s="3"/>
      <c r="Q318" s="3"/>
    </row>
    <row r="320" spans="1:17" x14ac:dyDescent="0.2">
      <c r="A320" s="1" t="s">
        <v>0</v>
      </c>
      <c r="F320" s="1">
        <v>501097</v>
      </c>
    </row>
    <row r="321" spans="1:17" x14ac:dyDescent="0.2">
      <c r="A321" s="1" t="s">
        <v>1</v>
      </c>
      <c r="F321" s="1" t="s">
        <v>40</v>
      </c>
    </row>
    <row r="323" spans="1:17" x14ac:dyDescent="0.2">
      <c r="A323" s="1" t="s">
        <v>3</v>
      </c>
      <c r="F323" s="1" t="s">
        <v>501</v>
      </c>
    </row>
    <row r="324" spans="1:17" x14ac:dyDescent="0.2">
      <c r="A324" s="1" t="s">
        <v>5</v>
      </c>
      <c r="F324" s="1" t="s">
        <v>479</v>
      </c>
    </row>
    <row r="327" spans="1:17" x14ac:dyDescent="0.2">
      <c r="C327" s="1" t="s">
        <v>6</v>
      </c>
      <c r="D327" s="1" t="s">
        <v>7</v>
      </c>
      <c r="E327" s="1" t="s">
        <v>8</v>
      </c>
      <c r="G327" s="1" t="s">
        <v>9</v>
      </c>
      <c r="H327" s="1" t="s">
        <v>10</v>
      </c>
      <c r="I327" s="1" t="s">
        <v>11</v>
      </c>
      <c r="J327" s="1" t="s">
        <v>12</v>
      </c>
      <c r="K327" s="1" t="s">
        <v>13</v>
      </c>
      <c r="L327" s="1" t="s">
        <v>14</v>
      </c>
      <c r="M327" s="1" t="s">
        <v>15</v>
      </c>
      <c r="N327" s="1" t="s">
        <v>16</v>
      </c>
      <c r="O327" s="1" t="s">
        <v>17</v>
      </c>
      <c r="P327" s="1" t="s">
        <v>18</v>
      </c>
      <c r="Q327" s="1" t="s">
        <v>19</v>
      </c>
    </row>
    <row r="329" spans="1:17" x14ac:dyDescent="0.2">
      <c r="D329" s="1" t="s">
        <v>20</v>
      </c>
      <c r="E329" s="1">
        <v>1400013830</v>
      </c>
      <c r="G329" s="1" t="s">
        <v>85</v>
      </c>
      <c r="I329" s="1" t="s">
        <v>85</v>
      </c>
      <c r="K329" s="2">
        <v>-23290.959999999999</v>
      </c>
      <c r="L329" s="1" t="s">
        <v>22</v>
      </c>
      <c r="N329" s="2">
        <v>-23290.959999999999</v>
      </c>
      <c r="O329" s="1" t="s">
        <v>22</v>
      </c>
      <c r="P329" s="1" t="s">
        <v>502</v>
      </c>
      <c r="Q329" s="1">
        <v>1</v>
      </c>
    </row>
    <row r="331" spans="1:17" x14ac:dyDescent="0.2">
      <c r="B331" s="1" t="s">
        <v>25</v>
      </c>
      <c r="K331" s="2">
        <v>-23290.959999999999</v>
      </c>
      <c r="L331" s="1" t="s">
        <v>22</v>
      </c>
      <c r="N331" s="2">
        <v>-23290.959999999999</v>
      </c>
      <c r="O331" s="1" t="s">
        <v>22</v>
      </c>
    </row>
    <row r="333" spans="1:17" x14ac:dyDescent="0.2">
      <c r="A333" s="3"/>
      <c r="B333" s="3" t="s">
        <v>26</v>
      </c>
      <c r="C333" s="3" t="s">
        <v>503</v>
      </c>
      <c r="D333" s="3"/>
      <c r="E333" s="3"/>
      <c r="F333" s="3"/>
      <c r="G333" s="3"/>
      <c r="H333" s="3"/>
      <c r="I333" s="3"/>
      <c r="J333" s="3"/>
      <c r="K333" s="4">
        <v>-23290.959999999999</v>
      </c>
      <c r="L333" s="3" t="s">
        <v>22</v>
      </c>
      <c r="M333" s="3"/>
      <c r="N333" s="4">
        <v>-23290.959999999999</v>
      </c>
      <c r="O333" s="3" t="s">
        <v>22</v>
      </c>
      <c r="P333" s="3"/>
      <c r="Q333" s="3"/>
    </row>
    <row r="335" spans="1:17" x14ac:dyDescent="0.2">
      <c r="A335" s="1" t="s">
        <v>0</v>
      </c>
      <c r="F335" s="1">
        <v>501106</v>
      </c>
    </row>
    <row r="336" spans="1:17" x14ac:dyDescent="0.2">
      <c r="A336" s="1" t="s">
        <v>1</v>
      </c>
      <c r="F336" s="1" t="s">
        <v>40</v>
      </c>
    </row>
    <row r="338" spans="1:17" x14ac:dyDescent="0.2">
      <c r="A338" s="1" t="s">
        <v>3</v>
      </c>
      <c r="F338" s="1" t="s">
        <v>504</v>
      </c>
    </row>
    <row r="339" spans="1:17" x14ac:dyDescent="0.2">
      <c r="A339" s="1" t="s">
        <v>5</v>
      </c>
      <c r="F339" s="1" t="s">
        <v>505</v>
      </c>
    </row>
    <row r="342" spans="1:17" x14ac:dyDescent="0.2">
      <c r="C342" s="1" t="s">
        <v>6</v>
      </c>
      <c r="D342" s="1" t="s">
        <v>7</v>
      </c>
      <c r="E342" s="1" t="s">
        <v>8</v>
      </c>
      <c r="G342" s="1" t="s">
        <v>9</v>
      </c>
      <c r="H342" s="1" t="s">
        <v>10</v>
      </c>
      <c r="I342" s="1" t="s">
        <v>11</v>
      </c>
      <c r="J342" s="1" t="s">
        <v>12</v>
      </c>
      <c r="K342" s="1" t="s">
        <v>13</v>
      </c>
      <c r="L342" s="1" t="s">
        <v>14</v>
      </c>
      <c r="M342" s="1" t="s">
        <v>15</v>
      </c>
      <c r="N342" s="1" t="s">
        <v>16</v>
      </c>
      <c r="O342" s="1" t="s">
        <v>17</v>
      </c>
      <c r="P342" s="1" t="s">
        <v>18</v>
      </c>
      <c r="Q342" s="1" t="s">
        <v>19</v>
      </c>
    </row>
    <row r="344" spans="1:17" x14ac:dyDescent="0.2">
      <c r="D344" s="1" t="s">
        <v>20</v>
      </c>
      <c r="E344" s="1">
        <v>1400013665</v>
      </c>
      <c r="G344" s="1" t="s">
        <v>54</v>
      </c>
      <c r="I344" s="1" t="s">
        <v>54</v>
      </c>
      <c r="K344" s="2">
        <v>-32799.72</v>
      </c>
      <c r="L344" s="1" t="s">
        <v>22</v>
      </c>
      <c r="N344" s="2">
        <v>-32799.72</v>
      </c>
      <c r="O344" s="1" t="s">
        <v>22</v>
      </c>
      <c r="P344" s="1" t="s">
        <v>506</v>
      </c>
      <c r="Q344" s="1">
        <v>1</v>
      </c>
    </row>
    <row r="346" spans="1:17" x14ac:dyDescent="0.2">
      <c r="B346" s="1" t="s">
        <v>25</v>
      </c>
      <c r="K346" s="2">
        <v>-32799.72</v>
      </c>
      <c r="L346" s="1" t="s">
        <v>22</v>
      </c>
      <c r="N346" s="2">
        <v>-32799.72</v>
      </c>
      <c r="O346" s="1" t="s">
        <v>22</v>
      </c>
    </row>
    <row r="348" spans="1:17" x14ac:dyDescent="0.2">
      <c r="A348" s="3"/>
      <c r="B348" s="3" t="s">
        <v>26</v>
      </c>
      <c r="C348" s="3" t="s">
        <v>507</v>
      </c>
      <c r="D348" s="3"/>
      <c r="E348" s="3"/>
      <c r="F348" s="3"/>
      <c r="G348" s="3"/>
      <c r="H348" s="3"/>
      <c r="I348" s="3"/>
      <c r="J348" s="3"/>
      <c r="K348" s="4">
        <v>-32799.72</v>
      </c>
      <c r="L348" s="3" t="s">
        <v>22</v>
      </c>
      <c r="M348" s="3"/>
      <c r="N348" s="4">
        <v>-32799.72</v>
      </c>
      <c r="O348" s="3" t="s">
        <v>22</v>
      </c>
      <c r="P348" s="3"/>
      <c r="Q348" s="3"/>
    </row>
    <row r="350" spans="1:17" x14ac:dyDescent="0.2">
      <c r="A350" s="1" t="s">
        <v>0</v>
      </c>
      <c r="F350" s="1">
        <v>501107</v>
      </c>
    </row>
    <row r="351" spans="1:17" x14ac:dyDescent="0.2">
      <c r="A351" s="1" t="s">
        <v>1</v>
      </c>
      <c r="F351" s="1" t="s">
        <v>40</v>
      </c>
    </row>
    <row r="353" spans="1:17" x14ac:dyDescent="0.2">
      <c r="A353" s="1" t="s">
        <v>3</v>
      </c>
      <c r="F353" s="1" t="s">
        <v>504</v>
      </c>
    </row>
    <row r="354" spans="1:17" x14ac:dyDescent="0.2">
      <c r="A354" s="1" t="s">
        <v>5</v>
      </c>
      <c r="F354" s="1" t="s">
        <v>508</v>
      </c>
    </row>
    <row r="357" spans="1:17" x14ac:dyDescent="0.2">
      <c r="C357" s="1" t="s">
        <v>6</v>
      </c>
      <c r="D357" s="1" t="s">
        <v>7</v>
      </c>
      <c r="E357" s="1" t="s">
        <v>8</v>
      </c>
      <c r="G357" s="1" t="s">
        <v>9</v>
      </c>
      <c r="H357" s="1" t="s">
        <v>10</v>
      </c>
      <c r="I357" s="1" t="s">
        <v>11</v>
      </c>
      <c r="J357" s="1" t="s">
        <v>12</v>
      </c>
      <c r="K357" s="1" t="s">
        <v>13</v>
      </c>
      <c r="L357" s="1" t="s">
        <v>14</v>
      </c>
      <c r="M357" s="1" t="s">
        <v>15</v>
      </c>
      <c r="N357" s="1" t="s">
        <v>16</v>
      </c>
      <c r="O357" s="1" t="s">
        <v>17</v>
      </c>
      <c r="P357" s="1" t="s">
        <v>18</v>
      </c>
      <c r="Q357" s="1" t="s">
        <v>19</v>
      </c>
    </row>
    <row r="359" spans="1:17" x14ac:dyDescent="0.2">
      <c r="D359" s="1" t="s">
        <v>20</v>
      </c>
      <c r="E359" s="1">
        <v>1400013665</v>
      </c>
      <c r="G359" s="1" t="s">
        <v>54</v>
      </c>
      <c r="I359" s="1" t="s">
        <v>54</v>
      </c>
      <c r="K359" s="2">
        <v>-32616.48</v>
      </c>
      <c r="L359" s="1" t="s">
        <v>22</v>
      </c>
      <c r="N359" s="2">
        <v>-32616.48</v>
      </c>
      <c r="O359" s="1" t="s">
        <v>22</v>
      </c>
      <c r="P359" s="1" t="s">
        <v>509</v>
      </c>
      <c r="Q359" s="1">
        <v>1</v>
      </c>
    </row>
    <row r="361" spans="1:17" x14ac:dyDescent="0.2">
      <c r="B361" s="1" t="s">
        <v>25</v>
      </c>
      <c r="K361" s="2">
        <v>-32616.48</v>
      </c>
      <c r="L361" s="1" t="s">
        <v>22</v>
      </c>
      <c r="N361" s="2">
        <v>-32616.48</v>
      </c>
      <c r="O361" s="1" t="s">
        <v>22</v>
      </c>
    </row>
    <row r="363" spans="1:17" x14ac:dyDescent="0.2">
      <c r="A363" s="3"/>
      <c r="B363" s="3" t="s">
        <v>26</v>
      </c>
      <c r="C363" s="3" t="s">
        <v>510</v>
      </c>
      <c r="D363" s="3"/>
      <c r="E363" s="3"/>
      <c r="F363" s="3"/>
      <c r="G363" s="3"/>
      <c r="H363" s="3"/>
      <c r="I363" s="3"/>
      <c r="J363" s="3"/>
      <c r="K363" s="4">
        <v>-32616.48</v>
      </c>
      <c r="L363" s="3" t="s">
        <v>22</v>
      </c>
      <c r="M363" s="3"/>
      <c r="N363" s="4">
        <v>-32616.48</v>
      </c>
      <c r="O363" s="3" t="s">
        <v>22</v>
      </c>
      <c r="P363" s="3"/>
      <c r="Q363" s="3"/>
    </row>
    <row r="365" spans="1:17" x14ac:dyDescent="0.2">
      <c r="A365" s="1" t="s">
        <v>0</v>
      </c>
      <c r="F365" s="1">
        <v>501108</v>
      </c>
    </row>
    <row r="366" spans="1:17" x14ac:dyDescent="0.2">
      <c r="A366" s="1" t="s">
        <v>1</v>
      </c>
      <c r="F366" s="1" t="s">
        <v>40</v>
      </c>
    </row>
    <row r="368" spans="1:17" x14ac:dyDescent="0.2">
      <c r="A368" s="1" t="s">
        <v>3</v>
      </c>
      <c r="F368" s="1" t="s">
        <v>504</v>
      </c>
    </row>
    <row r="369" spans="1:17" x14ac:dyDescent="0.2">
      <c r="A369" s="1" t="s">
        <v>5</v>
      </c>
      <c r="F369" s="1" t="s">
        <v>511</v>
      </c>
    </row>
    <row r="372" spans="1:17" x14ac:dyDescent="0.2">
      <c r="C372" s="1" t="s">
        <v>6</v>
      </c>
      <c r="D372" s="1" t="s">
        <v>7</v>
      </c>
      <c r="E372" s="1" t="s">
        <v>8</v>
      </c>
      <c r="G372" s="1" t="s">
        <v>9</v>
      </c>
      <c r="H372" s="1" t="s">
        <v>10</v>
      </c>
      <c r="I372" s="1" t="s">
        <v>11</v>
      </c>
      <c r="J372" s="1" t="s">
        <v>12</v>
      </c>
      <c r="K372" s="1" t="s">
        <v>13</v>
      </c>
      <c r="L372" s="1" t="s">
        <v>14</v>
      </c>
      <c r="M372" s="1" t="s">
        <v>15</v>
      </c>
      <c r="N372" s="1" t="s">
        <v>16</v>
      </c>
      <c r="O372" s="1" t="s">
        <v>17</v>
      </c>
      <c r="P372" s="1" t="s">
        <v>18</v>
      </c>
      <c r="Q372" s="1" t="s">
        <v>19</v>
      </c>
    </row>
    <row r="374" spans="1:17" x14ac:dyDescent="0.2">
      <c r="D374" s="1" t="s">
        <v>20</v>
      </c>
      <c r="E374" s="1">
        <v>1400013665</v>
      </c>
      <c r="G374" s="1" t="s">
        <v>54</v>
      </c>
      <c r="I374" s="1" t="s">
        <v>54</v>
      </c>
      <c r="K374" s="2">
        <v>-12460.23</v>
      </c>
      <c r="L374" s="1" t="s">
        <v>22</v>
      </c>
      <c r="N374" s="2">
        <v>-12460.23</v>
      </c>
      <c r="O374" s="1" t="s">
        <v>22</v>
      </c>
      <c r="P374" s="1" t="s">
        <v>512</v>
      </c>
      <c r="Q374" s="1">
        <v>1</v>
      </c>
    </row>
    <row r="376" spans="1:17" x14ac:dyDescent="0.2">
      <c r="B376" s="1" t="s">
        <v>25</v>
      </c>
      <c r="K376" s="2">
        <v>-12460.23</v>
      </c>
      <c r="L376" s="1" t="s">
        <v>22</v>
      </c>
      <c r="N376" s="2">
        <v>-12460.23</v>
      </c>
      <c r="O376" s="1" t="s">
        <v>22</v>
      </c>
    </row>
    <row r="378" spans="1:17" x14ac:dyDescent="0.2">
      <c r="A378" s="3"/>
      <c r="B378" s="3" t="s">
        <v>26</v>
      </c>
      <c r="C378" s="3" t="s">
        <v>513</v>
      </c>
      <c r="D378" s="3"/>
      <c r="E378" s="3"/>
      <c r="F378" s="3"/>
      <c r="G378" s="3"/>
      <c r="H378" s="3"/>
      <c r="I378" s="3"/>
      <c r="J378" s="3"/>
      <c r="K378" s="4">
        <v>-12460.23</v>
      </c>
      <c r="L378" s="3" t="s">
        <v>22</v>
      </c>
      <c r="M378" s="3"/>
      <c r="N378" s="4">
        <v>-12460.23</v>
      </c>
      <c r="O378" s="3" t="s">
        <v>22</v>
      </c>
      <c r="P378" s="3"/>
      <c r="Q378" s="3"/>
    </row>
    <row r="380" spans="1:17" x14ac:dyDescent="0.2">
      <c r="A380" s="1" t="s">
        <v>0</v>
      </c>
      <c r="F380" s="1">
        <v>501109</v>
      </c>
    </row>
    <row r="381" spans="1:17" x14ac:dyDescent="0.2">
      <c r="A381" s="1" t="s">
        <v>1</v>
      </c>
      <c r="F381" s="1" t="s">
        <v>40</v>
      </c>
    </row>
    <row r="383" spans="1:17" x14ac:dyDescent="0.2">
      <c r="A383" s="1" t="s">
        <v>3</v>
      </c>
      <c r="F383" s="1" t="s">
        <v>504</v>
      </c>
    </row>
    <row r="384" spans="1:17" x14ac:dyDescent="0.2">
      <c r="A384" s="1" t="s">
        <v>5</v>
      </c>
      <c r="F384" s="1" t="s">
        <v>514</v>
      </c>
    </row>
    <row r="387" spans="1:17" x14ac:dyDescent="0.2">
      <c r="C387" s="1" t="s">
        <v>6</v>
      </c>
      <c r="D387" s="1" t="s">
        <v>7</v>
      </c>
      <c r="E387" s="1" t="s">
        <v>8</v>
      </c>
      <c r="G387" s="1" t="s">
        <v>9</v>
      </c>
      <c r="H387" s="1" t="s">
        <v>10</v>
      </c>
      <c r="I387" s="1" t="s">
        <v>11</v>
      </c>
      <c r="J387" s="1" t="s">
        <v>12</v>
      </c>
      <c r="K387" s="1" t="s">
        <v>13</v>
      </c>
      <c r="L387" s="1" t="s">
        <v>14</v>
      </c>
      <c r="M387" s="1" t="s">
        <v>15</v>
      </c>
      <c r="N387" s="1" t="s">
        <v>16</v>
      </c>
      <c r="O387" s="1" t="s">
        <v>17</v>
      </c>
      <c r="P387" s="1" t="s">
        <v>18</v>
      </c>
      <c r="Q387" s="1" t="s">
        <v>19</v>
      </c>
    </row>
    <row r="389" spans="1:17" x14ac:dyDescent="0.2">
      <c r="D389" s="1" t="s">
        <v>20</v>
      </c>
      <c r="E389" s="1">
        <v>1400013676</v>
      </c>
      <c r="G389" s="1" t="s">
        <v>21</v>
      </c>
      <c r="I389" s="1" t="s">
        <v>21</v>
      </c>
      <c r="K389" s="2">
        <v>-32928.980000000003</v>
      </c>
      <c r="L389" s="1" t="s">
        <v>22</v>
      </c>
      <c r="N389" s="2">
        <v>-32928.980000000003</v>
      </c>
      <c r="O389" s="1" t="s">
        <v>22</v>
      </c>
      <c r="P389" s="1" t="s">
        <v>515</v>
      </c>
      <c r="Q389" s="1">
        <v>1</v>
      </c>
    </row>
    <row r="391" spans="1:17" x14ac:dyDescent="0.2">
      <c r="B391" s="1" t="s">
        <v>25</v>
      </c>
      <c r="K391" s="2">
        <v>-32928.980000000003</v>
      </c>
      <c r="L391" s="1" t="s">
        <v>22</v>
      </c>
      <c r="N391" s="2">
        <v>-32928.980000000003</v>
      </c>
      <c r="O391" s="1" t="s">
        <v>22</v>
      </c>
    </row>
    <row r="393" spans="1:17" x14ac:dyDescent="0.2">
      <c r="A393" s="3"/>
      <c r="B393" s="3" t="s">
        <v>26</v>
      </c>
      <c r="C393" s="3" t="s">
        <v>516</v>
      </c>
      <c r="D393" s="3"/>
      <c r="E393" s="3"/>
      <c r="F393" s="3"/>
      <c r="G393" s="3"/>
      <c r="H393" s="3"/>
      <c r="I393" s="3"/>
      <c r="J393" s="3"/>
      <c r="K393" s="4">
        <v>-32928.980000000003</v>
      </c>
      <c r="L393" s="3" t="s">
        <v>22</v>
      </c>
      <c r="M393" s="3"/>
      <c r="N393" s="4">
        <v>-32928.980000000003</v>
      </c>
      <c r="O393" s="3" t="s">
        <v>22</v>
      </c>
      <c r="P393" s="3"/>
      <c r="Q393" s="3"/>
    </row>
    <row r="395" spans="1:17" x14ac:dyDescent="0.2">
      <c r="A395" s="1" t="s">
        <v>0</v>
      </c>
      <c r="F395" s="1">
        <v>501114</v>
      </c>
    </row>
    <row r="396" spans="1:17" x14ac:dyDescent="0.2">
      <c r="A396" s="1" t="s">
        <v>1</v>
      </c>
      <c r="F396" s="1" t="s">
        <v>40</v>
      </c>
    </row>
    <row r="398" spans="1:17" x14ac:dyDescent="0.2">
      <c r="A398" s="1" t="s">
        <v>3</v>
      </c>
      <c r="F398" s="1" t="s">
        <v>517</v>
      </c>
    </row>
    <row r="399" spans="1:17" x14ac:dyDescent="0.2">
      <c r="A399" s="1" t="s">
        <v>5</v>
      </c>
      <c r="F399" s="1" t="s">
        <v>282</v>
      </c>
    </row>
    <row r="402" spans="1:17" x14ac:dyDescent="0.2">
      <c r="C402" s="1" t="s">
        <v>6</v>
      </c>
      <c r="D402" s="1" t="s">
        <v>7</v>
      </c>
      <c r="E402" s="1" t="s">
        <v>8</v>
      </c>
      <c r="G402" s="1" t="s">
        <v>9</v>
      </c>
      <c r="H402" s="1" t="s">
        <v>10</v>
      </c>
      <c r="I402" s="1" t="s">
        <v>11</v>
      </c>
      <c r="J402" s="1" t="s">
        <v>12</v>
      </c>
      <c r="K402" s="1" t="s">
        <v>13</v>
      </c>
      <c r="L402" s="1" t="s">
        <v>14</v>
      </c>
      <c r="M402" s="1" t="s">
        <v>15</v>
      </c>
      <c r="N402" s="1" t="s">
        <v>16</v>
      </c>
      <c r="O402" s="1" t="s">
        <v>17</v>
      </c>
      <c r="P402" s="1" t="s">
        <v>18</v>
      </c>
      <c r="Q402" s="1" t="s">
        <v>19</v>
      </c>
    </row>
    <row r="404" spans="1:17" x14ac:dyDescent="0.2">
      <c r="D404" s="1" t="s">
        <v>20</v>
      </c>
      <c r="E404" s="1">
        <v>1400013838</v>
      </c>
      <c r="G404" s="1" t="s">
        <v>90</v>
      </c>
      <c r="I404" s="1" t="s">
        <v>90</v>
      </c>
      <c r="K404" s="2">
        <v>-32464.87</v>
      </c>
      <c r="L404" s="1" t="s">
        <v>22</v>
      </c>
      <c r="N404" s="2">
        <v>-32464.87</v>
      </c>
      <c r="O404" s="1" t="s">
        <v>22</v>
      </c>
      <c r="P404" s="1" t="s">
        <v>518</v>
      </c>
      <c r="Q404" s="1">
        <v>1</v>
      </c>
    </row>
    <row r="406" spans="1:17" x14ac:dyDescent="0.2">
      <c r="B406" s="1" t="s">
        <v>25</v>
      </c>
      <c r="K406" s="2">
        <v>-32464.87</v>
      </c>
      <c r="L406" s="1" t="s">
        <v>22</v>
      </c>
      <c r="N406" s="2">
        <v>-32464.87</v>
      </c>
      <c r="O406" s="1" t="s">
        <v>22</v>
      </c>
    </row>
    <row r="408" spans="1:17" x14ac:dyDescent="0.2">
      <c r="A408" s="3"/>
      <c r="B408" s="3" t="s">
        <v>26</v>
      </c>
      <c r="C408" s="3" t="s">
        <v>519</v>
      </c>
      <c r="D408" s="3"/>
      <c r="E408" s="3"/>
      <c r="F408" s="3"/>
      <c r="G408" s="3"/>
      <c r="H408" s="3"/>
      <c r="I408" s="3"/>
      <c r="J408" s="3"/>
      <c r="K408" s="4">
        <v>-32464.87</v>
      </c>
      <c r="L408" s="3" t="s">
        <v>22</v>
      </c>
      <c r="M408" s="3"/>
      <c r="N408" s="4">
        <v>-32464.87</v>
      </c>
      <c r="O408" s="3" t="s">
        <v>22</v>
      </c>
      <c r="P408" s="3"/>
      <c r="Q408" s="3"/>
    </row>
    <row r="410" spans="1:17" x14ac:dyDescent="0.2">
      <c r="A410" s="1" t="s">
        <v>0</v>
      </c>
      <c r="F410" s="1">
        <v>501116</v>
      </c>
    </row>
    <row r="411" spans="1:17" x14ac:dyDescent="0.2">
      <c r="A411" s="1" t="s">
        <v>1</v>
      </c>
      <c r="F411" s="1" t="s">
        <v>40</v>
      </c>
    </row>
    <row r="413" spans="1:17" x14ac:dyDescent="0.2">
      <c r="A413" s="1" t="s">
        <v>3</v>
      </c>
      <c r="F413" s="1" t="s">
        <v>520</v>
      </c>
    </row>
    <row r="414" spans="1:17" x14ac:dyDescent="0.2">
      <c r="A414" s="1" t="s">
        <v>5</v>
      </c>
      <c r="F414" s="1" t="s">
        <v>282</v>
      </c>
    </row>
    <row r="417" spans="1:17" x14ac:dyDescent="0.2">
      <c r="C417" s="1" t="s">
        <v>6</v>
      </c>
      <c r="D417" s="1" t="s">
        <v>7</v>
      </c>
      <c r="E417" s="1" t="s">
        <v>8</v>
      </c>
      <c r="G417" s="1" t="s">
        <v>9</v>
      </c>
      <c r="H417" s="1" t="s">
        <v>10</v>
      </c>
      <c r="I417" s="1" t="s">
        <v>11</v>
      </c>
      <c r="J417" s="1" t="s">
        <v>12</v>
      </c>
      <c r="K417" s="1" t="s">
        <v>13</v>
      </c>
      <c r="L417" s="1" t="s">
        <v>14</v>
      </c>
      <c r="M417" s="1" t="s">
        <v>15</v>
      </c>
      <c r="N417" s="1" t="s">
        <v>16</v>
      </c>
      <c r="O417" s="1" t="s">
        <v>17</v>
      </c>
      <c r="P417" s="1" t="s">
        <v>18</v>
      </c>
      <c r="Q417" s="1" t="s">
        <v>19</v>
      </c>
    </row>
    <row r="419" spans="1:17" x14ac:dyDescent="0.2">
      <c r="D419" s="1" t="s">
        <v>20</v>
      </c>
      <c r="E419" s="1">
        <v>1400013879</v>
      </c>
      <c r="G419" s="1" t="s">
        <v>182</v>
      </c>
      <c r="I419" s="1" t="s">
        <v>182</v>
      </c>
      <c r="K419" s="2">
        <v>-1640967.25</v>
      </c>
      <c r="L419" s="1" t="s">
        <v>22</v>
      </c>
      <c r="N419" s="2">
        <v>-1640967.25</v>
      </c>
      <c r="O419" s="1" t="s">
        <v>22</v>
      </c>
      <c r="P419" s="1" t="s">
        <v>521</v>
      </c>
      <c r="Q419" s="1">
        <v>1</v>
      </c>
    </row>
    <row r="421" spans="1:17" x14ac:dyDescent="0.2">
      <c r="B421" s="1" t="s">
        <v>25</v>
      </c>
      <c r="K421" s="2">
        <v>-1640967.25</v>
      </c>
      <c r="L421" s="1" t="s">
        <v>22</v>
      </c>
      <c r="N421" s="2">
        <v>-1640967.25</v>
      </c>
      <c r="O421" s="1" t="s">
        <v>22</v>
      </c>
    </row>
    <row r="423" spans="1:17" x14ac:dyDescent="0.2">
      <c r="A423" s="3"/>
      <c r="B423" s="3" t="s">
        <v>26</v>
      </c>
      <c r="C423" s="3" t="s">
        <v>522</v>
      </c>
      <c r="D423" s="3"/>
      <c r="E423" s="3"/>
      <c r="F423" s="3"/>
      <c r="G423" s="3"/>
      <c r="H423" s="3"/>
      <c r="I423" s="3"/>
      <c r="J423" s="3"/>
      <c r="K423" s="4">
        <v>-1640967.25</v>
      </c>
      <c r="L423" s="3" t="s">
        <v>22</v>
      </c>
      <c r="M423" s="3"/>
      <c r="N423" s="4">
        <v>-1640967.25</v>
      </c>
      <c r="O423" s="3" t="s">
        <v>22</v>
      </c>
      <c r="P423" s="3"/>
      <c r="Q423" s="3"/>
    </row>
    <row r="425" spans="1:17" x14ac:dyDescent="0.2">
      <c r="A425" s="1" t="s">
        <v>0</v>
      </c>
      <c r="F425" s="1">
        <v>501118</v>
      </c>
    </row>
    <row r="426" spans="1:17" x14ac:dyDescent="0.2">
      <c r="A426" s="1" t="s">
        <v>1</v>
      </c>
      <c r="F426" s="1" t="s">
        <v>40</v>
      </c>
    </row>
    <row r="428" spans="1:17" x14ac:dyDescent="0.2">
      <c r="A428" s="1" t="s">
        <v>3</v>
      </c>
      <c r="F428" s="1" t="s">
        <v>523</v>
      </c>
    </row>
    <row r="429" spans="1:17" x14ac:dyDescent="0.2">
      <c r="A429" s="1" t="s">
        <v>5</v>
      </c>
      <c r="F429" s="1" t="s">
        <v>282</v>
      </c>
    </row>
    <row r="432" spans="1:17" x14ac:dyDescent="0.2">
      <c r="C432" s="1" t="s">
        <v>6</v>
      </c>
      <c r="D432" s="1" t="s">
        <v>7</v>
      </c>
      <c r="E432" s="1" t="s">
        <v>8</v>
      </c>
      <c r="G432" s="1" t="s">
        <v>9</v>
      </c>
      <c r="H432" s="1" t="s">
        <v>10</v>
      </c>
      <c r="I432" s="1" t="s">
        <v>11</v>
      </c>
      <c r="J432" s="1" t="s">
        <v>12</v>
      </c>
      <c r="K432" s="1" t="s">
        <v>13</v>
      </c>
      <c r="L432" s="1" t="s">
        <v>14</v>
      </c>
      <c r="M432" s="1" t="s">
        <v>15</v>
      </c>
      <c r="N432" s="1" t="s">
        <v>16</v>
      </c>
      <c r="O432" s="1" t="s">
        <v>17</v>
      </c>
      <c r="P432" s="1" t="s">
        <v>18</v>
      </c>
      <c r="Q432" s="1" t="s">
        <v>19</v>
      </c>
    </row>
    <row r="434" spans="1:17" x14ac:dyDescent="0.2">
      <c r="D434" s="1" t="s">
        <v>20</v>
      </c>
      <c r="E434" s="1">
        <v>1400013679</v>
      </c>
      <c r="G434" s="1" t="s">
        <v>21</v>
      </c>
      <c r="I434" s="1" t="s">
        <v>21</v>
      </c>
      <c r="K434" s="2">
        <v>-88426.37</v>
      </c>
      <c r="L434" s="1" t="s">
        <v>22</v>
      </c>
      <c r="N434" s="2">
        <v>-88426.37</v>
      </c>
      <c r="O434" s="1" t="s">
        <v>22</v>
      </c>
      <c r="P434" s="1" t="s">
        <v>524</v>
      </c>
      <c r="Q434" s="1">
        <v>1</v>
      </c>
    </row>
    <row r="436" spans="1:17" x14ac:dyDescent="0.2">
      <c r="B436" s="1" t="s">
        <v>25</v>
      </c>
      <c r="K436" s="2">
        <v>-88426.37</v>
      </c>
      <c r="L436" s="1" t="s">
        <v>22</v>
      </c>
      <c r="N436" s="2">
        <v>-88426.37</v>
      </c>
      <c r="O436" s="1" t="s">
        <v>22</v>
      </c>
    </row>
    <row r="438" spans="1:17" x14ac:dyDescent="0.2">
      <c r="A438" s="3"/>
      <c r="B438" s="3" t="s">
        <v>26</v>
      </c>
      <c r="C438" s="3" t="s">
        <v>525</v>
      </c>
      <c r="D438" s="3"/>
      <c r="E438" s="3"/>
      <c r="F438" s="3"/>
      <c r="G438" s="3"/>
      <c r="H438" s="3"/>
      <c r="I438" s="3"/>
      <c r="J438" s="3"/>
      <c r="K438" s="4">
        <v>-88426.37</v>
      </c>
      <c r="L438" s="3" t="s">
        <v>22</v>
      </c>
      <c r="M438" s="3"/>
      <c r="N438" s="4">
        <v>-88426.37</v>
      </c>
      <c r="O438" s="3" t="s">
        <v>22</v>
      </c>
      <c r="P438" s="3"/>
      <c r="Q438" s="3"/>
    </row>
    <row r="440" spans="1:17" x14ac:dyDescent="0.2">
      <c r="A440" s="1" t="s">
        <v>0</v>
      </c>
      <c r="F440" s="1">
        <v>501121</v>
      </c>
    </row>
    <row r="441" spans="1:17" x14ac:dyDescent="0.2">
      <c r="A441" s="1" t="s">
        <v>1</v>
      </c>
      <c r="F441" s="1" t="s">
        <v>40</v>
      </c>
    </row>
    <row r="443" spans="1:17" x14ac:dyDescent="0.2">
      <c r="A443" s="1" t="s">
        <v>3</v>
      </c>
      <c r="F443" s="1" t="s">
        <v>526</v>
      </c>
    </row>
    <row r="444" spans="1:17" x14ac:dyDescent="0.2">
      <c r="A444" s="1" t="s">
        <v>5</v>
      </c>
      <c r="F444" s="1" t="s">
        <v>392</v>
      </c>
    </row>
    <row r="447" spans="1:17" x14ac:dyDescent="0.2">
      <c r="C447" s="1" t="s">
        <v>6</v>
      </c>
      <c r="D447" s="1" t="s">
        <v>7</v>
      </c>
      <c r="E447" s="1" t="s">
        <v>8</v>
      </c>
      <c r="G447" s="1" t="s">
        <v>9</v>
      </c>
      <c r="H447" s="1" t="s">
        <v>10</v>
      </c>
      <c r="I447" s="1" t="s">
        <v>11</v>
      </c>
      <c r="J447" s="1" t="s">
        <v>12</v>
      </c>
      <c r="K447" s="1" t="s">
        <v>13</v>
      </c>
      <c r="L447" s="1" t="s">
        <v>14</v>
      </c>
      <c r="M447" s="1" t="s">
        <v>15</v>
      </c>
      <c r="N447" s="1" t="s">
        <v>16</v>
      </c>
      <c r="O447" s="1" t="s">
        <v>17</v>
      </c>
      <c r="P447" s="1" t="s">
        <v>18</v>
      </c>
      <c r="Q447" s="1" t="s">
        <v>19</v>
      </c>
    </row>
    <row r="449" spans="1:17" x14ac:dyDescent="0.2">
      <c r="D449" s="1" t="s">
        <v>20</v>
      </c>
      <c r="E449" s="1">
        <v>1400013829</v>
      </c>
      <c r="G449" s="1" t="s">
        <v>85</v>
      </c>
      <c r="I449" s="1" t="s">
        <v>85</v>
      </c>
      <c r="K449" s="2">
        <v>-832160.98</v>
      </c>
      <c r="L449" s="1" t="s">
        <v>22</v>
      </c>
      <c r="N449" s="2">
        <v>-832160.98</v>
      </c>
      <c r="O449" s="1" t="s">
        <v>22</v>
      </c>
      <c r="P449" s="1" t="s">
        <v>527</v>
      </c>
      <c r="Q449" s="1">
        <v>1</v>
      </c>
    </row>
    <row r="451" spans="1:17" x14ac:dyDescent="0.2">
      <c r="B451" s="1" t="s">
        <v>25</v>
      </c>
      <c r="K451" s="2">
        <v>-832160.98</v>
      </c>
      <c r="L451" s="1" t="s">
        <v>22</v>
      </c>
      <c r="N451" s="2">
        <v>-832160.98</v>
      </c>
      <c r="O451" s="1" t="s">
        <v>22</v>
      </c>
    </row>
    <row r="453" spans="1:17" x14ac:dyDescent="0.2">
      <c r="A453" s="3"/>
      <c r="B453" s="3" t="s">
        <v>26</v>
      </c>
      <c r="C453" s="3" t="s">
        <v>528</v>
      </c>
      <c r="D453" s="3"/>
      <c r="E453" s="3"/>
      <c r="F453" s="3"/>
      <c r="G453" s="3"/>
      <c r="H453" s="3"/>
      <c r="I453" s="3"/>
      <c r="J453" s="3"/>
      <c r="K453" s="4">
        <v>-832160.98</v>
      </c>
      <c r="L453" s="3" t="s">
        <v>22</v>
      </c>
      <c r="M453" s="3"/>
      <c r="N453" s="4">
        <v>-832160.98</v>
      </c>
      <c r="O453" s="3" t="s">
        <v>22</v>
      </c>
      <c r="P453" s="3"/>
      <c r="Q453" s="3"/>
    </row>
    <row r="455" spans="1:17" x14ac:dyDescent="0.2">
      <c r="A455" s="1" t="s">
        <v>0</v>
      </c>
      <c r="F455" s="1">
        <v>501122</v>
      </c>
    </row>
    <row r="456" spans="1:17" x14ac:dyDescent="0.2">
      <c r="A456" s="1" t="s">
        <v>1</v>
      </c>
      <c r="F456" s="1" t="s">
        <v>40</v>
      </c>
    </row>
    <row r="458" spans="1:17" x14ac:dyDescent="0.2">
      <c r="A458" s="1" t="s">
        <v>3</v>
      </c>
      <c r="F458" s="1" t="s">
        <v>526</v>
      </c>
    </row>
    <row r="459" spans="1:17" x14ac:dyDescent="0.2">
      <c r="A459" s="1" t="s">
        <v>5</v>
      </c>
      <c r="F459" s="1" t="s">
        <v>395</v>
      </c>
    </row>
    <row r="462" spans="1:17" x14ac:dyDescent="0.2">
      <c r="C462" s="1" t="s">
        <v>6</v>
      </c>
      <c r="D462" s="1" t="s">
        <v>7</v>
      </c>
      <c r="E462" s="1" t="s">
        <v>8</v>
      </c>
      <c r="G462" s="1" t="s">
        <v>9</v>
      </c>
      <c r="H462" s="1" t="s">
        <v>10</v>
      </c>
      <c r="I462" s="1" t="s">
        <v>11</v>
      </c>
      <c r="J462" s="1" t="s">
        <v>12</v>
      </c>
      <c r="K462" s="1" t="s">
        <v>13</v>
      </c>
      <c r="L462" s="1" t="s">
        <v>14</v>
      </c>
      <c r="M462" s="1" t="s">
        <v>15</v>
      </c>
      <c r="N462" s="1" t="s">
        <v>16</v>
      </c>
      <c r="O462" s="1" t="s">
        <v>17</v>
      </c>
      <c r="P462" s="1" t="s">
        <v>18</v>
      </c>
      <c r="Q462" s="1" t="s">
        <v>19</v>
      </c>
    </row>
    <row r="464" spans="1:17" x14ac:dyDescent="0.2">
      <c r="D464" s="1" t="s">
        <v>20</v>
      </c>
      <c r="E464" s="1">
        <v>1400013829</v>
      </c>
      <c r="G464" s="1" t="s">
        <v>85</v>
      </c>
      <c r="I464" s="1" t="s">
        <v>85</v>
      </c>
      <c r="K464" s="2">
        <v>-333333.33</v>
      </c>
      <c r="L464" s="1" t="s">
        <v>22</v>
      </c>
      <c r="N464" s="2">
        <v>-333333.33</v>
      </c>
      <c r="O464" s="1" t="s">
        <v>22</v>
      </c>
      <c r="P464" s="1" t="s">
        <v>529</v>
      </c>
      <c r="Q464" s="1">
        <v>1</v>
      </c>
    </row>
    <row r="466" spans="1:17" x14ac:dyDescent="0.2">
      <c r="B466" s="1" t="s">
        <v>25</v>
      </c>
      <c r="K466" s="2">
        <v>-333333.33</v>
      </c>
      <c r="L466" s="1" t="s">
        <v>22</v>
      </c>
      <c r="N466" s="2">
        <v>-333333.33</v>
      </c>
      <c r="O466" s="1" t="s">
        <v>22</v>
      </c>
    </row>
    <row r="468" spans="1:17" x14ac:dyDescent="0.2">
      <c r="A468" s="3"/>
      <c r="B468" s="3" t="s">
        <v>26</v>
      </c>
      <c r="C468" s="3" t="s">
        <v>530</v>
      </c>
      <c r="D468" s="3"/>
      <c r="E468" s="3"/>
      <c r="F468" s="3"/>
      <c r="G468" s="3"/>
      <c r="H468" s="3"/>
      <c r="I468" s="3"/>
      <c r="J468" s="3"/>
      <c r="K468" s="4">
        <v>-333333.33</v>
      </c>
      <c r="L468" s="3" t="s">
        <v>22</v>
      </c>
      <c r="M468" s="3"/>
      <c r="N468" s="4">
        <v>-333333.33</v>
      </c>
      <c r="O468" s="3" t="s">
        <v>22</v>
      </c>
      <c r="P468" s="3"/>
      <c r="Q468" s="3"/>
    </row>
    <row r="470" spans="1:17" x14ac:dyDescent="0.2">
      <c r="A470" s="1" t="s">
        <v>0</v>
      </c>
      <c r="F470" s="1">
        <v>501123</v>
      </c>
    </row>
    <row r="471" spans="1:17" x14ac:dyDescent="0.2">
      <c r="A471" s="1" t="s">
        <v>1</v>
      </c>
      <c r="F471" s="1" t="s">
        <v>40</v>
      </c>
    </row>
    <row r="473" spans="1:17" x14ac:dyDescent="0.2">
      <c r="A473" s="1" t="s">
        <v>3</v>
      </c>
      <c r="F473" s="1" t="s">
        <v>111</v>
      </c>
    </row>
    <row r="474" spans="1:17" x14ac:dyDescent="0.2">
      <c r="A474" s="1" t="s">
        <v>5</v>
      </c>
      <c r="F474" s="1" t="s">
        <v>70</v>
      </c>
    </row>
    <row r="477" spans="1:17" x14ac:dyDescent="0.2">
      <c r="C477" s="1" t="s">
        <v>6</v>
      </c>
      <c r="D477" s="1" t="s">
        <v>7</v>
      </c>
      <c r="E477" s="1" t="s">
        <v>8</v>
      </c>
      <c r="G477" s="1" t="s">
        <v>9</v>
      </c>
      <c r="H477" s="1" t="s">
        <v>10</v>
      </c>
      <c r="I477" s="1" t="s">
        <v>11</v>
      </c>
      <c r="J477" s="1" t="s">
        <v>12</v>
      </c>
      <c r="K477" s="1" t="s">
        <v>13</v>
      </c>
      <c r="L477" s="1" t="s">
        <v>14</v>
      </c>
      <c r="M477" s="1" t="s">
        <v>15</v>
      </c>
      <c r="N477" s="1" t="s">
        <v>16</v>
      </c>
      <c r="O477" s="1" t="s">
        <v>17</v>
      </c>
      <c r="P477" s="1" t="s">
        <v>18</v>
      </c>
      <c r="Q477" s="1" t="s">
        <v>19</v>
      </c>
    </row>
    <row r="479" spans="1:17" x14ac:dyDescent="0.2">
      <c r="D479" s="1" t="s">
        <v>20</v>
      </c>
      <c r="E479" s="1">
        <v>1400013687</v>
      </c>
      <c r="G479" s="1" t="s">
        <v>44</v>
      </c>
      <c r="I479" s="1" t="s">
        <v>44</v>
      </c>
      <c r="K479" s="2">
        <v>-1014272.3</v>
      </c>
      <c r="L479" s="1" t="s">
        <v>22</v>
      </c>
      <c r="N479" s="2">
        <v>-1014272.3</v>
      </c>
      <c r="O479" s="1" t="s">
        <v>22</v>
      </c>
      <c r="P479" s="1" t="s">
        <v>531</v>
      </c>
      <c r="Q479" s="1">
        <v>1</v>
      </c>
    </row>
    <row r="480" spans="1:17" x14ac:dyDescent="0.2">
      <c r="D480" s="1" t="s">
        <v>20</v>
      </c>
      <c r="E480" s="1">
        <v>1400013892</v>
      </c>
      <c r="G480" s="1" t="s">
        <v>66</v>
      </c>
      <c r="I480" s="1" t="s">
        <v>66</v>
      </c>
      <c r="K480" s="2">
        <v>-436143</v>
      </c>
      <c r="L480" s="1" t="s">
        <v>22</v>
      </c>
      <c r="N480" s="2">
        <v>-436143</v>
      </c>
      <c r="O480" s="1" t="s">
        <v>22</v>
      </c>
      <c r="P480" s="1" t="s">
        <v>532</v>
      </c>
      <c r="Q480" s="1">
        <v>1</v>
      </c>
    </row>
    <row r="482" spans="1:17" x14ac:dyDescent="0.2">
      <c r="B482" s="1" t="s">
        <v>25</v>
      </c>
      <c r="K482" s="2">
        <v>-1450415.3</v>
      </c>
      <c r="L482" s="1" t="s">
        <v>22</v>
      </c>
      <c r="N482" s="2">
        <v>-1450415.3</v>
      </c>
      <c r="O482" s="1" t="s">
        <v>22</v>
      </c>
    </row>
    <row r="484" spans="1:17" x14ac:dyDescent="0.2">
      <c r="A484" s="3"/>
      <c r="B484" s="3" t="s">
        <v>26</v>
      </c>
      <c r="C484" s="3" t="s">
        <v>115</v>
      </c>
      <c r="D484" s="3"/>
      <c r="E484" s="3"/>
      <c r="F484" s="3"/>
      <c r="G484" s="3"/>
      <c r="H484" s="3"/>
      <c r="I484" s="3"/>
      <c r="J484" s="3"/>
      <c r="K484" s="4">
        <v>-1450415.3</v>
      </c>
      <c r="L484" s="3" t="s">
        <v>22</v>
      </c>
      <c r="M484" s="3"/>
      <c r="N484" s="4">
        <v>-1450415.3</v>
      </c>
      <c r="O484" s="3" t="s">
        <v>22</v>
      </c>
      <c r="P484" s="3"/>
      <c r="Q484" s="3"/>
    </row>
    <row r="486" spans="1:17" x14ac:dyDescent="0.2">
      <c r="A486" s="1" t="s">
        <v>0</v>
      </c>
      <c r="F486" s="1">
        <v>501124</v>
      </c>
    </row>
    <row r="487" spans="1:17" x14ac:dyDescent="0.2">
      <c r="A487" s="1" t="s">
        <v>1</v>
      </c>
      <c r="F487" s="1" t="s">
        <v>40</v>
      </c>
    </row>
    <row r="489" spans="1:17" x14ac:dyDescent="0.2">
      <c r="A489" s="1" t="s">
        <v>3</v>
      </c>
      <c r="F489" s="1" t="s">
        <v>116</v>
      </c>
    </row>
    <row r="490" spans="1:17" x14ac:dyDescent="0.2">
      <c r="A490" s="1" t="s">
        <v>5</v>
      </c>
      <c r="F490" s="1" t="s">
        <v>70</v>
      </c>
    </row>
    <row r="493" spans="1:17" x14ac:dyDescent="0.2">
      <c r="C493" s="1" t="s">
        <v>6</v>
      </c>
      <c r="D493" s="1" t="s">
        <v>7</v>
      </c>
      <c r="E493" s="1" t="s">
        <v>8</v>
      </c>
      <c r="G493" s="1" t="s">
        <v>9</v>
      </c>
      <c r="H493" s="1" t="s">
        <v>10</v>
      </c>
      <c r="I493" s="1" t="s">
        <v>11</v>
      </c>
      <c r="J493" s="1" t="s">
        <v>12</v>
      </c>
      <c r="K493" s="1" t="s">
        <v>13</v>
      </c>
      <c r="L493" s="1" t="s">
        <v>14</v>
      </c>
      <c r="M493" s="1" t="s">
        <v>15</v>
      </c>
      <c r="N493" s="1" t="s">
        <v>16</v>
      </c>
      <c r="O493" s="1" t="s">
        <v>17</v>
      </c>
      <c r="P493" s="1" t="s">
        <v>18</v>
      </c>
      <c r="Q493" s="1" t="s">
        <v>19</v>
      </c>
    </row>
    <row r="495" spans="1:17" x14ac:dyDescent="0.2">
      <c r="D495" s="1" t="s">
        <v>20</v>
      </c>
      <c r="E495" s="1">
        <v>1400013718</v>
      </c>
      <c r="G495" s="1" t="s">
        <v>21</v>
      </c>
      <c r="I495" s="1" t="s">
        <v>21</v>
      </c>
      <c r="K495" s="2">
        <v>-1077276</v>
      </c>
      <c r="L495" s="1" t="s">
        <v>22</v>
      </c>
      <c r="N495" s="2">
        <v>-1077276</v>
      </c>
      <c r="O495" s="1" t="s">
        <v>22</v>
      </c>
      <c r="P495" s="1" t="s">
        <v>533</v>
      </c>
      <c r="Q495" s="1">
        <v>1</v>
      </c>
    </row>
    <row r="496" spans="1:17" x14ac:dyDescent="0.2">
      <c r="D496" s="1" t="s">
        <v>20</v>
      </c>
      <c r="E496" s="1">
        <v>1400013737</v>
      </c>
      <c r="G496" s="1" t="s">
        <v>162</v>
      </c>
      <c r="I496" s="1" t="s">
        <v>162</v>
      </c>
      <c r="K496" s="2">
        <v>-376618.72</v>
      </c>
      <c r="L496" s="1" t="s">
        <v>22</v>
      </c>
      <c r="N496" s="2">
        <v>-376618.72</v>
      </c>
      <c r="O496" s="1" t="s">
        <v>22</v>
      </c>
      <c r="P496" s="1" t="s">
        <v>534</v>
      </c>
      <c r="Q496" s="1">
        <v>1</v>
      </c>
    </row>
    <row r="497" spans="1:17" x14ac:dyDescent="0.2">
      <c r="D497" s="1" t="s">
        <v>20</v>
      </c>
      <c r="E497" s="1">
        <v>1400013794</v>
      </c>
      <c r="G497" s="1" t="s">
        <v>30</v>
      </c>
      <c r="I497" s="1" t="s">
        <v>30</v>
      </c>
      <c r="K497" s="2">
        <v>-61404</v>
      </c>
      <c r="L497" s="1" t="s">
        <v>22</v>
      </c>
      <c r="N497" s="2">
        <v>-61404</v>
      </c>
      <c r="O497" s="1" t="s">
        <v>22</v>
      </c>
      <c r="P497" s="1" t="s">
        <v>535</v>
      </c>
      <c r="Q497" s="1">
        <v>1</v>
      </c>
    </row>
    <row r="498" spans="1:17" x14ac:dyDescent="0.2">
      <c r="D498" s="1" t="s">
        <v>20</v>
      </c>
      <c r="E498" s="1">
        <v>1400013794</v>
      </c>
      <c r="G498" s="1" t="s">
        <v>30</v>
      </c>
      <c r="I498" s="1" t="s">
        <v>30</v>
      </c>
      <c r="K498" s="2">
        <v>-164669.04999999999</v>
      </c>
      <c r="L498" s="1" t="s">
        <v>22</v>
      </c>
      <c r="N498" s="2">
        <v>-164669.04999999999</v>
      </c>
      <c r="O498" s="1" t="s">
        <v>22</v>
      </c>
      <c r="P498" s="1" t="s">
        <v>536</v>
      </c>
      <c r="Q498" s="1">
        <v>1</v>
      </c>
    </row>
    <row r="499" spans="1:17" x14ac:dyDescent="0.2">
      <c r="D499" s="1" t="s">
        <v>20</v>
      </c>
      <c r="E499" s="1">
        <v>1400013794</v>
      </c>
      <c r="G499" s="1" t="s">
        <v>30</v>
      </c>
      <c r="I499" s="1" t="s">
        <v>30</v>
      </c>
      <c r="K499" s="2">
        <v>-115265.95</v>
      </c>
      <c r="L499" s="1" t="s">
        <v>22</v>
      </c>
      <c r="N499" s="2">
        <v>-115265.95</v>
      </c>
      <c r="O499" s="1" t="s">
        <v>22</v>
      </c>
      <c r="P499" s="1" t="s">
        <v>537</v>
      </c>
      <c r="Q499" s="1">
        <v>1</v>
      </c>
    </row>
    <row r="501" spans="1:17" x14ac:dyDescent="0.2">
      <c r="B501" s="1" t="s">
        <v>25</v>
      </c>
      <c r="K501" s="2">
        <v>-1795233.72</v>
      </c>
      <c r="L501" s="1" t="s">
        <v>22</v>
      </c>
      <c r="N501" s="2">
        <v>-1795233.72</v>
      </c>
      <c r="O501" s="1" t="s">
        <v>22</v>
      </c>
    </row>
    <row r="503" spans="1:17" x14ac:dyDescent="0.2">
      <c r="A503" s="3"/>
      <c r="B503" s="3" t="s">
        <v>26</v>
      </c>
      <c r="C503" s="3" t="s">
        <v>119</v>
      </c>
      <c r="D503" s="3"/>
      <c r="E503" s="3"/>
      <c r="F503" s="3"/>
      <c r="G503" s="3"/>
      <c r="H503" s="3"/>
      <c r="I503" s="3"/>
      <c r="J503" s="3"/>
      <c r="K503" s="4">
        <v>-1795233.72</v>
      </c>
      <c r="L503" s="3" t="s">
        <v>22</v>
      </c>
      <c r="M503" s="3"/>
      <c r="N503" s="4">
        <v>-1795233.72</v>
      </c>
      <c r="O503" s="3" t="s">
        <v>22</v>
      </c>
      <c r="P503" s="3"/>
      <c r="Q503" s="3"/>
    </row>
    <row r="505" spans="1:17" x14ac:dyDescent="0.2">
      <c r="A505" s="1" t="s">
        <v>0</v>
      </c>
      <c r="F505" s="1">
        <v>501126</v>
      </c>
    </row>
    <row r="506" spans="1:17" x14ac:dyDescent="0.2">
      <c r="A506" s="1" t="s">
        <v>1</v>
      </c>
      <c r="F506" s="1" t="s">
        <v>40</v>
      </c>
    </row>
    <row r="508" spans="1:17" x14ac:dyDescent="0.2">
      <c r="A508" s="1" t="s">
        <v>3</v>
      </c>
      <c r="F508" s="1" t="s">
        <v>526</v>
      </c>
    </row>
    <row r="509" spans="1:17" x14ac:dyDescent="0.2">
      <c r="A509" s="1" t="s">
        <v>5</v>
      </c>
      <c r="F509" s="1" t="s">
        <v>495</v>
      </c>
    </row>
    <row r="512" spans="1:17" x14ac:dyDescent="0.2">
      <c r="C512" s="1" t="s">
        <v>6</v>
      </c>
      <c r="D512" s="1" t="s">
        <v>7</v>
      </c>
      <c r="E512" s="1" t="s">
        <v>8</v>
      </c>
      <c r="G512" s="1" t="s">
        <v>9</v>
      </c>
      <c r="H512" s="1" t="s">
        <v>10</v>
      </c>
      <c r="I512" s="1" t="s">
        <v>11</v>
      </c>
      <c r="J512" s="1" t="s">
        <v>12</v>
      </c>
      <c r="K512" s="1" t="s">
        <v>13</v>
      </c>
      <c r="L512" s="1" t="s">
        <v>14</v>
      </c>
      <c r="M512" s="1" t="s">
        <v>15</v>
      </c>
      <c r="N512" s="1" t="s">
        <v>16</v>
      </c>
      <c r="O512" s="1" t="s">
        <v>17</v>
      </c>
      <c r="P512" s="1" t="s">
        <v>18</v>
      </c>
      <c r="Q512" s="1" t="s">
        <v>19</v>
      </c>
    </row>
    <row r="514" spans="1:17" x14ac:dyDescent="0.2">
      <c r="D514" s="1" t="s">
        <v>20</v>
      </c>
      <c r="E514" s="1">
        <v>1400013829</v>
      </c>
      <c r="G514" s="1" t="s">
        <v>85</v>
      </c>
      <c r="I514" s="1" t="s">
        <v>85</v>
      </c>
      <c r="K514" s="2">
        <v>-166666.67000000001</v>
      </c>
      <c r="L514" s="1" t="s">
        <v>22</v>
      </c>
      <c r="N514" s="2">
        <v>-166666.67000000001</v>
      </c>
      <c r="O514" s="1" t="s">
        <v>22</v>
      </c>
      <c r="P514" s="1" t="s">
        <v>538</v>
      </c>
      <c r="Q514" s="1">
        <v>1</v>
      </c>
    </row>
    <row r="516" spans="1:17" x14ac:dyDescent="0.2">
      <c r="B516" s="1" t="s">
        <v>25</v>
      </c>
      <c r="K516" s="2">
        <v>-166666.67000000001</v>
      </c>
      <c r="L516" s="1" t="s">
        <v>22</v>
      </c>
      <c r="N516" s="2">
        <v>-166666.67000000001</v>
      </c>
      <c r="O516" s="1" t="s">
        <v>22</v>
      </c>
    </row>
    <row r="518" spans="1:17" x14ac:dyDescent="0.2">
      <c r="A518" s="3"/>
      <c r="B518" s="3" t="s">
        <v>26</v>
      </c>
      <c r="C518" s="3" t="s">
        <v>539</v>
      </c>
      <c r="D518" s="3"/>
      <c r="E518" s="3"/>
      <c r="F518" s="3"/>
      <c r="G518" s="3"/>
      <c r="H518" s="3"/>
      <c r="I518" s="3"/>
      <c r="J518" s="3"/>
      <c r="K518" s="4">
        <v>-166666.67000000001</v>
      </c>
      <c r="L518" s="3" t="s">
        <v>22</v>
      </c>
      <c r="M518" s="3"/>
      <c r="N518" s="4">
        <v>-166666.67000000001</v>
      </c>
      <c r="O518" s="3" t="s">
        <v>22</v>
      </c>
      <c r="P518" s="3"/>
      <c r="Q518" s="3"/>
    </row>
    <row r="520" spans="1:17" x14ac:dyDescent="0.2">
      <c r="A520" s="1" t="s">
        <v>0</v>
      </c>
      <c r="F520" s="1">
        <v>501127</v>
      </c>
    </row>
    <row r="521" spans="1:17" x14ac:dyDescent="0.2">
      <c r="A521" s="1" t="s">
        <v>1</v>
      </c>
      <c r="F521" s="1" t="s">
        <v>40</v>
      </c>
    </row>
    <row r="523" spans="1:17" x14ac:dyDescent="0.2">
      <c r="A523" s="1" t="s">
        <v>3</v>
      </c>
      <c r="F523" s="1" t="s">
        <v>116</v>
      </c>
    </row>
    <row r="524" spans="1:17" x14ac:dyDescent="0.2">
      <c r="A524" s="1" t="s">
        <v>5</v>
      </c>
      <c r="F524" s="1" t="s">
        <v>282</v>
      </c>
    </row>
    <row r="527" spans="1:17" x14ac:dyDescent="0.2">
      <c r="C527" s="1" t="s">
        <v>6</v>
      </c>
      <c r="D527" s="1" t="s">
        <v>7</v>
      </c>
      <c r="E527" s="1" t="s">
        <v>8</v>
      </c>
      <c r="G527" s="1" t="s">
        <v>9</v>
      </c>
      <c r="H527" s="1" t="s">
        <v>10</v>
      </c>
      <c r="I527" s="1" t="s">
        <v>11</v>
      </c>
      <c r="J527" s="1" t="s">
        <v>12</v>
      </c>
      <c r="K527" s="1" t="s">
        <v>13</v>
      </c>
      <c r="L527" s="1" t="s">
        <v>14</v>
      </c>
      <c r="M527" s="1" t="s">
        <v>15</v>
      </c>
      <c r="N527" s="1" t="s">
        <v>16</v>
      </c>
      <c r="O527" s="1" t="s">
        <v>17</v>
      </c>
      <c r="P527" s="1" t="s">
        <v>18</v>
      </c>
      <c r="Q527" s="1" t="s">
        <v>19</v>
      </c>
    </row>
    <row r="529" spans="1:17" x14ac:dyDescent="0.2">
      <c r="D529" s="1" t="s">
        <v>20</v>
      </c>
      <c r="E529" s="1">
        <v>1400013670</v>
      </c>
      <c r="G529" s="1" t="s">
        <v>162</v>
      </c>
      <c r="I529" s="1" t="s">
        <v>162</v>
      </c>
      <c r="K529" s="2">
        <v>-30312.95</v>
      </c>
      <c r="L529" s="1" t="s">
        <v>22</v>
      </c>
      <c r="N529" s="2">
        <v>-30312.95</v>
      </c>
      <c r="O529" s="1" t="s">
        <v>22</v>
      </c>
      <c r="P529" s="1" t="s">
        <v>540</v>
      </c>
      <c r="Q529" s="1">
        <v>1</v>
      </c>
    </row>
    <row r="531" spans="1:17" x14ac:dyDescent="0.2">
      <c r="B531" s="1" t="s">
        <v>25</v>
      </c>
      <c r="K531" s="2">
        <v>-30312.95</v>
      </c>
      <c r="L531" s="1" t="s">
        <v>22</v>
      </c>
      <c r="N531" s="2">
        <v>-30312.95</v>
      </c>
      <c r="O531" s="1" t="s">
        <v>22</v>
      </c>
    </row>
    <row r="533" spans="1:17" x14ac:dyDescent="0.2">
      <c r="A533" s="3"/>
      <c r="B533" s="3" t="s">
        <v>26</v>
      </c>
      <c r="C533" s="3" t="s">
        <v>541</v>
      </c>
      <c r="D533" s="3"/>
      <c r="E533" s="3"/>
      <c r="F533" s="3"/>
      <c r="G533" s="3"/>
      <c r="H533" s="3"/>
      <c r="I533" s="3"/>
      <c r="J533" s="3"/>
      <c r="K533" s="4">
        <v>-30312.95</v>
      </c>
      <c r="L533" s="3" t="s">
        <v>22</v>
      </c>
      <c r="M533" s="3"/>
      <c r="N533" s="4">
        <v>-30312.95</v>
      </c>
      <c r="O533" s="3" t="s">
        <v>22</v>
      </c>
      <c r="P533" s="3"/>
      <c r="Q533" s="3"/>
    </row>
    <row r="535" spans="1:17" x14ac:dyDescent="0.2">
      <c r="A535" s="1" t="s">
        <v>0</v>
      </c>
      <c r="F535" s="1">
        <v>501128</v>
      </c>
    </row>
    <row r="536" spans="1:17" x14ac:dyDescent="0.2">
      <c r="A536" s="1" t="s">
        <v>1</v>
      </c>
      <c r="F536" s="1" t="s">
        <v>40</v>
      </c>
    </row>
    <row r="538" spans="1:17" x14ac:dyDescent="0.2">
      <c r="A538" s="1" t="s">
        <v>3</v>
      </c>
      <c r="F538" s="1" t="s">
        <v>120</v>
      </c>
    </row>
    <row r="539" spans="1:17" x14ac:dyDescent="0.2">
      <c r="A539" s="1" t="s">
        <v>5</v>
      </c>
      <c r="F539" s="1" t="s">
        <v>121</v>
      </c>
    </row>
    <row r="542" spans="1:17" x14ac:dyDescent="0.2">
      <c r="C542" s="1" t="s">
        <v>6</v>
      </c>
      <c r="D542" s="1" t="s">
        <v>7</v>
      </c>
      <c r="E542" s="1" t="s">
        <v>8</v>
      </c>
      <c r="G542" s="1" t="s">
        <v>9</v>
      </c>
      <c r="H542" s="1" t="s">
        <v>10</v>
      </c>
      <c r="I542" s="1" t="s">
        <v>11</v>
      </c>
      <c r="J542" s="1" t="s">
        <v>12</v>
      </c>
      <c r="K542" s="1" t="s">
        <v>13</v>
      </c>
      <c r="L542" s="1" t="s">
        <v>14</v>
      </c>
      <c r="M542" s="1" t="s">
        <v>15</v>
      </c>
      <c r="N542" s="1" t="s">
        <v>16</v>
      </c>
      <c r="O542" s="1" t="s">
        <v>17</v>
      </c>
      <c r="P542" s="1" t="s">
        <v>18</v>
      </c>
      <c r="Q542" s="1" t="s">
        <v>19</v>
      </c>
    </row>
    <row r="544" spans="1:17" x14ac:dyDescent="0.2">
      <c r="D544" s="1" t="s">
        <v>20</v>
      </c>
      <c r="E544" s="1">
        <v>1400013706</v>
      </c>
      <c r="G544" s="1" t="s">
        <v>182</v>
      </c>
      <c r="I544" s="1" t="s">
        <v>182</v>
      </c>
      <c r="K544" s="2">
        <v>-1433726.56</v>
      </c>
      <c r="L544" s="1" t="s">
        <v>22</v>
      </c>
      <c r="N544" s="2">
        <v>-348626.52</v>
      </c>
      <c r="O544" s="1" t="s">
        <v>31</v>
      </c>
      <c r="P544" s="1" t="s">
        <v>542</v>
      </c>
      <c r="Q544" s="1">
        <v>4.1124999999999998</v>
      </c>
    </row>
    <row r="545" spans="4:17" x14ac:dyDescent="0.2">
      <c r="D545" s="1" t="s">
        <v>20</v>
      </c>
      <c r="E545" s="1">
        <v>1400013706</v>
      </c>
      <c r="G545" s="1" t="s">
        <v>182</v>
      </c>
      <c r="I545" s="1" t="s">
        <v>182</v>
      </c>
      <c r="K545" s="1">
        <v>-262.95</v>
      </c>
      <c r="L545" s="1" t="s">
        <v>22</v>
      </c>
      <c r="N545" s="1">
        <v>-63.94</v>
      </c>
      <c r="O545" s="1" t="s">
        <v>31</v>
      </c>
      <c r="P545" s="1" t="s">
        <v>543</v>
      </c>
      <c r="Q545" s="1">
        <v>4.1124499999999999</v>
      </c>
    </row>
    <row r="546" spans="4:17" x14ac:dyDescent="0.2">
      <c r="D546" s="1" t="s">
        <v>20</v>
      </c>
      <c r="E546" s="1">
        <v>1400013738</v>
      </c>
      <c r="G546" s="1" t="s">
        <v>162</v>
      </c>
      <c r="I546" s="1" t="s">
        <v>162</v>
      </c>
      <c r="K546" s="2">
        <v>-123569.36</v>
      </c>
      <c r="L546" s="1" t="s">
        <v>22</v>
      </c>
      <c r="N546" s="2">
        <v>-30087.5</v>
      </c>
      <c r="O546" s="1" t="s">
        <v>31</v>
      </c>
      <c r="P546" s="1" t="s">
        <v>544</v>
      </c>
      <c r="Q546" s="1">
        <v>4.1070000000000002</v>
      </c>
    </row>
    <row r="547" spans="4:17" x14ac:dyDescent="0.2">
      <c r="D547" s="1" t="s">
        <v>20</v>
      </c>
      <c r="E547" s="1">
        <v>1400013738</v>
      </c>
      <c r="G547" s="1" t="s">
        <v>162</v>
      </c>
      <c r="I547" s="1" t="s">
        <v>162</v>
      </c>
      <c r="K547" s="2">
        <v>-269257.84000000003</v>
      </c>
      <c r="L547" s="1" t="s">
        <v>22</v>
      </c>
      <c r="N547" s="2">
        <v>-65560.710000000006</v>
      </c>
      <c r="O547" s="1" t="s">
        <v>31</v>
      </c>
      <c r="P547" s="1" t="s">
        <v>545</v>
      </c>
      <c r="Q547" s="1">
        <v>4.1070000000000002</v>
      </c>
    </row>
    <row r="548" spans="4:17" x14ac:dyDescent="0.2">
      <c r="D548" s="1" t="s">
        <v>20</v>
      </c>
      <c r="E548" s="1">
        <v>1400013738</v>
      </c>
      <c r="G548" s="1" t="s">
        <v>162</v>
      </c>
      <c r="I548" s="1" t="s">
        <v>162</v>
      </c>
      <c r="K548" s="2">
        <v>-883499.56</v>
      </c>
      <c r="L548" s="1" t="s">
        <v>22</v>
      </c>
      <c r="N548" s="2">
        <v>-215120.42</v>
      </c>
      <c r="O548" s="1" t="s">
        <v>31</v>
      </c>
      <c r="P548" s="1" t="s">
        <v>542</v>
      </c>
      <c r="Q548" s="1">
        <v>4.1070000000000002</v>
      </c>
    </row>
    <row r="549" spans="4:17" x14ac:dyDescent="0.2">
      <c r="D549" s="1" t="s">
        <v>20</v>
      </c>
      <c r="E549" s="1">
        <v>1400013756</v>
      </c>
      <c r="G549" s="1" t="s">
        <v>50</v>
      </c>
      <c r="I549" s="1" t="s">
        <v>50</v>
      </c>
      <c r="K549" s="2">
        <v>-105513.12</v>
      </c>
      <c r="L549" s="1" t="s">
        <v>22</v>
      </c>
      <c r="N549" s="2">
        <v>-25810.45</v>
      </c>
      <c r="O549" s="1" t="s">
        <v>31</v>
      </c>
      <c r="P549" s="1" t="s">
        <v>546</v>
      </c>
      <c r="Q549" s="1">
        <v>4.0880000000000001</v>
      </c>
    </row>
    <row r="550" spans="4:17" x14ac:dyDescent="0.2">
      <c r="D550" s="1" t="s">
        <v>20</v>
      </c>
      <c r="E550" s="1">
        <v>1400013756</v>
      </c>
      <c r="G550" s="1" t="s">
        <v>50</v>
      </c>
      <c r="I550" s="1" t="s">
        <v>50</v>
      </c>
      <c r="K550" s="2">
        <v>-579543.46</v>
      </c>
      <c r="L550" s="1" t="s">
        <v>22</v>
      </c>
      <c r="N550" s="2">
        <v>-141766.99</v>
      </c>
      <c r="O550" s="1" t="s">
        <v>31</v>
      </c>
      <c r="P550" s="1" t="s">
        <v>547</v>
      </c>
      <c r="Q550" s="1">
        <v>4.0880000000000001</v>
      </c>
    </row>
    <row r="551" spans="4:17" x14ac:dyDescent="0.2">
      <c r="D551" s="1" t="s">
        <v>20</v>
      </c>
      <c r="E551" s="1">
        <v>1400013756</v>
      </c>
      <c r="G551" s="1" t="s">
        <v>50</v>
      </c>
      <c r="I551" s="1" t="s">
        <v>50</v>
      </c>
      <c r="K551" s="2">
        <v>-16219.96</v>
      </c>
      <c r="L551" s="1" t="s">
        <v>22</v>
      </c>
      <c r="N551" s="2">
        <v>-3967.7</v>
      </c>
      <c r="O551" s="1" t="s">
        <v>31</v>
      </c>
      <c r="P551" s="1" t="s">
        <v>548</v>
      </c>
      <c r="Q551" s="1">
        <v>4.0880000000000001</v>
      </c>
    </row>
    <row r="552" spans="4:17" x14ac:dyDescent="0.2">
      <c r="D552" s="1" t="s">
        <v>20</v>
      </c>
      <c r="E552" s="1">
        <v>1400013756</v>
      </c>
      <c r="G552" s="1" t="s">
        <v>50</v>
      </c>
      <c r="I552" s="1" t="s">
        <v>50</v>
      </c>
      <c r="K552" s="2">
        <v>-295274.07</v>
      </c>
      <c r="L552" s="1" t="s">
        <v>22</v>
      </c>
      <c r="N552" s="2">
        <v>-72229.47</v>
      </c>
      <c r="O552" s="1" t="s">
        <v>31</v>
      </c>
      <c r="P552" s="1" t="s">
        <v>549</v>
      </c>
      <c r="Q552" s="1">
        <v>4.0880000000000001</v>
      </c>
    </row>
    <row r="553" spans="4:17" x14ac:dyDescent="0.2">
      <c r="D553" s="1" t="s">
        <v>20</v>
      </c>
      <c r="E553" s="1">
        <v>1400013756</v>
      </c>
      <c r="G553" s="1" t="s">
        <v>50</v>
      </c>
      <c r="I553" s="1" t="s">
        <v>50</v>
      </c>
      <c r="K553" s="2">
        <v>-291239.18</v>
      </c>
      <c r="L553" s="1" t="s">
        <v>22</v>
      </c>
      <c r="N553" s="2">
        <v>-71242.460000000006</v>
      </c>
      <c r="O553" s="1" t="s">
        <v>31</v>
      </c>
      <c r="P553" s="1" t="s">
        <v>550</v>
      </c>
      <c r="Q553" s="1">
        <v>4.0880000000000001</v>
      </c>
    </row>
    <row r="554" spans="4:17" x14ac:dyDescent="0.2">
      <c r="D554" s="1" t="s">
        <v>20</v>
      </c>
      <c r="E554" s="1">
        <v>1400013756</v>
      </c>
      <c r="G554" s="1" t="s">
        <v>50</v>
      </c>
      <c r="I554" s="1" t="s">
        <v>50</v>
      </c>
      <c r="K554" s="2">
        <v>-53497.49</v>
      </c>
      <c r="L554" s="1" t="s">
        <v>22</v>
      </c>
      <c r="N554" s="2">
        <v>-13086.47</v>
      </c>
      <c r="O554" s="1" t="s">
        <v>31</v>
      </c>
      <c r="P554" s="1" t="s">
        <v>551</v>
      </c>
      <c r="Q554" s="1">
        <v>4.0880000000000001</v>
      </c>
    </row>
    <row r="555" spans="4:17" x14ac:dyDescent="0.2">
      <c r="D555" s="1" t="s">
        <v>20</v>
      </c>
      <c r="E555" s="1">
        <v>1400013776</v>
      </c>
      <c r="G555" s="1" t="s">
        <v>113</v>
      </c>
      <c r="I555" s="1" t="s">
        <v>113</v>
      </c>
      <c r="K555" s="2">
        <v>-1265560.31</v>
      </c>
      <c r="L555" s="1" t="s">
        <v>22</v>
      </c>
      <c r="N555" s="2">
        <v>-310452.67</v>
      </c>
      <c r="O555" s="1" t="s">
        <v>31</v>
      </c>
      <c r="P555" s="1" t="s">
        <v>552</v>
      </c>
      <c r="Q555" s="1">
        <v>4.0765000000000002</v>
      </c>
    </row>
    <row r="556" spans="4:17" x14ac:dyDescent="0.2">
      <c r="D556" s="1" t="s">
        <v>20</v>
      </c>
      <c r="E556" s="1">
        <v>1400013776</v>
      </c>
      <c r="G556" s="1" t="s">
        <v>113</v>
      </c>
      <c r="I556" s="1" t="s">
        <v>113</v>
      </c>
      <c r="K556" s="2">
        <v>-61190.79</v>
      </c>
      <c r="L556" s="1" t="s">
        <v>22</v>
      </c>
      <c r="N556" s="2">
        <v>-15010.62</v>
      </c>
      <c r="O556" s="1" t="s">
        <v>31</v>
      </c>
      <c r="P556" s="1" t="s">
        <v>553</v>
      </c>
      <c r="Q556" s="1">
        <v>4.0765000000000002</v>
      </c>
    </row>
    <row r="557" spans="4:17" x14ac:dyDescent="0.2">
      <c r="D557" s="1" t="s">
        <v>20</v>
      </c>
      <c r="E557" s="1">
        <v>1400013776</v>
      </c>
      <c r="G557" s="1" t="s">
        <v>113</v>
      </c>
      <c r="I557" s="1" t="s">
        <v>113</v>
      </c>
      <c r="K557" s="2">
        <v>-32099.05</v>
      </c>
      <c r="L557" s="1" t="s">
        <v>22</v>
      </c>
      <c r="N557" s="2">
        <v>-7874.17</v>
      </c>
      <c r="O557" s="1" t="s">
        <v>31</v>
      </c>
      <c r="P557" s="1" t="s">
        <v>554</v>
      </c>
      <c r="Q557" s="1">
        <v>4.0765000000000002</v>
      </c>
    </row>
    <row r="558" spans="4:17" x14ac:dyDescent="0.2">
      <c r="D558" s="1" t="s">
        <v>20</v>
      </c>
      <c r="E558" s="1">
        <v>1400013776</v>
      </c>
      <c r="G558" s="1" t="s">
        <v>113</v>
      </c>
      <c r="I558" s="1" t="s">
        <v>113</v>
      </c>
      <c r="K558" s="2">
        <v>-35818.57</v>
      </c>
      <c r="L558" s="1" t="s">
        <v>22</v>
      </c>
      <c r="N558" s="2">
        <v>-8786.6</v>
      </c>
      <c r="O558" s="1" t="s">
        <v>31</v>
      </c>
      <c r="P558" s="1" t="s">
        <v>555</v>
      </c>
      <c r="Q558" s="1">
        <v>4.0765000000000002</v>
      </c>
    </row>
    <row r="559" spans="4:17" x14ac:dyDescent="0.2">
      <c r="D559" s="1" t="s">
        <v>20</v>
      </c>
      <c r="E559" s="1">
        <v>1400013776</v>
      </c>
      <c r="G559" s="1" t="s">
        <v>113</v>
      </c>
      <c r="I559" s="1" t="s">
        <v>113</v>
      </c>
      <c r="K559" s="2">
        <v>-79067.259999999995</v>
      </c>
      <c r="L559" s="1" t="s">
        <v>22</v>
      </c>
      <c r="N559" s="2">
        <v>-19395.87</v>
      </c>
      <c r="O559" s="1" t="s">
        <v>31</v>
      </c>
      <c r="P559" s="1" t="s">
        <v>556</v>
      </c>
      <c r="Q559" s="1">
        <v>4.0765000000000002</v>
      </c>
    </row>
    <row r="560" spans="4:17" x14ac:dyDescent="0.2">
      <c r="D560" s="1" t="s">
        <v>20</v>
      </c>
      <c r="E560" s="1">
        <v>1400013776</v>
      </c>
      <c r="G560" s="1" t="s">
        <v>113</v>
      </c>
      <c r="I560" s="1" t="s">
        <v>113</v>
      </c>
      <c r="K560" s="2">
        <v>-64722.879999999997</v>
      </c>
      <c r="L560" s="1" t="s">
        <v>22</v>
      </c>
      <c r="N560" s="2">
        <v>-15877.07</v>
      </c>
      <c r="O560" s="1" t="s">
        <v>31</v>
      </c>
      <c r="P560" s="1" t="s">
        <v>557</v>
      </c>
      <c r="Q560" s="1">
        <v>4.0765000000000002</v>
      </c>
    </row>
    <row r="561" spans="1:17" x14ac:dyDescent="0.2">
      <c r="D561" s="1" t="s">
        <v>20</v>
      </c>
      <c r="E561" s="1">
        <v>1400013776</v>
      </c>
      <c r="G561" s="1" t="s">
        <v>113</v>
      </c>
      <c r="I561" s="1" t="s">
        <v>113</v>
      </c>
      <c r="K561" s="2">
        <v>-375249.9</v>
      </c>
      <c r="L561" s="1" t="s">
        <v>22</v>
      </c>
      <c r="N561" s="2">
        <v>-92051.98</v>
      </c>
      <c r="O561" s="1" t="s">
        <v>31</v>
      </c>
      <c r="P561" s="1" t="s">
        <v>558</v>
      </c>
      <c r="Q561" s="1">
        <v>4.0765000000000002</v>
      </c>
    </row>
    <row r="563" spans="1:17" x14ac:dyDescent="0.2">
      <c r="B563" s="1" t="s">
        <v>25</v>
      </c>
      <c r="K563" s="2">
        <v>-5965312.3099999996</v>
      </c>
      <c r="L563" s="1" t="s">
        <v>22</v>
      </c>
      <c r="N563" s="2">
        <v>-1457011.61</v>
      </c>
      <c r="O563" s="1" t="s">
        <v>31</v>
      </c>
    </row>
    <row r="565" spans="1:17" x14ac:dyDescent="0.2">
      <c r="A565" s="3"/>
      <c r="B565" s="3" t="s">
        <v>26</v>
      </c>
      <c r="C565" s="3" t="s">
        <v>131</v>
      </c>
      <c r="D565" s="3"/>
      <c r="E565" s="3"/>
      <c r="F565" s="3"/>
      <c r="G565" s="3"/>
      <c r="H565" s="3"/>
      <c r="I565" s="3"/>
      <c r="J565" s="3"/>
      <c r="K565" s="4">
        <v>-5965312.3099999996</v>
      </c>
      <c r="L565" s="3" t="s">
        <v>22</v>
      </c>
      <c r="M565" s="3"/>
      <c r="N565" s="4">
        <v>-1457011.61</v>
      </c>
      <c r="O565" s="3" t="s">
        <v>31</v>
      </c>
      <c r="P565" s="3"/>
      <c r="Q565" s="3"/>
    </row>
    <row r="567" spans="1:17" x14ac:dyDescent="0.2">
      <c r="A567" s="1" t="s">
        <v>0</v>
      </c>
      <c r="F567" s="1">
        <v>501129</v>
      </c>
    </row>
    <row r="568" spans="1:17" x14ac:dyDescent="0.2">
      <c r="A568" s="1" t="s">
        <v>1</v>
      </c>
      <c r="F568" s="1" t="s">
        <v>40</v>
      </c>
    </row>
    <row r="570" spans="1:17" x14ac:dyDescent="0.2">
      <c r="A570" s="1" t="s">
        <v>3</v>
      </c>
      <c r="F570" s="1" t="s">
        <v>132</v>
      </c>
    </row>
    <row r="571" spans="1:17" x14ac:dyDescent="0.2">
      <c r="A571" s="1" t="s">
        <v>5</v>
      </c>
      <c r="F571" s="1" t="s">
        <v>70</v>
      </c>
    </row>
    <row r="574" spans="1:17" x14ac:dyDescent="0.2">
      <c r="C574" s="1" t="s">
        <v>6</v>
      </c>
      <c r="D574" s="1" t="s">
        <v>7</v>
      </c>
      <c r="E574" s="1" t="s">
        <v>8</v>
      </c>
      <c r="G574" s="1" t="s">
        <v>9</v>
      </c>
      <c r="H574" s="1" t="s">
        <v>10</v>
      </c>
      <c r="I574" s="1" t="s">
        <v>11</v>
      </c>
      <c r="J574" s="1" t="s">
        <v>12</v>
      </c>
      <c r="K574" s="1" t="s">
        <v>13</v>
      </c>
      <c r="L574" s="1" t="s">
        <v>14</v>
      </c>
      <c r="M574" s="1" t="s">
        <v>15</v>
      </c>
      <c r="N574" s="1" t="s">
        <v>16</v>
      </c>
      <c r="O574" s="1" t="s">
        <v>17</v>
      </c>
      <c r="P574" s="1" t="s">
        <v>18</v>
      </c>
      <c r="Q574" s="1" t="s">
        <v>19</v>
      </c>
    </row>
    <row r="576" spans="1:17" x14ac:dyDescent="0.2">
      <c r="D576" s="1" t="s">
        <v>20</v>
      </c>
      <c r="E576" s="1">
        <v>1400013729</v>
      </c>
      <c r="G576" s="1" t="s">
        <v>162</v>
      </c>
      <c r="I576" s="1" t="s">
        <v>162</v>
      </c>
      <c r="K576" s="2">
        <v>-431523.16</v>
      </c>
      <c r="L576" s="1" t="s">
        <v>22</v>
      </c>
      <c r="N576" s="2">
        <v>-431523.16</v>
      </c>
      <c r="O576" s="1" t="s">
        <v>22</v>
      </c>
      <c r="P576" s="1" t="s">
        <v>559</v>
      </c>
      <c r="Q576" s="1">
        <v>1</v>
      </c>
    </row>
    <row r="577" spans="1:17" x14ac:dyDescent="0.2">
      <c r="D577" s="1" t="s">
        <v>20</v>
      </c>
      <c r="E577" s="1">
        <v>1400013759</v>
      </c>
      <c r="G577" s="1" t="s">
        <v>61</v>
      </c>
      <c r="I577" s="1" t="s">
        <v>61</v>
      </c>
      <c r="K577" s="2">
        <v>-81279.08</v>
      </c>
      <c r="L577" s="1" t="s">
        <v>22</v>
      </c>
      <c r="N577" s="2">
        <v>-81279.08</v>
      </c>
      <c r="O577" s="1" t="s">
        <v>22</v>
      </c>
      <c r="P577" s="1" t="s">
        <v>560</v>
      </c>
      <c r="Q577" s="1">
        <v>1</v>
      </c>
    </row>
    <row r="578" spans="1:17" x14ac:dyDescent="0.2">
      <c r="D578" s="1" t="s">
        <v>20</v>
      </c>
      <c r="E578" s="1">
        <v>1400013779</v>
      </c>
      <c r="G578" s="1" t="s">
        <v>90</v>
      </c>
      <c r="I578" s="1" t="s">
        <v>90</v>
      </c>
      <c r="K578" s="2">
        <v>-101940</v>
      </c>
      <c r="L578" s="1" t="s">
        <v>22</v>
      </c>
      <c r="N578" s="2">
        <v>-101940</v>
      </c>
      <c r="O578" s="1" t="s">
        <v>22</v>
      </c>
      <c r="P578" s="1" t="s">
        <v>561</v>
      </c>
      <c r="Q578" s="1">
        <v>1</v>
      </c>
    </row>
    <row r="579" spans="1:17" x14ac:dyDescent="0.2">
      <c r="D579" s="1" t="s">
        <v>20</v>
      </c>
      <c r="E579" s="1">
        <v>1400013846</v>
      </c>
      <c r="G579" s="1" t="s">
        <v>182</v>
      </c>
      <c r="I579" s="1" t="s">
        <v>182</v>
      </c>
      <c r="K579" s="2">
        <v>-113425.84</v>
      </c>
      <c r="L579" s="1" t="s">
        <v>22</v>
      </c>
      <c r="N579" s="2">
        <v>-113425.84</v>
      </c>
      <c r="O579" s="1" t="s">
        <v>22</v>
      </c>
      <c r="P579" s="1" t="s">
        <v>562</v>
      </c>
      <c r="Q579" s="1">
        <v>1</v>
      </c>
    </row>
    <row r="581" spans="1:17" x14ac:dyDescent="0.2">
      <c r="B581" s="1" t="s">
        <v>25</v>
      </c>
      <c r="K581" s="2">
        <v>-728168.08</v>
      </c>
      <c r="L581" s="1" t="s">
        <v>22</v>
      </c>
      <c r="N581" s="2">
        <v>-728168.08</v>
      </c>
      <c r="O581" s="1" t="s">
        <v>22</v>
      </c>
    </row>
    <row r="583" spans="1:17" x14ac:dyDescent="0.2">
      <c r="A583" s="3"/>
      <c r="B583" s="3" t="s">
        <v>26</v>
      </c>
      <c r="C583" s="3" t="s">
        <v>137</v>
      </c>
      <c r="D583" s="3"/>
      <c r="E583" s="3"/>
      <c r="F583" s="3"/>
      <c r="G583" s="3"/>
      <c r="H583" s="3"/>
      <c r="I583" s="3"/>
      <c r="J583" s="3"/>
      <c r="K583" s="4">
        <v>-728168.08</v>
      </c>
      <c r="L583" s="3" t="s">
        <v>22</v>
      </c>
      <c r="M583" s="3"/>
      <c r="N583" s="4">
        <v>-728168.08</v>
      </c>
      <c r="O583" s="3" t="s">
        <v>22</v>
      </c>
      <c r="P583" s="3"/>
      <c r="Q583" s="3"/>
    </row>
    <row r="585" spans="1:17" x14ac:dyDescent="0.2">
      <c r="A585" s="1" t="s">
        <v>0</v>
      </c>
      <c r="F585" s="1">
        <v>501130</v>
      </c>
    </row>
    <row r="586" spans="1:17" x14ac:dyDescent="0.2">
      <c r="A586" s="1" t="s">
        <v>1</v>
      </c>
      <c r="F586" s="1" t="s">
        <v>40</v>
      </c>
    </row>
    <row r="588" spans="1:17" x14ac:dyDescent="0.2">
      <c r="A588" s="1" t="s">
        <v>3</v>
      </c>
      <c r="F588" s="1" t="s">
        <v>563</v>
      </c>
    </row>
    <row r="589" spans="1:17" x14ac:dyDescent="0.2">
      <c r="A589" s="1" t="s">
        <v>5</v>
      </c>
      <c r="F589" s="1" t="s">
        <v>564</v>
      </c>
    </row>
    <row r="592" spans="1:17" x14ac:dyDescent="0.2">
      <c r="C592" s="1" t="s">
        <v>6</v>
      </c>
      <c r="D592" s="1" t="s">
        <v>7</v>
      </c>
      <c r="E592" s="1" t="s">
        <v>8</v>
      </c>
      <c r="G592" s="1" t="s">
        <v>9</v>
      </c>
      <c r="H592" s="1" t="s">
        <v>10</v>
      </c>
      <c r="I592" s="1" t="s">
        <v>11</v>
      </c>
      <c r="J592" s="1" t="s">
        <v>12</v>
      </c>
      <c r="K592" s="1" t="s">
        <v>13</v>
      </c>
      <c r="L592" s="1" t="s">
        <v>14</v>
      </c>
      <c r="M592" s="1" t="s">
        <v>15</v>
      </c>
      <c r="N592" s="1" t="s">
        <v>16</v>
      </c>
      <c r="O592" s="1" t="s">
        <v>17</v>
      </c>
      <c r="P592" s="1" t="s">
        <v>18</v>
      </c>
      <c r="Q592" s="1" t="s">
        <v>19</v>
      </c>
    </row>
    <row r="594" spans="1:17" x14ac:dyDescent="0.2">
      <c r="D594" s="1" t="s">
        <v>20</v>
      </c>
      <c r="E594" s="1">
        <v>103327258</v>
      </c>
      <c r="G594" s="1" t="s">
        <v>565</v>
      </c>
      <c r="I594" s="1" t="s">
        <v>54</v>
      </c>
      <c r="K594" s="2">
        <v>-138996.48000000001</v>
      </c>
      <c r="L594" s="1" t="s">
        <v>22</v>
      </c>
      <c r="N594" s="2">
        <v>-138996.48000000001</v>
      </c>
      <c r="O594" s="1" t="s">
        <v>22</v>
      </c>
      <c r="P594" s="1" t="s">
        <v>566</v>
      </c>
      <c r="Q594" s="1">
        <v>1</v>
      </c>
    </row>
    <row r="596" spans="1:17" x14ac:dyDescent="0.2">
      <c r="B596" s="1" t="s">
        <v>25</v>
      </c>
      <c r="K596" s="2">
        <v>-138996.48000000001</v>
      </c>
      <c r="L596" s="1" t="s">
        <v>22</v>
      </c>
      <c r="N596" s="2">
        <v>-138996.48000000001</v>
      </c>
      <c r="O596" s="1" t="s">
        <v>22</v>
      </c>
    </row>
    <row r="598" spans="1:17" x14ac:dyDescent="0.2">
      <c r="A598" s="3"/>
      <c r="B598" s="3" t="s">
        <v>26</v>
      </c>
      <c r="C598" s="3" t="s">
        <v>567</v>
      </c>
      <c r="D598" s="3"/>
      <c r="E598" s="3"/>
      <c r="F598" s="3"/>
      <c r="G598" s="3"/>
      <c r="H598" s="3"/>
      <c r="I598" s="3"/>
      <c r="J598" s="3"/>
      <c r="K598" s="4">
        <v>-138996.48000000001</v>
      </c>
      <c r="L598" s="3" t="s">
        <v>22</v>
      </c>
      <c r="M598" s="3"/>
      <c r="N598" s="4">
        <v>-138996.48000000001</v>
      </c>
      <c r="O598" s="3" t="s">
        <v>22</v>
      </c>
      <c r="P598" s="3"/>
      <c r="Q598" s="3"/>
    </row>
    <row r="600" spans="1:17" x14ac:dyDescent="0.2">
      <c r="A600" s="1" t="s">
        <v>0</v>
      </c>
      <c r="F600" s="1">
        <v>501131</v>
      </c>
    </row>
    <row r="601" spans="1:17" x14ac:dyDescent="0.2">
      <c r="A601" s="1" t="s">
        <v>1</v>
      </c>
      <c r="F601" s="1" t="s">
        <v>40</v>
      </c>
    </row>
    <row r="603" spans="1:17" x14ac:dyDescent="0.2">
      <c r="A603" s="1" t="s">
        <v>3</v>
      </c>
      <c r="F603" s="1" t="s">
        <v>517</v>
      </c>
    </row>
    <row r="604" spans="1:17" x14ac:dyDescent="0.2">
      <c r="A604" s="1" t="s">
        <v>5</v>
      </c>
      <c r="F604" s="1" t="s">
        <v>70</v>
      </c>
    </row>
    <row r="607" spans="1:17" x14ac:dyDescent="0.2">
      <c r="C607" s="1" t="s">
        <v>6</v>
      </c>
      <c r="D607" s="1" t="s">
        <v>7</v>
      </c>
      <c r="E607" s="1" t="s">
        <v>8</v>
      </c>
      <c r="G607" s="1" t="s">
        <v>9</v>
      </c>
      <c r="H607" s="1" t="s">
        <v>10</v>
      </c>
      <c r="I607" s="1" t="s">
        <v>11</v>
      </c>
      <c r="J607" s="1" t="s">
        <v>12</v>
      </c>
      <c r="K607" s="1" t="s">
        <v>13</v>
      </c>
      <c r="L607" s="1" t="s">
        <v>14</v>
      </c>
      <c r="M607" s="1" t="s">
        <v>15</v>
      </c>
      <c r="N607" s="1" t="s">
        <v>16</v>
      </c>
      <c r="O607" s="1" t="s">
        <v>17</v>
      </c>
      <c r="P607" s="1" t="s">
        <v>18</v>
      </c>
      <c r="Q607" s="1" t="s">
        <v>19</v>
      </c>
    </row>
    <row r="609" spans="1:17" x14ac:dyDescent="0.2">
      <c r="D609" s="1" t="s">
        <v>20</v>
      </c>
      <c r="E609" s="1">
        <v>1400013685</v>
      </c>
      <c r="G609" s="1" t="s">
        <v>104</v>
      </c>
      <c r="I609" s="1" t="s">
        <v>104</v>
      </c>
      <c r="K609" s="2">
        <v>-91490.72</v>
      </c>
      <c r="L609" s="1" t="s">
        <v>22</v>
      </c>
      <c r="N609" s="2">
        <v>-91490.72</v>
      </c>
      <c r="O609" s="1" t="s">
        <v>22</v>
      </c>
      <c r="P609" s="1" t="s">
        <v>568</v>
      </c>
      <c r="Q609" s="1">
        <v>1</v>
      </c>
    </row>
    <row r="610" spans="1:17" x14ac:dyDescent="0.2">
      <c r="D610" s="1" t="s">
        <v>20</v>
      </c>
      <c r="E610" s="1">
        <v>1400013685</v>
      </c>
      <c r="G610" s="1" t="s">
        <v>104</v>
      </c>
      <c r="I610" s="1" t="s">
        <v>104</v>
      </c>
      <c r="K610" s="2">
        <v>-61727</v>
      </c>
      <c r="L610" s="1" t="s">
        <v>22</v>
      </c>
      <c r="N610" s="2">
        <v>-61727</v>
      </c>
      <c r="O610" s="1" t="s">
        <v>22</v>
      </c>
      <c r="P610" s="1" t="s">
        <v>569</v>
      </c>
      <c r="Q610" s="1">
        <v>1</v>
      </c>
    </row>
    <row r="611" spans="1:17" x14ac:dyDescent="0.2">
      <c r="D611" s="1" t="s">
        <v>20</v>
      </c>
      <c r="E611" s="1">
        <v>1400013685</v>
      </c>
      <c r="G611" s="1" t="s">
        <v>104</v>
      </c>
      <c r="I611" s="1" t="s">
        <v>104</v>
      </c>
      <c r="K611" s="2">
        <v>-33000</v>
      </c>
      <c r="L611" s="1" t="s">
        <v>22</v>
      </c>
      <c r="N611" s="2">
        <v>-33000</v>
      </c>
      <c r="O611" s="1" t="s">
        <v>22</v>
      </c>
      <c r="P611" s="1" t="s">
        <v>570</v>
      </c>
      <c r="Q611" s="1">
        <v>1</v>
      </c>
    </row>
    <row r="612" spans="1:17" x14ac:dyDescent="0.2">
      <c r="D612" s="1" t="s">
        <v>20</v>
      </c>
      <c r="E612" s="1">
        <v>1400013752</v>
      </c>
      <c r="G612" s="1" t="s">
        <v>59</v>
      </c>
      <c r="I612" s="1" t="s">
        <v>59</v>
      </c>
      <c r="K612" s="2">
        <v>-136765</v>
      </c>
      <c r="L612" s="1" t="s">
        <v>22</v>
      </c>
      <c r="N612" s="2">
        <v>-136765</v>
      </c>
      <c r="O612" s="1" t="s">
        <v>22</v>
      </c>
      <c r="P612" s="1" t="s">
        <v>571</v>
      </c>
      <c r="Q612" s="1">
        <v>1</v>
      </c>
    </row>
    <row r="613" spans="1:17" x14ac:dyDescent="0.2">
      <c r="D613" s="1" t="s">
        <v>20</v>
      </c>
      <c r="E613" s="1">
        <v>1400013752</v>
      </c>
      <c r="G613" s="1" t="s">
        <v>59</v>
      </c>
      <c r="I613" s="1" t="s">
        <v>59</v>
      </c>
      <c r="K613" s="2">
        <v>-96696</v>
      </c>
      <c r="L613" s="1" t="s">
        <v>22</v>
      </c>
      <c r="N613" s="2">
        <v>-96696</v>
      </c>
      <c r="O613" s="1" t="s">
        <v>22</v>
      </c>
      <c r="P613" s="1" t="s">
        <v>572</v>
      </c>
      <c r="Q613" s="1">
        <v>1</v>
      </c>
    </row>
    <row r="614" spans="1:17" x14ac:dyDescent="0.2">
      <c r="D614" s="1" t="s">
        <v>20</v>
      </c>
      <c r="E614" s="1">
        <v>1400013752</v>
      </c>
      <c r="G614" s="1" t="s">
        <v>59</v>
      </c>
      <c r="I614" s="1" t="s">
        <v>59</v>
      </c>
      <c r="K614" s="2">
        <v>-81600</v>
      </c>
      <c r="L614" s="1" t="s">
        <v>22</v>
      </c>
      <c r="N614" s="2">
        <v>-81600</v>
      </c>
      <c r="O614" s="1" t="s">
        <v>22</v>
      </c>
      <c r="P614" s="1" t="s">
        <v>573</v>
      </c>
      <c r="Q614" s="1">
        <v>1</v>
      </c>
    </row>
    <row r="615" spans="1:17" x14ac:dyDescent="0.2">
      <c r="D615" s="1" t="s">
        <v>20</v>
      </c>
      <c r="E615" s="1">
        <v>1400013752</v>
      </c>
      <c r="G615" s="1" t="s">
        <v>59</v>
      </c>
      <c r="I615" s="1" t="s">
        <v>59</v>
      </c>
      <c r="K615" s="2">
        <v>-40510.800000000003</v>
      </c>
      <c r="L615" s="1" t="s">
        <v>22</v>
      </c>
      <c r="N615" s="2">
        <v>-40510.800000000003</v>
      </c>
      <c r="O615" s="1" t="s">
        <v>22</v>
      </c>
      <c r="P615" s="1" t="s">
        <v>574</v>
      </c>
      <c r="Q615" s="1">
        <v>1</v>
      </c>
    </row>
    <row r="616" spans="1:17" x14ac:dyDescent="0.2">
      <c r="D616" s="1" t="s">
        <v>20</v>
      </c>
      <c r="E616" s="1">
        <v>1400013752</v>
      </c>
      <c r="G616" s="1" t="s">
        <v>59</v>
      </c>
      <c r="I616" s="1" t="s">
        <v>59</v>
      </c>
      <c r="K616" s="2">
        <v>-46080.2</v>
      </c>
      <c r="L616" s="1" t="s">
        <v>22</v>
      </c>
      <c r="N616" s="2">
        <v>-46080.2</v>
      </c>
      <c r="O616" s="1" t="s">
        <v>22</v>
      </c>
      <c r="P616" s="1" t="s">
        <v>575</v>
      </c>
      <c r="Q616" s="1">
        <v>1</v>
      </c>
    </row>
    <row r="617" spans="1:17" x14ac:dyDescent="0.2">
      <c r="D617" s="1" t="s">
        <v>20</v>
      </c>
      <c r="E617" s="1">
        <v>1400013760</v>
      </c>
      <c r="G617" s="1" t="s">
        <v>61</v>
      </c>
      <c r="I617" s="1" t="s">
        <v>61</v>
      </c>
      <c r="K617" s="2">
        <v>-82212</v>
      </c>
      <c r="L617" s="1" t="s">
        <v>22</v>
      </c>
      <c r="N617" s="2">
        <v>-82212</v>
      </c>
      <c r="O617" s="1" t="s">
        <v>22</v>
      </c>
      <c r="P617" s="1" t="s">
        <v>576</v>
      </c>
      <c r="Q617" s="1">
        <v>1</v>
      </c>
    </row>
    <row r="618" spans="1:17" x14ac:dyDescent="0.2">
      <c r="D618" s="1" t="s">
        <v>20</v>
      </c>
      <c r="E618" s="1">
        <v>1400013760</v>
      </c>
      <c r="G618" s="1" t="s">
        <v>61</v>
      </c>
      <c r="I618" s="1" t="s">
        <v>61</v>
      </c>
      <c r="K618" s="2">
        <v>-64243.39</v>
      </c>
      <c r="L618" s="1" t="s">
        <v>22</v>
      </c>
      <c r="N618" s="2">
        <v>-64243.39</v>
      </c>
      <c r="O618" s="1" t="s">
        <v>22</v>
      </c>
      <c r="P618" s="1" t="s">
        <v>577</v>
      </c>
      <c r="Q618" s="1">
        <v>1</v>
      </c>
    </row>
    <row r="619" spans="1:17" x14ac:dyDescent="0.2">
      <c r="D619" s="1" t="s">
        <v>20</v>
      </c>
      <c r="E619" s="1">
        <v>1400013860</v>
      </c>
      <c r="G619" s="1" t="s">
        <v>77</v>
      </c>
      <c r="I619" s="1" t="s">
        <v>77</v>
      </c>
      <c r="K619" s="2">
        <v>-32700</v>
      </c>
      <c r="L619" s="1" t="s">
        <v>22</v>
      </c>
      <c r="N619" s="2">
        <v>-32700</v>
      </c>
      <c r="O619" s="1" t="s">
        <v>22</v>
      </c>
      <c r="P619" s="1" t="s">
        <v>578</v>
      </c>
      <c r="Q619" s="1">
        <v>1</v>
      </c>
    </row>
    <row r="621" spans="1:17" x14ac:dyDescent="0.2">
      <c r="B621" s="1" t="s">
        <v>25</v>
      </c>
      <c r="K621" s="2">
        <v>-767025.11</v>
      </c>
      <c r="L621" s="1" t="s">
        <v>22</v>
      </c>
      <c r="N621" s="2">
        <v>-767025.11</v>
      </c>
      <c r="O621" s="1" t="s">
        <v>22</v>
      </c>
    </row>
    <row r="623" spans="1:17" x14ac:dyDescent="0.2">
      <c r="A623" s="3"/>
      <c r="B623" s="3" t="s">
        <v>26</v>
      </c>
      <c r="C623" s="3" t="s">
        <v>579</v>
      </c>
      <c r="D623" s="3"/>
      <c r="E623" s="3"/>
      <c r="F623" s="3"/>
      <c r="G623" s="3"/>
      <c r="H623" s="3"/>
      <c r="I623" s="3"/>
      <c r="J623" s="3"/>
      <c r="K623" s="4">
        <v>-767025.11</v>
      </c>
      <c r="L623" s="3" t="s">
        <v>22</v>
      </c>
      <c r="M623" s="3"/>
      <c r="N623" s="4">
        <v>-767025.11</v>
      </c>
      <c r="O623" s="3" t="s">
        <v>22</v>
      </c>
      <c r="P623" s="3"/>
      <c r="Q623" s="3"/>
    </row>
    <row r="625" spans="1:17" x14ac:dyDescent="0.2">
      <c r="A625" s="1" t="s">
        <v>0</v>
      </c>
      <c r="F625" s="1">
        <v>501133</v>
      </c>
    </row>
    <row r="626" spans="1:17" x14ac:dyDescent="0.2">
      <c r="A626" s="1" t="s">
        <v>1</v>
      </c>
      <c r="F626" s="1" t="s">
        <v>40</v>
      </c>
    </row>
    <row r="628" spans="1:17" x14ac:dyDescent="0.2">
      <c r="A628" s="1" t="s">
        <v>3</v>
      </c>
      <c r="F628" s="1" t="s">
        <v>138</v>
      </c>
    </row>
    <row r="629" spans="1:17" x14ac:dyDescent="0.2">
      <c r="A629" s="1" t="s">
        <v>5</v>
      </c>
      <c r="F629" s="1" t="s">
        <v>70</v>
      </c>
    </row>
    <row r="632" spans="1:17" x14ac:dyDescent="0.2">
      <c r="C632" s="1" t="s">
        <v>6</v>
      </c>
      <c r="D632" s="1" t="s">
        <v>7</v>
      </c>
      <c r="E632" s="1" t="s">
        <v>8</v>
      </c>
      <c r="G632" s="1" t="s">
        <v>9</v>
      </c>
      <c r="H632" s="1" t="s">
        <v>10</v>
      </c>
      <c r="I632" s="1" t="s">
        <v>11</v>
      </c>
      <c r="J632" s="1" t="s">
        <v>12</v>
      </c>
      <c r="K632" s="1" t="s">
        <v>13</v>
      </c>
      <c r="L632" s="1" t="s">
        <v>14</v>
      </c>
      <c r="M632" s="1" t="s">
        <v>15</v>
      </c>
      <c r="N632" s="1" t="s">
        <v>16</v>
      </c>
      <c r="O632" s="1" t="s">
        <v>17</v>
      </c>
      <c r="P632" s="1" t="s">
        <v>18</v>
      </c>
      <c r="Q632" s="1" t="s">
        <v>19</v>
      </c>
    </row>
    <row r="634" spans="1:17" x14ac:dyDescent="0.2">
      <c r="D634" s="1" t="s">
        <v>20</v>
      </c>
      <c r="E634" s="1">
        <v>1400013695</v>
      </c>
      <c r="G634" s="1" t="s">
        <v>123</v>
      </c>
      <c r="I634" s="1" t="s">
        <v>123</v>
      </c>
      <c r="K634" s="2">
        <v>-802265.51</v>
      </c>
      <c r="L634" s="1" t="s">
        <v>22</v>
      </c>
      <c r="N634" s="2">
        <v>-194441.47</v>
      </c>
      <c r="O634" s="1" t="s">
        <v>31</v>
      </c>
      <c r="P634" s="1" t="s">
        <v>580</v>
      </c>
      <c r="Q634" s="1">
        <v>4.1260000000000003</v>
      </c>
    </row>
    <row r="635" spans="1:17" x14ac:dyDescent="0.2">
      <c r="D635" s="1" t="s">
        <v>20</v>
      </c>
      <c r="E635" s="1">
        <v>1400013723</v>
      </c>
      <c r="G635" s="1" t="s">
        <v>57</v>
      </c>
      <c r="I635" s="1" t="s">
        <v>57</v>
      </c>
      <c r="K635" s="2">
        <v>-1772488.19</v>
      </c>
      <c r="L635" s="1" t="s">
        <v>22</v>
      </c>
      <c r="N635" s="2">
        <v>-430738.32</v>
      </c>
      <c r="O635" s="1" t="s">
        <v>31</v>
      </c>
      <c r="P635" s="1" t="s">
        <v>581</v>
      </c>
      <c r="Q635" s="1">
        <v>4.1150000000000002</v>
      </c>
    </row>
    <row r="636" spans="1:17" x14ac:dyDescent="0.2">
      <c r="D636" s="1" t="s">
        <v>20</v>
      </c>
      <c r="E636" s="1">
        <v>1400013747</v>
      </c>
      <c r="G636" s="1" t="s">
        <v>85</v>
      </c>
      <c r="I636" s="1" t="s">
        <v>85</v>
      </c>
      <c r="K636" s="2">
        <v>-650230.03</v>
      </c>
      <c r="L636" s="1" t="s">
        <v>22</v>
      </c>
      <c r="N636" s="2">
        <v>-158883.32999999999</v>
      </c>
      <c r="O636" s="1" t="s">
        <v>31</v>
      </c>
      <c r="P636" s="1" t="s">
        <v>582</v>
      </c>
      <c r="Q636" s="1">
        <v>4.0925000000000002</v>
      </c>
    </row>
    <row r="637" spans="1:17" x14ac:dyDescent="0.2">
      <c r="D637" s="1" t="s">
        <v>20</v>
      </c>
      <c r="E637" s="1">
        <v>1400013863</v>
      </c>
      <c r="G637" s="1" t="s">
        <v>64</v>
      </c>
      <c r="I637" s="1" t="s">
        <v>64</v>
      </c>
      <c r="K637" s="2">
        <v>-538041.61</v>
      </c>
      <c r="L637" s="1" t="s">
        <v>22</v>
      </c>
      <c r="N637" s="2">
        <v>-132948.26</v>
      </c>
      <c r="O637" s="1" t="s">
        <v>31</v>
      </c>
      <c r="P637" s="1" t="s">
        <v>583</v>
      </c>
      <c r="Q637" s="1">
        <v>4.0469999999999997</v>
      </c>
    </row>
    <row r="639" spans="1:17" x14ac:dyDescent="0.2">
      <c r="B639" s="1" t="s">
        <v>25</v>
      </c>
      <c r="K639" s="2">
        <v>-3763025.34</v>
      </c>
      <c r="L639" s="1" t="s">
        <v>22</v>
      </c>
      <c r="N639" s="2">
        <v>-917011.38</v>
      </c>
      <c r="O639" s="1" t="s">
        <v>31</v>
      </c>
    </row>
    <row r="641" spans="1:17" x14ac:dyDescent="0.2">
      <c r="A641" s="3"/>
      <c r="B641" s="3" t="s">
        <v>26</v>
      </c>
      <c r="C641" s="3" t="s">
        <v>149</v>
      </c>
      <c r="D641" s="3"/>
      <c r="E641" s="3"/>
      <c r="F641" s="3"/>
      <c r="G641" s="3"/>
      <c r="H641" s="3"/>
      <c r="I641" s="3"/>
      <c r="J641" s="3"/>
      <c r="K641" s="4">
        <v>-3763025.34</v>
      </c>
      <c r="L641" s="3" t="s">
        <v>22</v>
      </c>
      <c r="M641" s="3"/>
      <c r="N641" s="4">
        <v>-917011.38</v>
      </c>
      <c r="O641" s="3" t="s">
        <v>31</v>
      </c>
      <c r="P641" s="3"/>
      <c r="Q641" s="3"/>
    </row>
    <row r="643" spans="1:17" x14ac:dyDescent="0.2">
      <c r="A643" s="1" t="s">
        <v>0</v>
      </c>
      <c r="F643" s="1">
        <v>501134</v>
      </c>
    </row>
    <row r="644" spans="1:17" x14ac:dyDescent="0.2">
      <c r="A644" s="1" t="s">
        <v>1</v>
      </c>
      <c r="F644" s="1" t="s">
        <v>40</v>
      </c>
    </row>
    <row r="646" spans="1:17" x14ac:dyDescent="0.2">
      <c r="A646" s="1" t="s">
        <v>3</v>
      </c>
      <c r="F646" s="1" t="s">
        <v>584</v>
      </c>
    </row>
    <row r="647" spans="1:17" x14ac:dyDescent="0.2">
      <c r="A647" s="1" t="s">
        <v>5</v>
      </c>
      <c r="F647" s="1" t="s">
        <v>70</v>
      </c>
    </row>
    <row r="650" spans="1:17" x14ac:dyDescent="0.2">
      <c r="C650" s="1" t="s">
        <v>6</v>
      </c>
      <c r="D650" s="1" t="s">
        <v>7</v>
      </c>
      <c r="E650" s="1" t="s">
        <v>8</v>
      </c>
      <c r="G650" s="1" t="s">
        <v>9</v>
      </c>
      <c r="H650" s="1" t="s">
        <v>10</v>
      </c>
      <c r="I650" s="1" t="s">
        <v>11</v>
      </c>
      <c r="J650" s="1" t="s">
        <v>12</v>
      </c>
      <c r="K650" s="1" t="s">
        <v>13</v>
      </c>
      <c r="L650" s="1" t="s">
        <v>14</v>
      </c>
      <c r="M650" s="1" t="s">
        <v>15</v>
      </c>
      <c r="N650" s="1" t="s">
        <v>16</v>
      </c>
      <c r="O650" s="1" t="s">
        <v>17</v>
      </c>
      <c r="P650" s="1" t="s">
        <v>18</v>
      </c>
      <c r="Q650" s="1" t="s">
        <v>19</v>
      </c>
    </row>
    <row r="652" spans="1:17" x14ac:dyDescent="0.2">
      <c r="D652" s="1" t="s">
        <v>20</v>
      </c>
      <c r="E652" s="1">
        <v>1400013771</v>
      </c>
      <c r="G652" s="1" t="s">
        <v>113</v>
      </c>
      <c r="I652" s="1" t="s">
        <v>113</v>
      </c>
      <c r="K652" s="2">
        <v>-443326.94</v>
      </c>
      <c r="L652" s="1" t="s">
        <v>22</v>
      </c>
      <c r="N652" s="2">
        <v>-443326.94</v>
      </c>
      <c r="O652" s="1" t="s">
        <v>22</v>
      </c>
      <c r="P652" s="1" t="s">
        <v>585</v>
      </c>
      <c r="Q652" s="1">
        <v>1</v>
      </c>
    </row>
    <row r="653" spans="1:17" x14ac:dyDescent="0.2">
      <c r="D653" s="1" t="s">
        <v>20</v>
      </c>
      <c r="E653" s="1">
        <v>1400013858</v>
      </c>
      <c r="G653" s="1" t="s">
        <v>77</v>
      </c>
      <c r="I653" s="1" t="s">
        <v>77</v>
      </c>
      <c r="K653" s="2">
        <v>-226701.72</v>
      </c>
      <c r="L653" s="1" t="s">
        <v>22</v>
      </c>
      <c r="N653" s="2">
        <v>-226701.72</v>
      </c>
      <c r="O653" s="1" t="s">
        <v>22</v>
      </c>
      <c r="P653" s="1" t="s">
        <v>586</v>
      </c>
      <c r="Q653" s="1">
        <v>1</v>
      </c>
    </row>
    <row r="654" spans="1:17" x14ac:dyDescent="0.2">
      <c r="D654" s="1" t="s">
        <v>20</v>
      </c>
      <c r="E654" s="1">
        <v>1400013858</v>
      </c>
      <c r="G654" s="1" t="s">
        <v>77</v>
      </c>
      <c r="I654" s="1" t="s">
        <v>77</v>
      </c>
      <c r="K654" s="2">
        <v>-126201.16</v>
      </c>
      <c r="L654" s="1" t="s">
        <v>22</v>
      </c>
      <c r="N654" s="2">
        <v>-126201.16</v>
      </c>
      <c r="O654" s="1" t="s">
        <v>22</v>
      </c>
      <c r="P654" s="1" t="s">
        <v>587</v>
      </c>
      <c r="Q654" s="1">
        <v>1</v>
      </c>
    </row>
    <row r="655" spans="1:17" x14ac:dyDescent="0.2">
      <c r="D655" s="1" t="s">
        <v>20</v>
      </c>
      <c r="E655" s="1">
        <v>1400013858</v>
      </c>
      <c r="G655" s="1" t="s">
        <v>77</v>
      </c>
      <c r="I655" s="1" t="s">
        <v>77</v>
      </c>
      <c r="K655" s="2">
        <v>-253206.75</v>
      </c>
      <c r="L655" s="1" t="s">
        <v>22</v>
      </c>
      <c r="N655" s="2">
        <v>-253206.75</v>
      </c>
      <c r="O655" s="1" t="s">
        <v>22</v>
      </c>
      <c r="P655" s="1" t="s">
        <v>588</v>
      </c>
      <c r="Q655" s="1">
        <v>1</v>
      </c>
    </row>
    <row r="656" spans="1:17" x14ac:dyDescent="0.2">
      <c r="D656" s="1" t="s">
        <v>20</v>
      </c>
      <c r="E656" s="1">
        <v>1400013873</v>
      </c>
      <c r="G656" s="1" t="s">
        <v>64</v>
      </c>
      <c r="I656" s="1" t="s">
        <v>64</v>
      </c>
      <c r="K656" s="2">
        <v>-200148.28</v>
      </c>
      <c r="L656" s="1" t="s">
        <v>22</v>
      </c>
      <c r="N656" s="2">
        <v>-200148.28</v>
      </c>
      <c r="O656" s="1" t="s">
        <v>22</v>
      </c>
      <c r="P656" s="1" t="s">
        <v>586</v>
      </c>
      <c r="Q656" s="1">
        <v>1</v>
      </c>
    </row>
    <row r="658" spans="1:17" x14ac:dyDescent="0.2">
      <c r="B658" s="1" t="s">
        <v>25</v>
      </c>
      <c r="K658" s="2">
        <v>-1249584.8500000001</v>
      </c>
      <c r="L658" s="1" t="s">
        <v>22</v>
      </c>
      <c r="N658" s="2">
        <v>-1249584.8500000001</v>
      </c>
      <c r="O658" s="1" t="s">
        <v>22</v>
      </c>
    </row>
    <row r="660" spans="1:17" x14ac:dyDescent="0.2">
      <c r="A660" s="3"/>
      <c r="B660" s="3" t="s">
        <v>26</v>
      </c>
      <c r="C660" s="3" t="s">
        <v>589</v>
      </c>
      <c r="D660" s="3"/>
      <c r="E660" s="3"/>
      <c r="F660" s="3"/>
      <c r="G660" s="3"/>
      <c r="H660" s="3"/>
      <c r="I660" s="3"/>
      <c r="J660" s="3"/>
      <c r="K660" s="4">
        <v>-1249584.8500000001</v>
      </c>
      <c r="L660" s="3" t="s">
        <v>22</v>
      </c>
      <c r="M660" s="3"/>
      <c r="N660" s="4">
        <v>-1249584.8500000001</v>
      </c>
      <c r="O660" s="3" t="s">
        <v>22</v>
      </c>
      <c r="P660" s="3"/>
      <c r="Q660" s="3"/>
    </row>
    <row r="662" spans="1:17" x14ac:dyDescent="0.2">
      <c r="A662" s="1" t="s">
        <v>0</v>
      </c>
      <c r="F662" s="1">
        <v>501137</v>
      </c>
    </row>
    <row r="663" spans="1:17" x14ac:dyDescent="0.2">
      <c r="A663" s="1" t="s">
        <v>1</v>
      </c>
      <c r="F663" s="1" t="s">
        <v>40</v>
      </c>
    </row>
    <row r="665" spans="1:17" x14ac:dyDescent="0.2">
      <c r="A665" s="1" t="s">
        <v>3</v>
      </c>
      <c r="F665" s="1" t="s">
        <v>150</v>
      </c>
    </row>
    <row r="666" spans="1:17" x14ac:dyDescent="0.2">
      <c r="A666" s="1" t="s">
        <v>5</v>
      </c>
      <c r="F666" s="1" t="s">
        <v>70</v>
      </c>
    </row>
    <row r="669" spans="1:17" x14ac:dyDescent="0.2">
      <c r="C669" s="1" t="s">
        <v>6</v>
      </c>
      <c r="D669" s="1" t="s">
        <v>7</v>
      </c>
      <c r="E669" s="1" t="s">
        <v>8</v>
      </c>
      <c r="G669" s="1" t="s">
        <v>9</v>
      </c>
      <c r="H669" s="1" t="s">
        <v>10</v>
      </c>
      <c r="I669" s="1" t="s">
        <v>11</v>
      </c>
      <c r="J669" s="1" t="s">
        <v>12</v>
      </c>
      <c r="K669" s="1" t="s">
        <v>13</v>
      </c>
      <c r="L669" s="1" t="s">
        <v>14</v>
      </c>
      <c r="M669" s="1" t="s">
        <v>15</v>
      </c>
      <c r="N669" s="1" t="s">
        <v>16</v>
      </c>
      <c r="O669" s="1" t="s">
        <v>17</v>
      </c>
      <c r="P669" s="1" t="s">
        <v>18</v>
      </c>
      <c r="Q669" s="1" t="s">
        <v>19</v>
      </c>
    </row>
    <row r="671" spans="1:17" x14ac:dyDescent="0.2">
      <c r="D671" s="1" t="s">
        <v>20</v>
      </c>
      <c r="E671" s="1">
        <v>1400013682</v>
      </c>
      <c r="G671" s="1" t="s">
        <v>104</v>
      </c>
      <c r="I671" s="1" t="s">
        <v>104</v>
      </c>
      <c r="K671" s="2">
        <v>-37450</v>
      </c>
      <c r="L671" s="1" t="s">
        <v>22</v>
      </c>
      <c r="N671" s="2">
        <v>-37450</v>
      </c>
      <c r="O671" s="1" t="s">
        <v>22</v>
      </c>
      <c r="P671" s="1" t="s">
        <v>590</v>
      </c>
      <c r="Q671" s="1">
        <v>1</v>
      </c>
    </row>
    <row r="672" spans="1:17" x14ac:dyDescent="0.2">
      <c r="D672" s="1" t="s">
        <v>20</v>
      </c>
      <c r="E672" s="1">
        <v>1400013720</v>
      </c>
      <c r="G672" s="1" t="s">
        <v>57</v>
      </c>
      <c r="I672" s="1" t="s">
        <v>57</v>
      </c>
      <c r="K672" s="2">
        <v>-138737</v>
      </c>
      <c r="L672" s="1" t="s">
        <v>22</v>
      </c>
      <c r="N672" s="2">
        <v>-138737</v>
      </c>
      <c r="O672" s="1" t="s">
        <v>22</v>
      </c>
      <c r="P672" s="1" t="s">
        <v>591</v>
      </c>
      <c r="Q672" s="1">
        <v>1</v>
      </c>
    </row>
    <row r="673" spans="1:17" x14ac:dyDescent="0.2">
      <c r="D673" s="1" t="s">
        <v>20</v>
      </c>
      <c r="E673" s="1">
        <v>1400013868</v>
      </c>
      <c r="G673" s="1" t="s">
        <v>64</v>
      </c>
      <c r="I673" s="1" t="s">
        <v>64</v>
      </c>
      <c r="K673" s="2">
        <v>-34992.559999999998</v>
      </c>
      <c r="L673" s="1" t="s">
        <v>22</v>
      </c>
      <c r="N673" s="2">
        <v>-34992.559999999998</v>
      </c>
      <c r="O673" s="1" t="s">
        <v>22</v>
      </c>
      <c r="P673" s="1" t="s">
        <v>592</v>
      </c>
      <c r="Q673" s="1">
        <v>1</v>
      </c>
    </row>
    <row r="674" spans="1:17" x14ac:dyDescent="0.2">
      <c r="D674" s="1" t="s">
        <v>20</v>
      </c>
      <c r="E674" s="1">
        <v>1400013889</v>
      </c>
      <c r="G674" s="1" t="s">
        <v>66</v>
      </c>
      <c r="I674" s="1" t="s">
        <v>66</v>
      </c>
      <c r="K674" s="1">
        <v>-7.44</v>
      </c>
      <c r="L674" s="1" t="s">
        <v>22</v>
      </c>
      <c r="N674" s="1">
        <v>-7.44</v>
      </c>
      <c r="O674" s="1" t="s">
        <v>22</v>
      </c>
      <c r="P674" s="1" t="s">
        <v>592</v>
      </c>
      <c r="Q674" s="1">
        <v>1</v>
      </c>
    </row>
    <row r="676" spans="1:17" x14ac:dyDescent="0.2">
      <c r="B676" s="1" t="s">
        <v>25</v>
      </c>
      <c r="K676" s="2">
        <v>-211187</v>
      </c>
      <c r="L676" s="1" t="s">
        <v>22</v>
      </c>
      <c r="N676" s="2">
        <v>-211187</v>
      </c>
      <c r="O676" s="1" t="s">
        <v>22</v>
      </c>
    </row>
    <row r="678" spans="1:17" x14ac:dyDescent="0.2">
      <c r="A678" s="3"/>
      <c r="B678" s="3" t="s">
        <v>26</v>
      </c>
      <c r="C678" s="3" t="s">
        <v>154</v>
      </c>
      <c r="D678" s="3"/>
      <c r="E678" s="3"/>
      <c r="F678" s="3"/>
      <c r="G678" s="3"/>
      <c r="H678" s="3"/>
      <c r="I678" s="3"/>
      <c r="J678" s="3"/>
      <c r="K678" s="4">
        <v>-211187</v>
      </c>
      <c r="L678" s="3" t="s">
        <v>22</v>
      </c>
      <c r="M678" s="3"/>
      <c r="N678" s="4">
        <v>-211187</v>
      </c>
      <c r="O678" s="3" t="s">
        <v>22</v>
      </c>
      <c r="P678" s="3"/>
      <c r="Q678" s="3"/>
    </row>
    <row r="680" spans="1:17" x14ac:dyDescent="0.2">
      <c r="A680" s="1" t="s">
        <v>0</v>
      </c>
      <c r="F680" s="1">
        <v>501140</v>
      </c>
    </row>
    <row r="681" spans="1:17" x14ac:dyDescent="0.2">
      <c r="A681" s="1" t="s">
        <v>1</v>
      </c>
      <c r="F681" s="1" t="s">
        <v>40</v>
      </c>
    </row>
    <row r="683" spans="1:17" x14ac:dyDescent="0.2">
      <c r="A683" s="1" t="s">
        <v>3</v>
      </c>
      <c r="F683" s="1" t="s">
        <v>155</v>
      </c>
    </row>
    <row r="684" spans="1:17" x14ac:dyDescent="0.2">
      <c r="A684" s="1" t="s">
        <v>5</v>
      </c>
      <c r="F684" s="1" t="s">
        <v>108</v>
      </c>
    </row>
    <row r="687" spans="1:17" x14ac:dyDescent="0.2">
      <c r="C687" s="1" t="s">
        <v>6</v>
      </c>
      <c r="D687" s="1" t="s">
        <v>7</v>
      </c>
      <c r="E687" s="1" t="s">
        <v>8</v>
      </c>
      <c r="G687" s="1" t="s">
        <v>9</v>
      </c>
      <c r="H687" s="1" t="s">
        <v>10</v>
      </c>
      <c r="I687" s="1" t="s">
        <v>11</v>
      </c>
      <c r="J687" s="1" t="s">
        <v>12</v>
      </c>
      <c r="K687" s="1" t="s">
        <v>13</v>
      </c>
      <c r="L687" s="1" t="s">
        <v>14</v>
      </c>
      <c r="M687" s="1" t="s">
        <v>15</v>
      </c>
      <c r="N687" s="1" t="s">
        <v>16</v>
      </c>
      <c r="O687" s="1" t="s">
        <v>17</v>
      </c>
      <c r="P687" s="1" t="s">
        <v>18</v>
      </c>
      <c r="Q687" s="1" t="s">
        <v>19</v>
      </c>
    </row>
    <row r="689" spans="1:17" x14ac:dyDescent="0.2">
      <c r="D689" s="1" t="s">
        <v>20</v>
      </c>
      <c r="E689" s="1">
        <v>1400013732</v>
      </c>
      <c r="G689" s="1" t="s">
        <v>162</v>
      </c>
      <c r="I689" s="1" t="s">
        <v>162</v>
      </c>
      <c r="K689" s="2">
        <v>-465630.4</v>
      </c>
      <c r="L689" s="1" t="s">
        <v>22</v>
      </c>
      <c r="N689" s="2">
        <v>-465630.4</v>
      </c>
      <c r="O689" s="1" t="s">
        <v>22</v>
      </c>
      <c r="P689" s="1" t="s">
        <v>593</v>
      </c>
      <c r="Q689" s="1">
        <v>1</v>
      </c>
    </row>
    <row r="690" spans="1:17" x14ac:dyDescent="0.2">
      <c r="D690" s="1" t="s">
        <v>20</v>
      </c>
      <c r="E690" s="1">
        <v>1400013757</v>
      </c>
      <c r="G690" s="1" t="s">
        <v>61</v>
      </c>
      <c r="I690" s="1" t="s">
        <v>61</v>
      </c>
      <c r="K690" s="2">
        <v>-360112.9</v>
      </c>
      <c r="L690" s="1" t="s">
        <v>22</v>
      </c>
      <c r="N690" s="2">
        <v>-360112.9</v>
      </c>
      <c r="O690" s="1" t="s">
        <v>22</v>
      </c>
      <c r="P690" s="1" t="s">
        <v>594</v>
      </c>
      <c r="Q690" s="1">
        <v>1</v>
      </c>
    </row>
    <row r="692" spans="1:17" x14ac:dyDescent="0.2">
      <c r="B692" s="1" t="s">
        <v>25</v>
      </c>
      <c r="K692" s="2">
        <v>-825743.3</v>
      </c>
      <c r="L692" s="1" t="s">
        <v>22</v>
      </c>
      <c r="N692" s="2">
        <v>-825743.3</v>
      </c>
      <c r="O692" s="1" t="s">
        <v>22</v>
      </c>
    </row>
    <row r="694" spans="1:17" x14ac:dyDescent="0.2">
      <c r="A694" s="3"/>
      <c r="B694" s="3" t="s">
        <v>26</v>
      </c>
      <c r="C694" s="3" t="s">
        <v>159</v>
      </c>
      <c r="D694" s="3"/>
      <c r="E694" s="3"/>
      <c r="F694" s="3"/>
      <c r="G694" s="3"/>
      <c r="H694" s="3"/>
      <c r="I694" s="3"/>
      <c r="J694" s="3"/>
      <c r="K694" s="4">
        <v>-825743.3</v>
      </c>
      <c r="L694" s="3" t="s">
        <v>22</v>
      </c>
      <c r="M694" s="3"/>
      <c r="N694" s="4">
        <v>-825743.3</v>
      </c>
      <c r="O694" s="3" t="s">
        <v>22</v>
      </c>
      <c r="P694" s="3"/>
      <c r="Q694" s="3"/>
    </row>
    <row r="696" spans="1:17" x14ac:dyDescent="0.2">
      <c r="A696" s="1" t="s">
        <v>0</v>
      </c>
      <c r="F696" s="1">
        <v>501141</v>
      </c>
    </row>
    <row r="697" spans="1:17" x14ac:dyDescent="0.2">
      <c r="A697" s="1" t="s">
        <v>1</v>
      </c>
      <c r="F697" s="1" t="s">
        <v>40</v>
      </c>
    </row>
    <row r="699" spans="1:17" x14ac:dyDescent="0.2">
      <c r="A699" s="1" t="s">
        <v>3</v>
      </c>
      <c r="F699" s="1" t="s">
        <v>175</v>
      </c>
    </row>
    <row r="700" spans="1:17" x14ac:dyDescent="0.2">
      <c r="A700" s="1" t="s">
        <v>5</v>
      </c>
      <c r="F700" s="1" t="s">
        <v>282</v>
      </c>
    </row>
    <row r="703" spans="1:17" x14ac:dyDescent="0.2">
      <c r="C703" s="1" t="s">
        <v>6</v>
      </c>
      <c r="D703" s="1" t="s">
        <v>7</v>
      </c>
      <c r="E703" s="1" t="s">
        <v>8</v>
      </c>
      <c r="G703" s="1" t="s">
        <v>9</v>
      </c>
      <c r="H703" s="1" t="s">
        <v>10</v>
      </c>
      <c r="I703" s="1" t="s">
        <v>11</v>
      </c>
      <c r="J703" s="1" t="s">
        <v>12</v>
      </c>
      <c r="K703" s="1" t="s">
        <v>13</v>
      </c>
      <c r="L703" s="1" t="s">
        <v>14</v>
      </c>
      <c r="M703" s="1" t="s">
        <v>15</v>
      </c>
      <c r="N703" s="1" t="s">
        <v>16</v>
      </c>
      <c r="O703" s="1" t="s">
        <v>17</v>
      </c>
      <c r="P703" s="1" t="s">
        <v>18</v>
      </c>
      <c r="Q703" s="1" t="s">
        <v>19</v>
      </c>
    </row>
    <row r="705" spans="1:17" x14ac:dyDescent="0.2">
      <c r="D705" s="1" t="s">
        <v>20</v>
      </c>
      <c r="E705" s="1">
        <v>1400013835</v>
      </c>
      <c r="G705" s="1" t="s">
        <v>61</v>
      </c>
      <c r="I705" s="1" t="s">
        <v>61</v>
      </c>
      <c r="K705" s="2">
        <v>-30735.67</v>
      </c>
      <c r="L705" s="1" t="s">
        <v>22</v>
      </c>
      <c r="N705" s="2">
        <v>-30735.67</v>
      </c>
      <c r="O705" s="1" t="s">
        <v>22</v>
      </c>
      <c r="P705" s="1" t="s">
        <v>595</v>
      </c>
      <c r="Q705" s="1">
        <v>1</v>
      </c>
    </row>
    <row r="707" spans="1:17" x14ac:dyDescent="0.2">
      <c r="B707" s="1" t="s">
        <v>25</v>
      </c>
      <c r="K707" s="2">
        <v>-30735.67</v>
      </c>
      <c r="L707" s="1" t="s">
        <v>22</v>
      </c>
      <c r="N707" s="2">
        <v>-30735.67</v>
      </c>
      <c r="O707" s="1" t="s">
        <v>22</v>
      </c>
    </row>
    <row r="709" spans="1:17" x14ac:dyDescent="0.2">
      <c r="A709" s="3"/>
      <c r="B709" s="3" t="s">
        <v>26</v>
      </c>
      <c r="C709" s="3" t="s">
        <v>596</v>
      </c>
      <c r="D709" s="3"/>
      <c r="E709" s="3"/>
      <c r="F709" s="3"/>
      <c r="G709" s="3"/>
      <c r="H709" s="3"/>
      <c r="I709" s="3"/>
      <c r="J709" s="3"/>
      <c r="K709" s="4">
        <v>-30735.67</v>
      </c>
      <c r="L709" s="3" t="s">
        <v>22</v>
      </c>
      <c r="M709" s="3"/>
      <c r="N709" s="4">
        <v>-30735.67</v>
      </c>
      <c r="O709" s="3" t="s">
        <v>22</v>
      </c>
      <c r="P709" s="3"/>
      <c r="Q709" s="3"/>
    </row>
    <row r="711" spans="1:17" x14ac:dyDescent="0.2">
      <c r="A711" s="1" t="s">
        <v>0</v>
      </c>
      <c r="F711" s="1">
        <v>501142</v>
      </c>
    </row>
    <row r="712" spans="1:17" x14ac:dyDescent="0.2">
      <c r="A712" s="1" t="s">
        <v>1</v>
      </c>
      <c r="F712" s="1" t="s">
        <v>40</v>
      </c>
    </row>
    <row r="714" spans="1:17" x14ac:dyDescent="0.2">
      <c r="A714" s="1" t="s">
        <v>3</v>
      </c>
      <c r="F714" s="1" t="s">
        <v>160</v>
      </c>
    </row>
    <row r="715" spans="1:17" x14ac:dyDescent="0.2">
      <c r="A715" s="1" t="s">
        <v>5</v>
      </c>
      <c r="F715" s="1" t="s">
        <v>70</v>
      </c>
    </row>
    <row r="718" spans="1:17" x14ac:dyDescent="0.2">
      <c r="C718" s="1" t="s">
        <v>6</v>
      </c>
      <c r="D718" s="1" t="s">
        <v>7</v>
      </c>
      <c r="E718" s="1" t="s">
        <v>8</v>
      </c>
      <c r="G718" s="1" t="s">
        <v>9</v>
      </c>
      <c r="H718" s="1" t="s">
        <v>10</v>
      </c>
      <c r="I718" s="1" t="s">
        <v>11</v>
      </c>
      <c r="J718" s="1" t="s">
        <v>12</v>
      </c>
      <c r="K718" s="1" t="s">
        <v>13</v>
      </c>
      <c r="L718" s="1" t="s">
        <v>14</v>
      </c>
      <c r="M718" s="1" t="s">
        <v>15</v>
      </c>
      <c r="N718" s="1" t="s">
        <v>16</v>
      </c>
      <c r="O718" s="1" t="s">
        <v>17</v>
      </c>
      <c r="P718" s="1" t="s">
        <v>18</v>
      </c>
      <c r="Q718" s="1" t="s">
        <v>19</v>
      </c>
    </row>
    <row r="720" spans="1:17" x14ac:dyDescent="0.2">
      <c r="D720" s="1" t="s">
        <v>20</v>
      </c>
      <c r="E720" s="1">
        <v>103327283</v>
      </c>
      <c r="G720" s="1" t="s">
        <v>57</v>
      </c>
      <c r="I720" s="1" t="s">
        <v>57</v>
      </c>
      <c r="K720" s="2">
        <v>-704911.52</v>
      </c>
      <c r="L720" s="1" t="s">
        <v>22</v>
      </c>
      <c r="N720" s="2">
        <v>-704911.52</v>
      </c>
      <c r="O720" s="1" t="s">
        <v>22</v>
      </c>
      <c r="P720" s="1" t="s">
        <v>597</v>
      </c>
      <c r="Q720" s="1">
        <v>1</v>
      </c>
    </row>
    <row r="721" spans="1:17" x14ac:dyDescent="0.2">
      <c r="D721" s="1" t="s">
        <v>20</v>
      </c>
      <c r="E721" s="1">
        <v>1400013761</v>
      </c>
      <c r="G721" s="1" t="s">
        <v>61</v>
      </c>
      <c r="I721" s="1" t="s">
        <v>61</v>
      </c>
      <c r="K721" s="2">
        <v>-434078.93</v>
      </c>
      <c r="L721" s="1" t="s">
        <v>22</v>
      </c>
      <c r="N721" s="2">
        <v>-434078.93</v>
      </c>
      <c r="O721" s="1" t="s">
        <v>22</v>
      </c>
      <c r="P721" s="1" t="s">
        <v>598</v>
      </c>
      <c r="Q721" s="1">
        <v>1</v>
      </c>
    </row>
    <row r="722" spans="1:17" x14ac:dyDescent="0.2">
      <c r="D722" s="1" t="s">
        <v>20</v>
      </c>
      <c r="E722" s="1">
        <v>1400013768</v>
      </c>
      <c r="G722" s="1" t="s">
        <v>88</v>
      </c>
      <c r="I722" s="1" t="s">
        <v>88</v>
      </c>
      <c r="K722" s="2">
        <v>-479370.55</v>
      </c>
      <c r="L722" s="1" t="s">
        <v>22</v>
      </c>
      <c r="N722" s="2">
        <v>-479370.55</v>
      </c>
      <c r="O722" s="1" t="s">
        <v>22</v>
      </c>
      <c r="P722" s="1" t="s">
        <v>599</v>
      </c>
      <c r="Q722" s="1">
        <v>1</v>
      </c>
    </row>
    <row r="723" spans="1:17" x14ac:dyDescent="0.2">
      <c r="D723" s="1" t="s">
        <v>20</v>
      </c>
      <c r="E723" s="1">
        <v>1400013788</v>
      </c>
      <c r="G723" s="1" t="s">
        <v>36</v>
      </c>
      <c r="I723" s="1" t="s">
        <v>36</v>
      </c>
      <c r="K723" s="2">
        <v>-274785.15999999997</v>
      </c>
      <c r="L723" s="1" t="s">
        <v>22</v>
      </c>
      <c r="N723" s="2">
        <v>-274785.15999999997</v>
      </c>
      <c r="O723" s="1" t="s">
        <v>22</v>
      </c>
      <c r="P723" s="1" t="s">
        <v>600</v>
      </c>
      <c r="Q723" s="1">
        <v>1</v>
      </c>
    </row>
    <row r="724" spans="1:17" x14ac:dyDescent="0.2">
      <c r="D724" s="1" t="s">
        <v>20</v>
      </c>
      <c r="E724" s="1">
        <v>1400013869</v>
      </c>
      <c r="G724" s="1" t="s">
        <v>64</v>
      </c>
      <c r="I724" s="1" t="s">
        <v>64</v>
      </c>
      <c r="K724" s="2">
        <v>-376767.35</v>
      </c>
      <c r="L724" s="1" t="s">
        <v>22</v>
      </c>
      <c r="N724" s="2">
        <v>-376767.35</v>
      </c>
      <c r="O724" s="1" t="s">
        <v>22</v>
      </c>
      <c r="P724" s="1" t="s">
        <v>601</v>
      </c>
      <c r="Q724" s="1">
        <v>1</v>
      </c>
    </row>
    <row r="725" spans="1:17" x14ac:dyDescent="0.2">
      <c r="D725" s="1" t="s">
        <v>20</v>
      </c>
      <c r="E725" s="1">
        <v>1400013877</v>
      </c>
      <c r="G725" s="1" t="s">
        <v>66</v>
      </c>
      <c r="I725" s="1" t="s">
        <v>66</v>
      </c>
      <c r="K725" s="2">
        <v>-441062.24</v>
      </c>
      <c r="L725" s="1" t="s">
        <v>22</v>
      </c>
      <c r="N725" s="2">
        <v>-441062.24</v>
      </c>
      <c r="O725" s="1" t="s">
        <v>22</v>
      </c>
      <c r="P725" s="1" t="s">
        <v>602</v>
      </c>
      <c r="Q725" s="1">
        <v>1</v>
      </c>
    </row>
    <row r="726" spans="1:17" x14ac:dyDescent="0.2">
      <c r="D726" s="1" t="s">
        <v>20</v>
      </c>
      <c r="E726" s="1">
        <v>1400013899</v>
      </c>
      <c r="G726" s="1" t="s">
        <v>66</v>
      </c>
      <c r="I726" s="1" t="s">
        <v>66</v>
      </c>
      <c r="K726" s="2">
        <v>-345885.27</v>
      </c>
      <c r="L726" s="1" t="s">
        <v>22</v>
      </c>
      <c r="N726" s="2">
        <v>-345885.27</v>
      </c>
      <c r="O726" s="1" t="s">
        <v>22</v>
      </c>
      <c r="P726" s="1" t="s">
        <v>603</v>
      </c>
      <c r="Q726" s="1">
        <v>1</v>
      </c>
    </row>
    <row r="728" spans="1:17" x14ac:dyDescent="0.2">
      <c r="B728" s="1" t="s">
        <v>25</v>
      </c>
      <c r="K728" s="2">
        <v>-3056861.02</v>
      </c>
      <c r="L728" s="1" t="s">
        <v>22</v>
      </c>
      <c r="N728" s="2">
        <v>-3056861.02</v>
      </c>
      <c r="O728" s="1" t="s">
        <v>22</v>
      </c>
    </row>
    <row r="730" spans="1:17" x14ac:dyDescent="0.2">
      <c r="A730" s="3"/>
      <c r="B730" s="3" t="s">
        <v>26</v>
      </c>
      <c r="C730" s="3" t="s">
        <v>166</v>
      </c>
      <c r="D730" s="3"/>
      <c r="E730" s="3"/>
      <c r="F730" s="3"/>
      <c r="G730" s="3"/>
      <c r="H730" s="3"/>
      <c r="I730" s="3"/>
      <c r="J730" s="3"/>
      <c r="K730" s="4">
        <v>-3056861.02</v>
      </c>
      <c r="L730" s="3" t="s">
        <v>22</v>
      </c>
      <c r="M730" s="3"/>
      <c r="N730" s="4">
        <v>-3056861.02</v>
      </c>
      <c r="O730" s="3" t="s">
        <v>22</v>
      </c>
      <c r="P730" s="3"/>
      <c r="Q730" s="3"/>
    </row>
    <row r="732" spans="1:17" x14ac:dyDescent="0.2">
      <c r="A732" s="1" t="s">
        <v>0</v>
      </c>
      <c r="F732" s="1">
        <v>501146</v>
      </c>
    </row>
    <row r="733" spans="1:17" x14ac:dyDescent="0.2">
      <c r="A733" s="1" t="s">
        <v>1</v>
      </c>
      <c r="F733" s="1" t="s">
        <v>40</v>
      </c>
    </row>
    <row r="735" spans="1:17" x14ac:dyDescent="0.2">
      <c r="A735" s="1" t="s">
        <v>3</v>
      </c>
      <c r="F735" s="1" t="s">
        <v>604</v>
      </c>
    </row>
    <row r="736" spans="1:17" x14ac:dyDescent="0.2">
      <c r="A736" s="1" t="s">
        <v>5</v>
      </c>
      <c r="F736" s="1" t="s">
        <v>282</v>
      </c>
    </row>
    <row r="739" spans="1:17" x14ac:dyDescent="0.2">
      <c r="C739" s="1" t="s">
        <v>6</v>
      </c>
      <c r="D739" s="1" t="s">
        <v>7</v>
      </c>
      <c r="E739" s="1" t="s">
        <v>8</v>
      </c>
      <c r="G739" s="1" t="s">
        <v>9</v>
      </c>
      <c r="H739" s="1" t="s">
        <v>10</v>
      </c>
      <c r="I739" s="1" t="s">
        <v>11</v>
      </c>
      <c r="J739" s="1" t="s">
        <v>12</v>
      </c>
      <c r="K739" s="1" t="s">
        <v>13</v>
      </c>
      <c r="L739" s="1" t="s">
        <v>14</v>
      </c>
      <c r="M739" s="1" t="s">
        <v>15</v>
      </c>
      <c r="N739" s="1" t="s">
        <v>16</v>
      </c>
      <c r="O739" s="1" t="s">
        <v>17</v>
      </c>
      <c r="P739" s="1" t="s">
        <v>18</v>
      </c>
      <c r="Q739" s="1" t="s">
        <v>19</v>
      </c>
    </row>
    <row r="741" spans="1:17" x14ac:dyDescent="0.2">
      <c r="D741" s="1" t="s">
        <v>20</v>
      </c>
      <c r="E741" s="1">
        <v>1400013832</v>
      </c>
      <c r="G741" s="1" t="s">
        <v>85</v>
      </c>
      <c r="I741" s="1" t="s">
        <v>85</v>
      </c>
      <c r="K741" s="2">
        <v>-2083000</v>
      </c>
      <c r="L741" s="1" t="s">
        <v>22</v>
      </c>
      <c r="N741" s="2">
        <v>-2083000</v>
      </c>
      <c r="O741" s="1" t="s">
        <v>22</v>
      </c>
      <c r="P741" s="1" t="s">
        <v>605</v>
      </c>
      <c r="Q741" s="1">
        <v>1</v>
      </c>
    </row>
    <row r="743" spans="1:17" x14ac:dyDescent="0.2">
      <c r="B743" s="1" t="s">
        <v>25</v>
      </c>
      <c r="K743" s="2">
        <v>-2083000</v>
      </c>
      <c r="L743" s="1" t="s">
        <v>22</v>
      </c>
      <c r="N743" s="2">
        <v>-2083000</v>
      </c>
      <c r="O743" s="1" t="s">
        <v>22</v>
      </c>
    </row>
    <row r="745" spans="1:17" x14ac:dyDescent="0.2">
      <c r="A745" s="3"/>
      <c r="B745" s="3" t="s">
        <v>26</v>
      </c>
      <c r="C745" s="3" t="s">
        <v>606</v>
      </c>
      <c r="D745" s="3"/>
      <c r="E745" s="3"/>
      <c r="F745" s="3"/>
      <c r="G745" s="3"/>
      <c r="H745" s="3"/>
      <c r="I745" s="3"/>
      <c r="J745" s="3"/>
      <c r="K745" s="4">
        <v>-2083000</v>
      </c>
      <c r="L745" s="3" t="s">
        <v>22</v>
      </c>
      <c r="M745" s="3"/>
      <c r="N745" s="4">
        <v>-2083000</v>
      </c>
      <c r="O745" s="3" t="s">
        <v>22</v>
      </c>
      <c r="P745" s="3"/>
      <c r="Q745" s="3"/>
    </row>
    <row r="747" spans="1:17" x14ac:dyDescent="0.2">
      <c r="A747" s="1" t="s">
        <v>0</v>
      </c>
      <c r="F747" s="1">
        <v>501147</v>
      </c>
    </row>
    <row r="748" spans="1:17" x14ac:dyDescent="0.2">
      <c r="A748" s="1" t="s">
        <v>1</v>
      </c>
      <c r="F748" s="1" t="s">
        <v>40</v>
      </c>
    </row>
    <row r="750" spans="1:17" x14ac:dyDescent="0.2">
      <c r="A750" s="1" t="s">
        <v>3</v>
      </c>
      <c r="F750" s="1" t="s">
        <v>167</v>
      </c>
    </row>
    <row r="751" spans="1:17" x14ac:dyDescent="0.2">
      <c r="A751" s="1" t="s">
        <v>5</v>
      </c>
      <c r="F751" s="1" t="s">
        <v>70</v>
      </c>
    </row>
    <row r="754" spans="1:17" x14ac:dyDescent="0.2">
      <c r="C754" s="1" t="s">
        <v>6</v>
      </c>
      <c r="D754" s="1" t="s">
        <v>7</v>
      </c>
      <c r="E754" s="1" t="s">
        <v>8</v>
      </c>
      <c r="G754" s="1" t="s">
        <v>9</v>
      </c>
      <c r="H754" s="1" t="s">
        <v>10</v>
      </c>
      <c r="I754" s="1" t="s">
        <v>11</v>
      </c>
      <c r="J754" s="1" t="s">
        <v>12</v>
      </c>
      <c r="K754" s="1" t="s">
        <v>13</v>
      </c>
      <c r="L754" s="1" t="s">
        <v>14</v>
      </c>
      <c r="M754" s="1" t="s">
        <v>15</v>
      </c>
      <c r="N754" s="1" t="s">
        <v>16</v>
      </c>
      <c r="O754" s="1" t="s">
        <v>17</v>
      </c>
      <c r="P754" s="1" t="s">
        <v>18</v>
      </c>
      <c r="Q754" s="1" t="s">
        <v>19</v>
      </c>
    </row>
    <row r="756" spans="1:17" x14ac:dyDescent="0.2">
      <c r="D756" s="1" t="s">
        <v>20</v>
      </c>
      <c r="E756" s="1">
        <v>1400013767</v>
      </c>
      <c r="G756" s="1" t="s">
        <v>88</v>
      </c>
      <c r="I756" s="1" t="s">
        <v>88</v>
      </c>
      <c r="K756" s="2">
        <v>-57915</v>
      </c>
      <c r="L756" s="1" t="s">
        <v>22</v>
      </c>
      <c r="N756" s="2">
        <v>-57915</v>
      </c>
      <c r="O756" s="1" t="s">
        <v>22</v>
      </c>
      <c r="P756" s="1" t="s">
        <v>607</v>
      </c>
      <c r="Q756" s="1">
        <v>1</v>
      </c>
    </row>
    <row r="757" spans="1:17" x14ac:dyDescent="0.2">
      <c r="D757" s="1" t="s">
        <v>20</v>
      </c>
      <c r="E757" s="1">
        <v>1400013767</v>
      </c>
      <c r="G757" s="1" t="s">
        <v>88</v>
      </c>
      <c r="I757" s="1" t="s">
        <v>88</v>
      </c>
      <c r="K757" s="2">
        <v>-55600.800000000003</v>
      </c>
      <c r="L757" s="1" t="s">
        <v>22</v>
      </c>
      <c r="N757" s="2">
        <v>-55600.800000000003</v>
      </c>
      <c r="O757" s="1" t="s">
        <v>22</v>
      </c>
      <c r="P757" s="1" t="s">
        <v>608</v>
      </c>
      <c r="Q757" s="1">
        <v>1</v>
      </c>
    </row>
    <row r="758" spans="1:17" x14ac:dyDescent="0.2">
      <c r="D758" s="1" t="s">
        <v>20</v>
      </c>
      <c r="E758" s="1">
        <v>1400013767</v>
      </c>
      <c r="G758" s="1" t="s">
        <v>88</v>
      </c>
      <c r="I758" s="1" t="s">
        <v>88</v>
      </c>
      <c r="K758" s="2">
        <v>-200000</v>
      </c>
      <c r="L758" s="1" t="s">
        <v>22</v>
      </c>
      <c r="N758" s="2">
        <v>-200000</v>
      </c>
      <c r="O758" s="1" t="s">
        <v>22</v>
      </c>
      <c r="P758" s="1" t="s">
        <v>609</v>
      </c>
      <c r="Q758" s="1">
        <v>1</v>
      </c>
    </row>
    <row r="760" spans="1:17" x14ac:dyDescent="0.2">
      <c r="B760" s="1" t="s">
        <v>25</v>
      </c>
      <c r="K760" s="2">
        <v>-313515.8</v>
      </c>
      <c r="L760" s="1" t="s">
        <v>22</v>
      </c>
      <c r="N760" s="2">
        <v>-313515.8</v>
      </c>
      <c r="O760" s="1" t="s">
        <v>22</v>
      </c>
    </row>
    <row r="762" spans="1:17" x14ac:dyDescent="0.2">
      <c r="A762" s="3"/>
      <c r="B762" s="3" t="s">
        <v>26</v>
      </c>
      <c r="C762" s="3" t="s">
        <v>169</v>
      </c>
      <c r="D762" s="3"/>
      <c r="E762" s="3"/>
      <c r="F762" s="3"/>
      <c r="G762" s="3"/>
      <c r="H762" s="3"/>
      <c r="I762" s="3"/>
      <c r="J762" s="3"/>
      <c r="K762" s="4">
        <v>-313515.8</v>
      </c>
      <c r="L762" s="3" t="s">
        <v>22</v>
      </c>
      <c r="M762" s="3"/>
      <c r="N762" s="4">
        <v>-313515.8</v>
      </c>
      <c r="O762" s="3" t="s">
        <v>22</v>
      </c>
      <c r="P762" s="3"/>
      <c r="Q762" s="3"/>
    </row>
    <row r="764" spans="1:17" x14ac:dyDescent="0.2">
      <c r="A764" s="1" t="s">
        <v>0</v>
      </c>
      <c r="F764" s="1">
        <v>501148</v>
      </c>
    </row>
    <row r="765" spans="1:17" x14ac:dyDescent="0.2">
      <c r="A765" s="1" t="s">
        <v>1</v>
      </c>
      <c r="F765" s="1" t="s">
        <v>40</v>
      </c>
    </row>
    <row r="767" spans="1:17" x14ac:dyDescent="0.2">
      <c r="A767" s="1" t="s">
        <v>3</v>
      </c>
      <c r="F767" s="1" t="s">
        <v>170</v>
      </c>
    </row>
    <row r="768" spans="1:17" x14ac:dyDescent="0.2">
      <c r="A768" s="1" t="s">
        <v>5</v>
      </c>
      <c r="F768" s="1" t="s">
        <v>108</v>
      </c>
    </row>
    <row r="771" spans="1:17" x14ac:dyDescent="0.2">
      <c r="C771" s="1" t="s">
        <v>6</v>
      </c>
      <c r="D771" s="1" t="s">
        <v>7</v>
      </c>
      <c r="E771" s="1" t="s">
        <v>8</v>
      </c>
      <c r="G771" s="1" t="s">
        <v>9</v>
      </c>
      <c r="H771" s="1" t="s">
        <v>10</v>
      </c>
      <c r="I771" s="1" t="s">
        <v>11</v>
      </c>
      <c r="J771" s="1" t="s">
        <v>12</v>
      </c>
      <c r="K771" s="1" t="s">
        <v>13</v>
      </c>
      <c r="L771" s="1" t="s">
        <v>14</v>
      </c>
      <c r="M771" s="1" t="s">
        <v>15</v>
      </c>
      <c r="N771" s="1" t="s">
        <v>16</v>
      </c>
      <c r="O771" s="1" t="s">
        <v>17</v>
      </c>
      <c r="P771" s="1" t="s">
        <v>18</v>
      </c>
      <c r="Q771" s="1" t="s">
        <v>19</v>
      </c>
    </row>
    <row r="773" spans="1:17" x14ac:dyDescent="0.2">
      <c r="D773" s="1" t="s">
        <v>20</v>
      </c>
      <c r="E773" s="1">
        <v>1400013782</v>
      </c>
      <c r="G773" s="1" t="s">
        <v>90</v>
      </c>
      <c r="I773" s="1" t="s">
        <v>90</v>
      </c>
      <c r="K773" s="2">
        <v>-379688</v>
      </c>
      <c r="L773" s="1" t="s">
        <v>22</v>
      </c>
      <c r="N773" s="2">
        <v>-379688</v>
      </c>
      <c r="O773" s="1" t="s">
        <v>22</v>
      </c>
      <c r="P773" s="1" t="s">
        <v>610</v>
      </c>
      <c r="Q773" s="1">
        <v>1</v>
      </c>
    </row>
    <row r="774" spans="1:17" x14ac:dyDescent="0.2">
      <c r="D774" s="1" t="s">
        <v>20</v>
      </c>
      <c r="E774" s="1">
        <v>1400013793</v>
      </c>
      <c r="G774" s="1" t="s">
        <v>30</v>
      </c>
      <c r="I774" s="1" t="s">
        <v>30</v>
      </c>
      <c r="K774" s="2">
        <v>-362000</v>
      </c>
      <c r="L774" s="1" t="s">
        <v>22</v>
      </c>
      <c r="N774" s="2">
        <v>-362000</v>
      </c>
      <c r="O774" s="1" t="s">
        <v>22</v>
      </c>
      <c r="P774" s="1" t="s">
        <v>611</v>
      </c>
      <c r="Q774" s="1">
        <v>1</v>
      </c>
    </row>
    <row r="776" spans="1:17" x14ac:dyDescent="0.2">
      <c r="B776" s="1" t="s">
        <v>25</v>
      </c>
      <c r="K776" s="2">
        <v>-741688</v>
      </c>
      <c r="L776" s="1" t="s">
        <v>22</v>
      </c>
      <c r="N776" s="2">
        <v>-741688</v>
      </c>
      <c r="O776" s="1" t="s">
        <v>22</v>
      </c>
    </row>
    <row r="778" spans="1:17" x14ac:dyDescent="0.2">
      <c r="A778" s="3"/>
      <c r="B778" s="3" t="s">
        <v>26</v>
      </c>
      <c r="C778" s="3" t="s">
        <v>174</v>
      </c>
      <c r="D778" s="3"/>
      <c r="E778" s="3"/>
      <c r="F778" s="3"/>
      <c r="G778" s="3"/>
      <c r="H778" s="3"/>
      <c r="I778" s="3"/>
      <c r="J778" s="3"/>
      <c r="K778" s="4">
        <v>-741688</v>
      </c>
      <c r="L778" s="3" t="s">
        <v>22</v>
      </c>
      <c r="M778" s="3"/>
      <c r="N778" s="4">
        <v>-741688</v>
      </c>
      <c r="O778" s="3" t="s">
        <v>22</v>
      </c>
      <c r="P778" s="3"/>
      <c r="Q778" s="3"/>
    </row>
    <row r="780" spans="1:17" x14ac:dyDescent="0.2">
      <c r="A780" s="1" t="s">
        <v>0</v>
      </c>
      <c r="F780" s="1">
        <v>501149</v>
      </c>
    </row>
    <row r="781" spans="1:17" x14ac:dyDescent="0.2">
      <c r="A781" s="1" t="s">
        <v>1</v>
      </c>
      <c r="F781" s="1" t="s">
        <v>40</v>
      </c>
    </row>
    <row r="783" spans="1:17" x14ac:dyDescent="0.2">
      <c r="A783" s="1" t="s">
        <v>3</v>
      </c>
      <c r="F783" s="1" t="s">
        <v>175</v>
      </c>
    </row>
    <row r="784" spans="1:17" x14ac:dyDescent="0.2">
      <c r="A784" s="1" t="s">
        <v>5</v>
      </c>
      <c r="F784" s="1" t="s">
        <v>70</v>
      </c>
    </row>
    <row r="787" spans="1:17" x14ac:dyDescent="0.2">
      <c r="C787" s="1" t="s">
        <v>6</v>
      </c>
      <c r="D787" s="1" t="s">
        <v>7</v>
      </c>
      <c r="E787" s="1" t="s">
        <v>8</v>
      </c>
      <c r="G787" s="1" t="s">
        <v>9</v>
      </c>
      <c r="H787" s="1" t="s">
        <v>10</v>
      </c>
      <c r="I787" s="1" t="s">
        <v>11</v>
      </c>
      <c r="J787" s="1" t="s">
        <v>12</v>
      </c>
      <c r="K787" s="1" t="s">
        <v>13</v>
      </c>
      <c r="L787" s="1" t="s">
        <v>14</v>
      </c>
      <c r="M787" s="1" t="s">
        <v>15</v>
      </c>
      <c r="N787" s="1" t="s">
        <v>16</v>
      </c>
      <c r="O787" s="1" t="s">
        <v>17</v>
      </c>
      <c r="P787" s="1" t="s">
        <v>18</v>
      </c>
      <c r="Q787" s="1" t="s">
        <v>19</v>
      </c>
    </row>
    <row r="789" spans="1:17" x14ac:dyDescent="0.2">
      <c r="D789" s="1" t="s">
        <v>20</v>
      </c>
      <c r="E789" s="1">
        <v>1400013692</v>
      </c>
      <c r="G789" s="1" t="s">
        <v>123</v>
      </c>
      <c r="I789" s="1" t="s">
        <v>123</v>
      </c>
      <c r="K789" s="2">
        <v>-762329.56</v>
      </c>
      <c r="L789" s="1" t="s">
        <v>22</v>
      </c>
      <c r="N789" s="2">
        <v>-762329.56</v>
      </c>
      <c r="O789" s="1" t="s">
        <v>22</v>
      </c>
      <c r="P789" s="1" t="s">
        <v>612</v>
      </c>
      <c r="Q789" s="1">
        <v>1</v>
      </c>
    </row>
    <row r="791" spans="1:17" x14ac:dyDescent="0.2">
      <c r="B791" s="1" t="s">
        <v>25</v>
      </c>
      <c r="K791" s="2">
        <v>-762329.56</v>
      </c>
      <c r="L791" s="1" t="s">
        <v>22</v>
      </c>
      <c r="N791" s="2">
        <v>-762329.56</v>
      </c>
      <c r="O791" s="1" t="s">
        <v>22</v>
      </c>
    </row>
    <row r="793" spans="1:17" x14ac:dyDescent="0.2">
      <c r="A793" s="3"/>
      <c r="B793" s="3" t="s">
        <v>26</v>
      </c>
      <c r="C793" s="3" t="s">
        <v>179</v>
      </c>
      <c r="D793" s="3"/>
      <c r="E793" s="3"/>
      <c r="F793" s="3"/>
      <c r="G793" s="3"/>
      <c r="H793" s="3"/>
      <c r="I793" s="3"/>
      <c r="J793" s="3"/>
      <c r="K793" s="4">
        <v>-762329.56</v>
      </c>
      <c r="L793" s="3" t="s">
        <v>22</v>
      </c>
      <c r="M793" s="3"/>
      <c r="N793" s="4">
        <v>-762329.56</v>
      </c>
      <c r="O793" s="3" t="s">
        <v>22</v>
      </c>
      <c r="P793" s="3"/>
      <c r="Q793" s="3"/>
    </row>
    <row r="795" spans="1:17" x14ac:dyDescent="0.2">
      <c r="A795" s="1" t="s">
        <v>0</v>
      </c>
      <c r="F795" s="1">
        <v>501150</v>
      </c>
    </row>
    <row r="796" spans="1:17" x14ac:dyDescent="0.2">
      <c r="A796" s="1" t="s">
        <v>1</v>
      </c>
      <c r="F796" s="1" t="s">
        <v>40</v>
      </c>
    </row>
    <row r="798" spans="1:17" x14ac:dyDescent="0.2">
      <c r="A798" s="1" t="s">
        <v>3</v>
      </c>
      <c r="F798" s="1" t="s">
        <v>613</v>
      </c>
    </row>
    <row r="799" spans="1:17" x14ac:dyDescent="0.2">
      <c r="A799" s="1" t="s">
        <v>5</v>
      </c>
      <c r="F799" s="1" t="s">
        <v>282</v>
      </c>
    </row>
    <row r="802" spans="1:17" x14ac:dyDescent="0.2">
      <c r="C802" s="1" t="s">
        <v>6</v>
      </c>
      <c r="D802" s="1" t="s">
        <v>7</v>
      </c>
      <c r="E802" s="1" t="s">
        <v>8</v>
      </c>
      <c r="G802" s="1" t="s">
        <v>9</v>
      </c>
      <c r="H802" s="1" t="s">
        <v>10</v>
      </c>
      <c r="I802" s="1" t="s">
        <v>11</v>
      </c>
      <c r="J802" s="1" t="s">
        <v>12</v>
      </c>
      <c r="K802" s="1" t="s">
        <v>13</v>
      </c>
      <c r="L802" s="1" t="s">
        <v>14</v>
      </c>
      <c r="M802" s="1" t="s">
        <v>15</v>
      </c>
      <c r="N802" s="1" t="s">
        <v>16</v>
      </c>
      <c r="O802" s="1" t="s">
        <v>17</v>
      </c>
      <c r="P802" s="1" t="s">
        <v>18</v>
      </c>
      <c r="Q802" s="1" t="s">
        <v>19</v>
      </c>
    </row>
    <row r="804" spans="1:17" x14ac:dyDescent="0.2">
      <c r="D804" s="1" t="s">
        <v>20</v>
      </c>
      <c r="E804" s="1">
        <v>1400013881</v>
      </c>
      <c r="G804" s="1" t="s">
        <v>66</v>
      </c>
      <c r="I804" s="1" t="s">
        <v>66</v>
      </c>
      <c r="K804" s="2">
        <v>-23149.32</v>
      </c>
      <c r="L804" s="1" t="s">
        <v>22</v>
      </c>
      <c r="N804" s="2">
        <v>-23149.32</v>
      </c>
      <c r="O804" s="1" t="s">
        <v>22</v>
      </c>
      <c r="P804" s="1" t="s">
        <v>614</v>
      </c>
      <c r="Q804" s="1">
        <v>1</v>
      </c>
    </row>
    <row r="806" spans="1:17" x14ac:dyDescent="0.2">
      <c r="B806" s="1" t="s">
        <v>25</v>
      </c>
      <c r="K806" s="2">
        <v>-23149.32</v>
      </c>
      <c r="L806" s="1" t="s">
        <v>22</v>
      </c>
      <c r="N806" s="2">
        <v>-23149.32</v>
      </c>
      <c r="O806" s="1" t="s">
        <v>22</v>
      </c>
    </row>
    <row r="808" spans="1:17" x14ac:dyDescent="0.2">
      <c r="A808" s="3"/>
      <c r="B808" s="3" t="s">
        <v>26</v>
      </c>
      <c r="C808" s="3" t="s">
        <v>615</v>
      </c>
      <c r="D808" s="3"/>
      <c r="E808" s="3"/>
      <c r="F808" s="3"/>
      <c r="G808" s="3"/>
      <c r="H808" s="3"/>
      <c r="I808" s="3"/>
      <c r="J808" s="3"/>
      <c r="K808" s="4">
        <v>-23149.32</v>
      </c>
      <c r="L808" s="3" t="s">
        <v>22</v>
      </c>
      <c r="M808" s="3"/>
      <c r="N808" s="4">
        <v>-23149.32</v>
      </c>
      <c r="O808" s="3" t="s">
        <v>22</v>
      </c>
      <c r="P808" s="3"/>
      <c r="Q808" s="3"/>
    </row>
    <row r="810" spans="1:17" x14ac:dyDescent="0.2">
      <c r="A810" s="1" t="s">
        <v>0</v>
      </c>
      <c r="F810" s="1">
        <v>501155</v>
      </c>
    </row>
    <row r="811" spans="1:17" x14ac:dyDescent="0.2">
      <c r="A811" s="1" t="s">
        <v>1</v>
      </c>
      <c r="F811" s="1" t="s">
        <v>40</v>
      </c>
    </row>
    <row r="813" spans="1:17" x14ac:dyDescent="0.2">
      <c r="A813" s="1" t="s">
        <v>3</v>
      </c>
      <c r="F813" s="1" t="s">
        <v>616</v>
      </c>
    </row>
    <row r="814" spans="1:17" x14ac:dyDescent="0.2">
      <c r="A814" s="1" t="s">
        <v>5</v>
      </c>
      <c r="F814" s="1" t="s">
        <v>282</v>
      </c>
    </row>
    <row r="817" spans="1:17" x14ac:dyDescent="0.2">
      <c r="C817" s="1" t="s">
        <v>6</v>
      </c>
      <c r="D817" s="1" t="s">
        <v>7</v>
      </c>
      <c r="E817" s="1" t="s">
        <v>8</v>
      </c>
      <c r="G817" s="1" t="s">
        <v>9</v>
      </c>
      <c r="H817" s="1" t="s">
        <v>10</v>
      </c>
      <c r="I817" s="1" t="s">
        <v>11</v>
      </c>
      <c r="J817" s="1" t="s">
        <v>12</v>
      </c>
      <c r="K817" s="1" t="s">
        <v>13</v>
      </c>
      <c r="L817" s="1" t="s">
        <v>14</v>
      </c>
      <c r="M817" s="1" t="s">
        <v>15</v>
      </c>
      <c r="N817" s="1" t="s">
        <v>16</v>
      </c>
      <c r="O817" s="1" t="s">
        <v>17</v>
      </c>
      <c r="P817" s="1" t="s">
        <v>18</v>
      </c>
      <c r="Q817" s="1" t="s">
        <v>19</v>
      </c>
    </row>
    <row r="819" spans="1:17" x14ac:dyDescent="0.2">
      <c r="D819" s="1" t="s">
        <v>20</v>
      </c>
      <c r="E819" s="1">
        <v>1400013795</v>
      </c>
      <c r="G819" s="1" t="s">
        <v>486</v>
      </c>
      <c r="I819" s="1" t="s">
        <v>486</v>
      </c>
      <c r="K819" s="2">
        <v>-151873.39000000001</v>
      </c>
      <c r="L819" s="1" t="s">
        <v>22</v>
      </c>
      <c r="N819" s="2">
        <v>-37128.32</v>
      </c>
      <c r="O819" s="1" t="s">
        <v>31</v>
      </c>
      <c r="P819" s="1" t="s">
        <v>617</v>
      </c>
      <c r="Q819" s="1">
        <v>4.0904999999999996</v>
      </c>
    </row>
    <row r="821" spans="1:17" x14ac:dyDescent="0.2">
      <c r="B821" s="1" t="s">
        <v>25</v>
      </c>
      <c r="K821" s="2">
        <v>-151873.39000000001</v>
      </c>
      <c r="L821" s="1" t="s">
        <v>22</v>
      </c>
      <c r="N821" s="2">
        <v>-37128.32</v>
      </c>
      <c r="O821" s="1" t="s">
        <v>31</v>
      </c>
    </row>
    <row r="823" spans="1:17" x14ac:dyDescent="0.2">
      <c r="A823" s="3"/>
      <c r="B823" s="3" t="s">
        <v>26</v>
      </c>
      <c r="C823" s="3" t="s">
        <v>618</v>
      </c>
      <c r="D823" s="3"/>
      <c r="E823" s="3"/>
      <c r="F823" s="3"/>
      <c r="G823" s="3"/>
      <c r="H823" s="3"/>
      <c r="I823" s="3"/>
      <c r="J823" s="3"/>
      <c r="K823" s="4">
        <v>-151873.39000000001</v>
      </c>
      <c r="L823" s="3" t="s">
        <v>22</v>
      </c>
      <c r="M823" s="3"/>
      <c r="N823" s="4">
        <v>-37128.32</v>
      </c>
      <c r="O823" s="3" t="s">
        <v>31</v>
      </c>
      <c r="P823" s="3"/>
      <c r="Q823" s="3"/>
    </row>
    <row r="825" spans="1:17" x14ac:dyDescent="0.2">
      <c r="A825" s="1" t="s">
        <v>0</v>
      </c>
      <c r="F825" s="1">
        <v>501157</v>
      </c>
    </row>
    <row r="826" spans="1:17" x14ac:dyDescent="0.2">
      <c r="A826" s="1" t="s">
        <v>1</v>
      </c>
      <c r="F826" s="1" t="s">
        <v>40</v>
      </c>
    </row>
    <row r="828" spans="1:17" x14ac:dyDescent="0.2">
      <c r="A828" s="1" t="s">
        <v>3</v>
      </c>
      <c r="F828" s="1" t="s">
        <v>180</v>
      </c>
    </row>
    <row r="829" spans="1:17" x14ac:dyDescent="0.2">
      <c r="A829" s="1" t="s">
        <v>5</v>
      </c>
      <c r="F829" s="1" t="s">
        <v>181</v>
      </c>
    </row>
    <row r="832" spans="1:17" x14ac:dyDescent="0.2">
      <c r="C832" s="1" t="s">
        <v>6</v>
      </c>
      <c r="D832" s="1" t="s">
        <v>7</v>
      </c>
      <c r="E832" s="1" t="s">
        <v>8</v>
      </c>
      <c r="G832" s="1" t="s">
        <v>9</v>
      </c>
      <c r="H832" s="1" t="s">
        <v>10</v>
      </c>
      <c r="I832" s="1" t="s">
        <v>11</v>
      </c>
      <c r="J832" s="1" t="s">
        <v>12</v>
      </c>
      <c r="K832" s="1" t="s">
        <v>13</v>
      </c>
      <c r="L832" s="1" t="s">
        <v>14</v>
      </c>
      <c r="M832" s="1" t="s">
        <v>15</v>
      </c>
      <c r="N832" s="1" t="s">
        <v>16</v>
      </c>
      <c r="O832" s="1" t="s">
        <v>17</v>
      </c>
      <c r="P832" s="1" t="s">
        <v>18</v>
      </c>
      <c r="Q832" s="1" t="s">
        <v>19</v>
      </c>
    </row>
    <row r="834" spans="4:17" x14ac:dyDescent="0.2">
      <c r="D834" s="1" t="s">
        <v>20</v>
      </c>
      <c r="E834" s="1">
        <v>1400013690</v>
      </c>
      <c r="G834" s="1" t="s">
        <v>44</v>
      </c>
      <c r="I834" s="1" t="s">
        <v>44</v>
      </c>
      <c r="K834" s="2">
        <v>-1697635.5</v>
      </c>
      <c r="L834" s="1" t="s">
        <v>22</v>
      </c>
      <c r="N834" s="2">
        <v>-411000</v>
      </c>
      <c r="O834" s="1" t="s">
        <v>31</v>
      </c>
      <c r="P834" s="1" t="s">
        <v>619</v>
      </c>
      <c r="Q834" s="1">
        <v>4.1304999999999996</v>
      </c>
    </row>
    <row r="835" spans="4:17" x14ac:dyDescent="0.2">
      <c r="D835" s="1" t="s">
        <v>20</v>
      </c>
      <c r="E835" s="1">
        <v>1400013690</v>
      </c>
      <c r="G835" s="1" t="s">
        <v>44</v>
      </c>
      <c r="I835" s="1" t="s">
        <v>44</v>
      </c>
      <c r="K835" s="2">
        <v>-6855.6</v>
      </c>
      <c r="L835" s="1" t="s">
        <v>22</v>
      </c>
      <c r="N835" s="2">
        <v>-1659.75</v>
      </c>
      <c r="O835" s="1" t="s">
        <v>31</v>
      </c>
      <c r="P835" s="1" t="s">
        <v>620</v>
      </c>
      <c r="Q835" s="1">
        <v>4.1304999999999996</v>
      </c>
    </row>
    <row r="836" spans="4:17" x14ac:dyDescent="0.2">
      <c r="D836" s="1" t="s">
        <v>20</v>
      </c>
      <c r="E836" s="1">
        <v>1400013690</v>
      </c>
      <c r="G836" s="1" t="s">
        <v>44</v>
      </c>
      <c r="I836" s="1" t="s">
        <v>44</v>
      </c>
      <c r="K836" s="2">
        <v>-1098713</v>
      </c>
      <c r="L836" s="1" t="s">
        <v>22</v>
      </c>
      <c r="N836" s="2">
        <v>-266000</v>
      </c>
      <c r="O836" s="1" t="s">
        <v>31</v>
      </c>
      <c r="P836" s="1" t="s">
        <v>621</v>
      </c>
      <c r="Q836" s="1">
        <v>4.1304999999999996</v>
      </c>
    </row>
    <row r="837" spans="4:17" x14ac:dyDescent="0.2">
      <c r="D837" s="1" t="s">
        <v>20</v>
      </c>
      <c r="E837" s="1">
        <v>1400013748</v>
      </c>
      <c r="G837" s="1" t="s">
        <v>85</v>
      </c>
      <c r="I837" s="1" t="s">
        <v>85</v>
      </c>
      <c r="K837" s="2">
        <v>-571013.92000000004</v>
      </c>
      <c r="L837" s="1" t="s">
        <v>22</v>
      </c>
      <c r="N837" s="2">
        <v>-139526.92000000001</v>
      </c>
      <c r="O837" s="1" t="s">
        <v>31</v>
      </c>
      <c r="P837" s="1" t="s">
        <v>622</v>
      </c>
      <c r="Q837" s="1">
        <v>4.0925000000000002</v>
      </c>
    </row>
    <row r="838" spans="4:17" x14ac:dyDescent="0.2">
      <c r="D838" s="1" t="s">
        <v>20</v>
      </c>
      <c r="E838" s="1">
        <v>1400013765</v>
      </c>
      <c r="G838" s="1" t="s">
        <v>61</v>
      </c>
      <c r="I838" s="1" t="s">
        <v>61</v>
      </c>
      <c r="K838" s="2">
        <v>-1330823.21</v>
      </c>
      <c r="L838" s="1" t="s">
        <v>22</v>
      </c>
      <c r="N838" s="2">
        <v>-325583.65999999997</v>
      </c>
      <c r="O838" s="1" t="s">
        <v>31</v>
      </c>
      <c r="P838" s="1" t="s">
        <v>623</v>
      </c>
      <c r="Q838" s="1">
        <v>4.0875000000000004</v>
      </c>
    </row>
    <row r="839" spans="4:17" x14ac:dyDescent="0.2">
      <c r="D839" s="1" t="s">
        <v>20</v>
      </c>
      <c r="E839" s="1">
        <v>1400013777</v>
      </c>
      <c r="G839" s="1" t="s">
        <v>113</v>
      </c>
      <c r="I839" s="1" t="s">
        <v>113</v>
      </c>
      <c r="K839" s="2">
        <v>-1308556.5</v>
      </c>
      <c r="L839" s="1" t="s">
        <v>22</v>
      </c>
      <c r="N839" s="2">
        <v>-321000</v>
      </c>
      <c r="O839" s="1" t="s">
        <v>31</v>
      </c>
      <c r="P839" s="1" t="s">
        <v>624</v>
      </c>
      <c r="Q839" s="1">
        <v>4.0765000000000002</v>
      </c>
    </row>
    <row r="840" spans="4:17" x14ac:dyDescent="0.2">
      <c r="D840" s="1" t="s">
        <v>20</v>
      </c>
      <c r="E840" s="1">
        <v>1400013777</v>
      </c>
      <c r="G840" s="1" t="s">
        <v>113</v>
      </c>
      <c r="I840" s="1" t="s">
        <v>113</v>
      </c>
      <c r="K840" s="2">
        <v>-833303.21</v>
      </c>
      <c r="L840" s="1" t="s">
        <v>22</v>
      </c>
      <c r="N840" s="2">
        <v>-204416.34</v>
      </c>
      <c r="O840" s="1" t="s">
        <v>31</v>
      </c>
      <c r="P840" s="1" t="s">
        <v>623</v>
      </c>
      <c r="Q840" s="1">
        <v>4.0765000000000002</v>
      </c>
    </row>
    <row r="841" spans="4:17" x14ac:dyDescent="0.2">
      <c r="D841" s="1" t="s">
        <v>20</v>
      </c>
      <c r="E841" s="1">
        <v>1400013786</v>
      </c>
      <c r="G841" s="1" t="s">
        <v>90</v>
      </c>
      <c r="I841" s="1" t="s">
        <v>90</v>
      </c>
      <c r="K841" s="2">
        <v>-1851921.56</v>
      </c>
      <c r="L841" s="1" t="s">
        <v>22</v>
      </c>
      <c r="N841" s="2">
        <v>-455521.23</v>
      </c>
      <c r="O841" s="1" t="s">
        <v>31</v>
      </c>
      <c r="P841" s="1" t="s">
        <v>625</v>
      </c>
      <c r="Q841" s="1">
        <v>4.0655000000000001</v>
      </c>
    </row>
    <row r="842" spans="4:17" x14ac:dyDescent="0.2">
      <c r="D842" s="1" t="s">
        <v>20</v>
      </c>
      <c r="E842" s="1">
        <v>1400013848</v>
      </c>
      <c r="G842" s="1" t="s">
        <v>182</v>
      </c>
      <c r="I842" s="1" t="s">
        <v>182</v>
      </c>
      <c r="K842" s="2">
        <v>-38958.04</v>
      </c>
      <c r="L842" s="1" t="s">
        <v>22</v>
      </c>
      <c r="N842" s="2">
        <v>-9473.08</v>
      </c>
      <c r="O842" s="1" t="s">
        <v>31</v>
      </c>
      <c r="P842" s="1" t="s">
        <v>622</v>
      </c>
      <c r="Q842" s="1">
        <v>4.1124999999999998</v>
      </c>
    </row>
    <row r="843" spans="4:17" x14ac:dyDescent="0.2">
      <c r="D843" s="1" t="s">
        <v>20</v>
      </c>
      <c r="E843" s="1">
        <v>1400013848</v>
      </c>
      <c r="G843" s="1" t="s">
        <v>182</v>
      </c>
      <c r="I843" s="1" t="s">
        <v>182</v>
      </c>
      <c r="K843" s="2">
        <v>-1714912.5</v>
      </c>
      <c r="L843" s="1" t="s">
        <v>22</v>
      </c>
      <c r="N843" s="2">
        <v>-417000</v>
      </c>
      <c r="O843" s="1" t="s">
        <v>31</v>
      </c>
      <c r="P843" s="1" t="s">
        <v>626</v>
      </c>
      <c r="Q843" s="1">
        <v>4.1124999999999998</v>
      </c>
    </row>
    <row r="844" spans="4:17" x14ac:dyDescent="0.2">
      <c r="D844" s="1" t="s">
        <v>20</v>
      </c>
      <c r="E844" s="1">
        <v>1400013848</v>
      </c>
      <c r="G844" s="1" t="s">
        <v>182</v>
      </c>
      <c r="I844" s="1" t="s">
        <v>182</v>
      </c>
      <c r="K844" s="2">
        <v>-1514799.28</v>
      </c>
      <c r="L844" s="1" t="s">
        <v>22</v>
      </c>
      <c r="N844" s="2">
        <v>-368340.25</v>
      </c>
      <c r="O844" s="1" t="s">
        <v>31</v>
      </c>
      <c r="P844" s="1" t="s">
        <v>620</v>
      </c>
      <c r="Q844" s="1">
        <v>4.1124999999999998</v>
      </c>
    </row>
    <row r="845" spans="4:17" x14ac:dyDescent="0.2">
      <c r="D845" s="1" t="s">
        <v>20</v>
      </c>
      <c r="E845" s="1">
        <v>1400013866</v>
      </c>
      <c r="G845" s="1" t="s">
        <v>64</v>
      </c>
      <c r="I845" s="1" t="s">
        <v>64</v>
      </c>
      <c r="K845" s="2">
        <v>-24928.35</v>
      </c>
      <c r="L845" s="1" t="s">
        <v>22</v>
      </c>
      <c r="N845" s="2">
        <v>-6159.71</v>
      </c>
      <c r="O845" s="1" t="s">
        <v>31</v>
      </c>
      <c r="P845" s="1" t="s">
        <v>627</v>
      </c>
      <c r="Q845" s="1">
        <v>4.0469999999999997</v>
      </c>
    </row>
    <row r="846" spans="4:17" x14ac:dyDescent="0.2">
      <c r="D846" s="1" t="s">
        <v>20</v>
      </c>
      <c r="E846" s="1">
        <v>1400013866</v>
      </c>
      <c r="G846" s="1" t="s">
        <v>64</v>
      </c>
      <c r="I846" s="1" t="s">
        <v>64</v>
      </c>
      <c r="K846" s="2">
        <v>-1157442</v>
      </c>
      <c r="L846" s="1" t="s">
        <v>22</v>
      </c>
      <c r="N846" s="2">
        <v>-286000</v>
      </c>
      <c r="O846" s="1" t="s">
        <v>31</v>
      </c>
      <c r="P846" s="1" t="s">
        <v>628</v>
      </c>
      <c r="Q846" s="1">
        <v>4.0469999999999997</v>
      </c>
    </row>
    <row r="847" spans="4:17" x14ac:dyDescent="0.2">
      <c r="D847" s="1" t="s">
        <v>20</v>
      </c>
      <c r="E847" s="1">
        <v>1400013866</v>
      </c>
      <c r="G847" s="1" t="s">
        <v>64</v>
      </c>
      <c r="I847" s="1" t="s">
        <v>64</v>
      </c>
      <c r="K847" s="2">
        <v>-451154.58</v>
      </c>
      <c r="L847" s="1" t="s">
        <v>22</v>
      </c>
      <c r="N847" s="2">
        <v>-111478.77</v>
      </c>
      <c r="O847" s="1" t="s">
        <v>31</v>
      </c>
      <c r="P847" s="1" t="s">
        <v>625</v>
      </c>
      <c r="Q847" s="1">
        <v>4.0469999999999997</v>
      </c>
    </row>
    <row r="849" spans="1:17" x14ac:dyDescent="0.2">
      <c r="B849" s="1" t="s">
        <v>25</v>
      </c>
      <c r="K849" s="2">
        <v>-13601017.25</v>
      </c>
      <c r="L849" s="1" t="s">
        <v>22</v>
      </c>
      <c r="N849" s="2">
        <v>-3323159.71</v>
      </c>
      <c r="O849" s="1" t="s">
        <v>31</v>
      </c>
    </row>
    <row r="851" spans="1:17" x14ac:dyDescent="0.2">
      <c r="A851" s="3"/>
      <c r="B851" s="3" t="s">
        <v>26</v>
      </c>
      <c r="C851" s="3" t="s">
        <v>190</v>
      </c>
      <c r="D851" s="3"/>
      <c r="E851" s="3"/>
      <c r="F851" s="3"/>
      <c r="G851" s="3"/>
      <c r="H851" s="3"/>
      <c r="I851" s="3"/>
      <c r="J851" s="3"/>
      <c r="K851" s="4">
        <v>-13601017.25</v>
      </c>
      <c r="L851" s="3" t="s">
        <v>22</v>
      </c>
      <c r="M851" s="3"/>
      <c r="N851" s="4">
        <v>-3323159.71</v>
      </c>
      <c r="O851" s="3" t="s">
        <v>31</v>
      </c>
      <c r="P851" s="3"/>
      <c r="Q851" s="3"/>
    </row>
    <row r="853" spans="1:17" x14ac:dyDescent="0.2">
      <c r="A853" s="1" t="s">
        <v>0</v>
      </c>
      <c r="F853" s="1">
        <v>501158</v>
      </c>
    </row>
    <row r="854" spans="1:17" x14ac:dyDescent="0.2">
      <c r="A854" s="1" t="s">
        <v>1</v>
      </c>
      <c r="F854" s="1" t="s">
        <v>40</v>
      </c>
    </row>
    <row r="856" spans="1:17" x14ac:dyDescent="0.2">
      <c r="A856" s="1" t="s">
        <v>3</v>
      </c>
      <c r="F856" s="1" t="s">
        <v>629</v>
      </c>
    </row>
    <row r="857" spans="1:17" x14ac:dyDescent="0.2">
      <c r="A857" s="1" t="s">
        <v>5</v>
      </c>
      <c r="F857" s="1" t="s">
        <v>282</v>
      </c>
    </row>
    <row r="860" spans="1:17" x14ac:dyDescent="0.2">
      <c r="C860" s="1" t="s">
        <v>6</v>
      </c>
      <c r="D860" s="1" t="s">
        <v>7</v>
      </c>
      <c r="E860" s="1" t="s">
        <v>8</v>
      </c>
      <c r="G860" s="1" t="s">
        <v>9</v>
      </c>
      <c r="H860" s="1" t="s">
        <v>10</v>
      </c>
      <c r="I860" s="1" t="s">
        <v>11</v>
      </c>
      <c r="J860" s="1" t="s">
        <v>12</v>
      </c>
      <c r="K860" s="1" t="s">
        <v>13</v>
      </c>
      <c r="L860" s="1" t="s">
        <v>14</v>
      </c>
      <c r="M860" s="1" t="s">
        <v>15</v>
      </c>
      <c r="N860" s="1" t="s">
        <v>16</v>
      </c>
      <c r="O860" s="1" t="s">
        <v>17</v>
      </c>
      <c r="P860" s="1" t="s">
        <v>18</v>
      </c>
      <c r="Q860" s="1" t="s">
        <v>19</v>
      </c>
    </row>
    <row r="862" spans="1:17" x14ac:dyDescent="0.2">
      <c r="D862" s="1" t="s">
        <v>20</v>
      </c>
      <c r="E862" s="1">
        <v>103327242</v>
      </c>
      <c r="G862" s="1" t="s">
        <v>46</v>
      </c>
      <c r="I862" s="1" t="s">
        <v>46</v>
      </c>
      <c r="K862" s="2">
        <v>-60532.5</v>
      </c>
      <c r="L862" s="1" t="s">
        <v>22</v>
      </c>
      <c r="N862" s="2">
        <v>-22088.93</v>
      </c>
      <c r="O862" s="1" t="s">
        <v>630</v>
      </c>
      <c r="P862" s="1" t="s">
        <v>631</v>
      </c>
      <c r="Q862" s="1">
        <v>2.7404000000000002</v>
      </c>
    </row>
    <row r="864" spans="1:17" x14ac:dyDescent="0.2">
      <c r="B864" s="1" t="s">
        <v>25</v>
      </c>
      <c r="K864" s="2">
        <v>-60532.5</v>
      </c>
      <c r="L864" s="1" t="s">
        <v>22</v>
      </c>
      <c r="N864" s="2">
        <v>-22088.93</v>
      </c>
      <c r="O864" s="1" t="s">
        <v>630</v>
      </c>
    </row>
    <row r="866" spans="1:17" x14ac:dyDescent="0.2">
      <c r="A866" s="3"/>
      <c r="B866" s="3" t="s">
        <v>26</v>
      </c>
      <c r="C866" s="3" t="s">
        <v>632</v>
      </c>
      <c r="D866" s="3"/>
      <c r="E866" s="3"/>
      <c r="F866" s="3"/>
      <c r="G866" s="3"/>
      <c r="H866" s="3"/>
      <c r="I866" s="3"/>
      <c r="J866" s="3"/>
      <c r="K866" s="4">
        <v>-60532.5</v>
      </c>
      <c r="L866" s="3" t="s">
        <v>22</v>
      </c>
      <c r="M866" s="3"/>
      <c r="N866" s="4">
        <v>-22088.93</v>
      </c>
      <c r="O866" s="3" t="s">
        <v>630</v>
      </c>
      <c r="P866" s="3"/>
      <c r="Q866" s="3"/>
    </row>
    <row r="868" spans="1:17" x14ac:dyDescent="0.2">
      <c r="A868" s="1" t="s">
        <v>0</v>
      </c>
      <c r="F868" s="1">
        <v>501159</v>
      </c>
    </row>
    <row r="869" spans="1:17" x14ac:dyDescent="0.2">
      <c r="A869" s="1" t="s">
        <v>1</v>
      </c>
      <c r="F869" s="1" t="s">
        <v>40</v>
      </c>
    </row>
    <row r="871" spans="1:17" x14ac:dyDescent="0.2">
      <c r="A871" s="1" t="s">
        <v>3</v>
      </c>
      <c r="F871" s="1" t="s">
        <v>633</v>
      </c>
    </row>
    <row r="872" spans="1:17" x14ac:dyDescent="0.2">
      <c r="A872" s="1" t="s">
        <v>5</v>
      </c>
      <c r="F872" s="1" t="s">
        <v>282</v>
      </c>
    </row>
    <row r="875" spans="1:17" x14ac:dyDescent="0.2">
      <c r="C875" s="1" t="s">
        <v>6</v>
      </c>
      <c r="D875" s="1" t="s">
        <v>7</v>
      </c>
      <c r="E875" s="1" t="s">
        <v>8</v>
      </c>
      <c r="G875" s="1" t="s">
        <v>9</v>
      </c>
      <c r="H875" s="1" t="s">
        <v>10</v>
      </c>
      <c r="I875" s="1" t="s">
        <v>11</v>
      </c>
      <c r="J875" s="1" t="s">
        <v>12</v>
      </c>
      <c r="K875" s="1" t="s">
        <v>13</v>
      </c>
      <c r="L875" s="1" t="s">
        <v>14</v>
      </c>
      <c r="M875" s="1" t="s">
        <v>15</v>
      </c>
      <c r="N875" s="1" t="s">
        <v>16</v>
      </c>
      <c r="O875" s="1" t="s">
        <v>17</v>
      </c>
      <c r="P875" s="1" t="s">
        <v>18</v>
      </c>
      <c r="Q875" s="1" t="s">
        <v>19</v>
      </c>
    </row>
    <row r="877" spans="1:17" x14ac:dyDescent="0.2">
      <c r="D877" s="1" t="s">
        <v>20</v>
      </c>
      <c r="E877" s="1">
        <v>1400013677</v>
      </c>
      <c r="G877" s="1" t="s">
        <v>123</v>
      </c>
      <c r="I877" s="1" t="s">
        <v>123</v>
      </c>
      <c r="K877" s="2">
        <v>-7014200</v>
      </c>
      <c r="L877" s="1" t="s">
        <v>22</v>
      </c>
      <c r="N877" s="2">
        <v>-1700000</v>
      </c>
      <c r="O877" s="1" t="s">
        <v>31</v>
      </c>
      <c r="P877" s="1" t="s">
        <v>634</v>
      </c>
      <c r="Q877" s="1">
        <v>4.1260000000000003</v>
      </c>
    </row>
    <row r="879" spans="1:17" x14ac:dyDescent="0.2">
      <c r="B879" s="1" t="s">
        <v>25</v>
      </c>
      <c r="K879" s="2">
        <v>-7014200</v>
      </c>
      <c r="L879" s="1" t="s">
        <v>22</v>
      </c>
      <c r="N879" s="2">
        <v>-1700000</v>
      </c>
      <c r="O879" s="1" t="s">
        <v>31</v>
      </c>
    </row>
    <row r="881" spans="1:17" x14ac:dyDescent="0.2">
      <c r="A881" s="3"/>
      <c r="B881" s="3" t="s">
        <v>26</v>
      </c>
      <c r="C881" s="3" t="s">
        <v>635</v>
      </c>
      <c r="D881" s="3"/>
      <c r="E881" s="3"/>
      <c r="F881" s="3"/>
      <c r="G881" s="3"/>
      <c r="H881" s="3"/>
      <c r="I881" s="3"/>
      <c r="J881" s="3"/>
      <c r="K881" s="4">
        <v>-7014200</v>
      </c>
      <c r="L881" s="3" t="s">
        <v>22</v>
      </c>
      <c r="M881" s="3"/>
      <c r="N881" s="4">
        <v>-1700000</v>
      </c>
      <c r="O881" s="3" t="s">
        <v>31</v>
      </c>
      <c r="P881" s="3"/>
      <c r="Q881" s="3"/>
    </row>
    <row r="883" spans="1:17" x14ac:dyDescent="0.2">
      <c r="A883" s="1" t="s">
        <v>0</v>
      </c>
      <c r="F883" s="1">
        <v>501161</v>
      </c>
    </row>
    <row r="884" spans="1:17" x14ac:dyDescent="0.2">
      <c r="A884" s="1" t="s">
        <v>1</v>
      </c>
      <c r="F884" s="1" t="s">
        <v>40</v>
      </c>
    </row>
    <row r="886" spans="1:17" x14ac:dyDescent="0.2">
      <c r="A886" s="1" t="s">
        <v>3</v>
      </c>
      <c r="F886" s="1" t="s">
        <v>636</v>
      </c>
    </row>
    <row r="887" spans="1:17" x14ac:dyDescent="0.2">
      <c r="A887" s="1" t="s">
        <v>5</v>
      </c>
      <c r="F887" s="1" t="s">
        <v>637</v>
      </c>
    </row>
    <row r="890" spans="1:17" x14ac:dyDescent="0.2">
      <c r="C890" s="1" t="s">
        <v>6</v>
      </c>
      <c r="D890" s="1" t="s">
        <v>7</v>
      </c>
      <c r="E890" s="1" t="s">
        <v>8</v>
      </c>
      <c r="G890" s="1" t="s">
        <v>9</v>
      </c>
      <c r="H890" s="1" t="s">
        <v>10</v>
      </c>
      <c r="I890" s="1" t="s">
        <v>11</v>
      </c>
      <c r="J890" s="1" t="s">
        <v>12</v>
      </c>
      <c r="K890" s="1" t="s">
        <v>13</v>
      </c>
      <c r="L890" s="1" t="s">
        <v>14</v>
      </c>
      <c r="M890" s="1" t="s">
        <v>15</v>
      </c>
      <c r="N890" s="1" t="s">
        <v>16</v>
      </c>
      <c r="O890" s="1" t="s">
        <v>17</v>
      </c>
      <c r="P890" s="1" t="s">
        <v>18</v>
      </c>
      <c r="Q890" s="1" t="s">
        <v>19</v>
      </c>
    </row>
    <row r="892" spans="1:17" x14ac:dyDescent="0.2">
      <c r="D892" s="1" t="s">
        <v>20</v>
      </c>
      <c r="E892" s="1">
        <v>1400013684</v>
      </c>
      <c r="G892" s="1" t="s">
        <v>104</v>
      </c>
      <c r="I892" s="1" t="s">
        <v>104</v>
      </c>
      <c r="K892" s="2">
        <v>-4932425.6100000003</v>
      </c>
      <c r="L892" s="1" t="s">
        <v>22</v>
      </c>
      <c r="N892" s="2">
        <v>-4932425.6100000003</v>
      </c>
      <c r="O892" s="1" t="s">
        <v>22</v>
      </c>
      <c r="P892" s="1" t="s">
        <v>638</v>
      </c>
      <c r="Q892" s="1">
        <v>1</v>
      </c>
    </row>
    <row r="894" spans="1:17" x14ac:dyDescent="0.2">
      <c r="B894" s="1" t="s">
        <v>25</v>
      </c>
      <c r="K894" s="2">
        <v>-4932425.6100000003</v>
      </c>
      <c r="L894" s="1" t="s">
        <v>22</v>
      </c>
      <c r="N894" s="2">
        <v>-4932425.6100000003</v>
      </c>
      <c r="O894" s="1" t="s">
        <v>22</v>
      </c>
    </row>
    <row r="896" spans="1:17" x14ac:dyDescent="0.2">
      <c r="A896" s="3"/>
      <c r="B896" s="3" t="s">
        <v>26</v>
      </c>
      <c r="C896" s="3" t="s">
        <v>639</v>
      </c>
      <c r="D896" s="3"/>
      <c r="E896" s="3"/>
      <c r="F896" s="3"/>
      <c r="G896" s="3"/>
      <c r="H896" s="3"/>
      <c r="I896" s="3"/>
      <c r="J896" s="3"/>
      <c r="K896" s="4">
        <v>-4932425.6100000003</v>
      </c>
      <c r="L896" s="3" t="s">
        <v>22</v>
      </c>
      <c r="M896" s="3"/>
      <c r="N896" s="4">
        <v>-4932425.6100000003</v>
      </c>
      <c r="O896" s="3" t="s">
        <v>22</v>
      </c>
      <c r="P896" s="3"/>
      <c r="Q896" s="3"/>
    </row>
    <row r="898" spans="1:17" x14ac:dyDescent="0.2">
      <c r="A898" s="1" t="s">
        <v>0</v>
      </c>
      <c r="F898" s="1">
        <v>501170</v>
      </c>
    </row>
    <row r="899" spans="1:17" x14ac:dyDescent="0.2">
      <c r="A899" s="1" t="s">
        <v>1</v>
      </c>
      <c r="F899" s="1" t="s">
        <v>40</v>
      </c>
    </row>
    <row r="901" spans="1:17" x14ac:dyDescent="0.2">
      <c r="A901" s="1" t="s">
        <v>3</v>
      </c>
      <c r="F901" s="1" t="s">
        <v>640</v>
      </c>
    </row>
    <row r="902" spans="1:17" x14ac:dyDescent="0.2">
      <c r="A902" s="1" t="s">
        <v>5</v>
      </c>
      <c r="F902" s="1" t="s">
        <v>282</v>
      </c>
    </row>
    <row r="905" spans="1:17" x14ac:dyDescent="0.2">
      <c r="C905" s="1" t="s">
        <v>6</v>
      </c>
      <c r="D905" s="1" t="s">
        <v>7</v>
      </c>
      <c r="E905" s="1" t="s">
        <v>8</v>
      </c>
      <c r="G905" s="1" t="s">
        <v>9</v>
      </c>
      <c r="H905" s="1" t="s">
        <v>10</v>
      </c>
      <c r="I905" s="1" t="s">
        <v>11</v>
      </c>
      <c r="J905" s="1" t="s">
        <v>12</v>
      </c>
      <c r="K905" s="1" t="s">
        <v>13</v>
      </c>
      <c r="L905" s="1" t="s">
        <v>14</v>
      </c>
      <c r="M905" s="1" t="s">
        <v>15</v>
      </c>
      <c r="N905" s="1" t="s">
        <v>16</v>
      </c>
      <c r="O905" s="1" t="s">
        <v>17</v>
      </c>
      <c r="P905" s="1" t="s">
        <v>18</v>
      </c>
      <c r="Q905" s="1" t="s">
        <v>19</v>
      </c>
    </row>
    <row r="907" spans="1:17" x14ac:dyDescent="0.2">
      <c r="D907" s="1" t="s">
        <v>20</v>
      </c>
      <c r="E907" s="1">
        <v>1400013705</v>
      </c>
      <c r="G907" s="1" t="s">
        <v>57</v>
      </c>
      <c r="I907" s="1" t="s">
        <v>57</v>
      </c>
      <c r="K907" s="2">
        <v>-7783.67</v>
      </c>
      <c r="L907" s="1" t="s">
        <v>22</v>
      </c>
      <c r="N907" s="2">
        <v>-7783.67</v>
      </c>
      <c r="O907" s="1" t="s">
        <v>22</v>
      </c>
      <c r="P907" s="1" t="s">
        <v>641</v>
      </c>
      <c r="Q907" s="1">
        <v>1</v>
      </c>
    </row>
    <row r="909" spans="1:17" x14ac:dyDescent="0.2">
      <c r="B909" s="1" t="s">
        <v>25</v>
      </c>
      <c r="K909" s="2">
        <v>-7783.67</v>
      </c>
      <c r="L909" s="1" t="s">
        <v>22</v>
      </c>
      <c r="N909" s="2">
        <v>-7783.67</v>
      </c>
      <c r="O909" s="1" t="s">
        <v>22</v>
      </c>
    </row>
    <row r="911" spans="1:17" x14ac:dyDescent="0.2">
      <c r="A911" s="3"/>
      <c r="B911" s="3" t="s">
        <v>26</v>
      </c>
      <c r="C911" s="3" t="s">
        <v>642</v>
      </c>
      <c r="D911" s="3"/>
      <c r="E911" s="3"/>
      <c r="F911" s="3"/>
      <c r="G911" s="3"/>
      <c r="H911" s="3"/>
      <c r="I911" s="3"/>
      <c r="J911" s="3"/>
      <c r="K911" s="4">
        <v>-7783.67</v>
      </c>
      <c r="L911" s="3" t="s">
        <v>22</v>
      </c>
      <c r="M911" s="3"/>
      <c r="N911" s="4">
        <v>-7783.67</v>
      </c>
      <c r="O911" s="3" t="s">
        <v>22</v>
      </c>
      <c r="P911" s="3"/>
      <c r="Q911" s="3"/>
    </row>
    <row r="913" spans="1:17" x14ac:dyDescent="0.2">
      <c r="A913" s="1" t="s">
        <v>0</v>
      </c>
      <c r="F913" s="1">
        <v>501173</v>
      </c>
    </row>
    <row r="914" spans="1:17" x14ac:dyDescent="0.2">
      <c r="A914" s="1" t="s">
        <v>1</v>
      </c>
      <c r="F914" s="1" t="s">
        <v>40</v>
      </c>
    </row>
    <row r="916" spans="1:17" x14ac:dyDescent="0.2">
      <c r="A916" s="1" t="s">
        <v>3</v>
      </c>
      <c r="F916" s="1" t="s">
        <v>365</v>
      </c>
    </row>
    <row r="917" spans="1:17" x14ac:dyDescent="0.2">
      <c r="A917" s="1" t="s">
        <v>5</v>
      </c>
      <c r="F917" s="1" t="s">
        <v>643</v>
      </c>
    </row>
    <row r="920" spans="1:17" x14ac:dyDescent="0.2">
      <c r="C920" s="1" t="s">
        <v>6</v>
      </c>
      <c r="D920" s="1" t="s">
        <v>7</v>
      </c>
      <c r="E920" s="1" t="s">
        <v>8</v>
      </c>
      <c r="G920" s="1" t="s">
        <v>9</v>
      </c>
      <c r="H920" s="1" t="s">
        <v>10</v>
      </c>
      <c r="I920" s="1" t="s">
        <v>11</v>
      </c>
      <c r="J920" s="1" t="s">
        <v>12</v>
      </c>
      <c r="K920" s="1" t="s">
        <v>13</v>
      </c>
      <c r="L920" s="1" t="s">
        <v>14</v>
      </c>
      <c r="M920" s="1" t="s">
        <v>15</v>
      </c>
      <c r="N920" s="1" t="s">
        <v>16</v>
      </c>
      <c r="O920" s="1" t="s">
        <v>17</v>
      </c>
      <c r="P920" s="1" t="s">
        <v>18</v>
      </c>
      <c r="Q920" s="1" t="s">
        <v>19</v>
      </c>
    </row>
    <row r="922" spans="1:17" x14ac:dyDescent="0.2">
      <c r="D922" s="1" t="s">
        <v>20</v>
      </c>
      <c r="E922" s="1">
        <v>1400013694</v>
      </c>
      <c r="G922" s="1" t="s">
        <v>46</v>
      </c>
      <c r="I922" s="1" t="s">
        <v>46</v>
      </c>
      <c r="K922" s="2">
        <v>-22761.09</v>
      </c>
      <c r="L922" s="1" t="s">
        <v>22</v>
      </c>
      <c r="N922" s="2">
        <v>-22761.09</v>
      </c>
      <c r="O922" s="1" t="s">
        <v>22</v>
      </c>
      <c r="P922" s="1" t="s">
        <v>644</v>
      </c>
      <c r="Q922" s="1">
        <v>1</v>
      </c>
    </row>
    <row r="924" spans="1:17" x14ac:dyDescent="0.2">
      <c r="B924" s="1" t="s">
        <v>25</v>
      </c>
      <c r="K924" s="2">
        <v>-22761.09</v>
      </c>
      <c r="L924" s="1" t="s">
        <v>22</v>
      </c>
      <c r="N924" s="2">
        <v>-22761.09</v>
      </c>
      <c r="O924" s="1" t="s">
        <v>22</v>
      </c>
    </row>
    <row r="926" spans="1:17" x14ac:dyDescent="0.2">
      <c r="A926" s="3"/>
      <c r="B926" s="3" t="s">
        <v>26</v>
      </c>
      <c r="C926" s="3" t="s">
        <v>645</v>
      </c>
      <c r="D926" s="3"/>
      <c r="E926" s="3"/>
      <c r="F926" s="3"/>
      <c r="G926" s="3"/>
      <c r="H926" s="3"/>
      <c r="I926" s="3"/>
      <c r="J926" s="3"/>
      <c r="K926" s="4">
        <v>-22761.09</v>
      </c>
      <c r="L926" s="3" t="s">
        <v>22</v>
      </c>
      <c r="M926" s="3"/>
      <c r="N926" s="4">
        <v>-22761.09</v>
      </c>
      <c r="O926" s="3" t="s">
        <v>22</v>
      </c>
      <c r="P926" s="3"/>
      <c r="Q926" s="3"/>
    </row>
    <row r="928" spans="1:17" x14ac:dyDescent="0.2">
      <c r="A928" s="1" t="s">
        <v>0</v>
      </c>
      <c r="F928" s="1">
        <v>501174</v>
      </c>
    </row>
    <row r="929" spans="1:17" x14ac:dyDescent="0.2">
      <c r="A929" s="1" t="s">
        <v>1</v>
      </c>
      <c r="F929" s="1" t="s">
        <v>40</v>
      </c>
    </row>
    <row r="931" spans="1:17" x14ac:dyDescent="0.2">
      <c r="A931" s="1" t="s">
        <v>3</v>
      </c>
      <c r="F931" s="1" t="s">
        <v>646</v>
      </c>
    </row>
    <row r="932" spans="1:17" x14ac:dyDescent="0.2">
      <c r="A932" s="1" t="s">
        <v>5</v>
      </c>
    </row>
    <row r="935" spans="1:17" x14ac:dyDescent="0.2">
      <c r="C935" s="1" t="s">
        <v>6</v>
      </c>
      <c r="D935" s="1" t="s">
        <v>7</v>
      </c>
      <c r="E935" s="1" t="s">
        <v>8</v>
      </c>
      <c r="G935" s="1" t="s">
        <v>9</v>
      </c>
      <c r="H935" s="1" t="s">
        <v>10</v>
      </c>
      <c r="I935" s="1" t="s">
        <v>11</v>
      </c>
      <c r="J935" s="1" t="s">
        <v>12</v>
      </c>
      <c r="K935" s="1" t="s">
        <v>13</v>
      </c>
      <c r="L935" s="1" t="s">
        <v>14</v>
      </c>
      <c r="M935" s="1" t="s">
        <v>15</v>
      </c>
      <c r="N935" s="1" t="s">
        <v>16</v>
      </c>
      <c r="O935" s="1" t="s">
        <v>17</v>
      </c>
      <c r="P935" s="1" t="s">
        <v>18</v>
      </c>
      <c r="Q935" s="1" t="s">
        <v>19</v>
      </c>
    </row>
    <row r="937" spans="1:17" x14ac:dyDescent="0.2">
      <c r="D937" s="1" t="s">
        <v>20</v>
      </c>
      <c r="E937" s="1">
        <v>1400013672</v>
      </c>
      <c r="G937" s="1" t="s">
        <v>46</v>
      </c>
      <c r="I937" s="1" t="s">
        <v>46</v>
      </c>
      <c r="K937" s="2">
        <v>-2177.92</v>
      </c>
      <c r="L937" s="1" t="s">
        <v>22</v>
      </c>
      <c r="N937" s="2">
        <v>-2177.92</v>
      </c>
      <c r="O937" s="1" t="s">
        <v>22</v>
      </c>
      <c r="P937" s="1" t="s">
        <v>647</v>
      </c>
      <c r="Q937" s="1">
        <v>1</v>
      </c>
    </row>
    <row r="938" spans="1:17" x14ac:dyDescent="0.2">
      <c r="D938" s="1" t="s">
        <v>20</v>
      </c>
      <c r="E938" s="1">
        <v>1400013673</v>
      </c>
      <c r="G938" s="1" t="s">
        <v>44</v>
      </c>
      <c r="I938" s="1" t="s">
        <v>44</v>
      </c>
      <c r="K938" s="2">
        <v>-54447.18</v>
      </c>
      <c r="L938" s="1" t="s">
        <v>22</v>
      </c>
      <c r="N938" s="2">
        <v>-54447.18</v>
      </c>
      <c r="O938" s="1" t="s">
        <v>22</v>
      </c>
      <c r="P938" s="1" t="s">
        <v>647</v>
      </c>
      <c r="Q938" s="1">
        <v>1</v>
      </c>
    </row>
    <row r="940" spans="1:17" x14ac:dyDescent="0.2">
      <c r="B940" s="1" t="s">
        <v>25</v>
      </c>
      <c r="K940" s="2">
        <v>-56625.1</v>
      </c>
      <c r="L940" s="1" t="s">
        <v>22</v>
      </c>
      <c r="N940" s="2">
        <v>-56625.1</v>
      </c>
      <c r="O940" s="1" t="s">
        <v>22</v>
      </c>
    </row>
    <row r="942" spans="1:17" x14ac:dyDescent="0.2">
      <c r="A942" s="3"/>
      <c r="B942" s="3" t="s">
        <v>26</v>
      </c>
      <c r="C942" s="3" t="s">
        <v>648</v>
      </c>
      <c r="D942" s="3"/>
      <c r="E942" s="3"/>
      <c r="F942" s="3"/>
      <c r="G942" s="3"/>
      <c r="H942" s="3"/>
      <c r="I942" s="3"/>
      <c r="J942" s="3"/>
      <c r="K942" s="4">
        <v>-56625.1</v>
      </c>
      <c r="L942" s="3" t="s">
        <v>22</v>
      </c>
      <c r="M942" s="3"/>
      <c r="N942" s="4">
        <v>-56625.1</v>
      </c>
      <c r="O942" s="3" t="s">
        <v>22</v>
      </c>
      <c r="P942" s="3"/>
      <c r="Q942" s="3"/>
    </row>
    <row r="944" spans="1:17" x14ac:dyDescent="0.2">
      <c r="A944" s="1" t="s">
        <v>0</v>
      </c>
      <c r="F944" s="1">
        <v>501175</v>
      </c>
    </row>
    <row r="945" spans="1:17" x14ac:dyDescent="0.2">
      <c r="A945" s="1" t="s">
        <v>1</v>
      </c>
      <c r="F945" s="1" t="s">
        <v>40</v>
      </c>
    </row>
    <row r="947" spans="1:17" x14ac:dyDescent="0.2">
      <c r="A947" s="1" t="s">
        <v>3</v>
      </c>
      <c r="F947" s="1" t="s">
        <v>207</v>
      </c>
    </row>
    <row r="948" spans="1:17" x14ac:dyDescent="0.2">
      <c r="A948" s="1" t="s">
        <v>5</v>
      </c>
      <c r="F948" s="1" t="s">
        <v>70</v>
      </c>
    </row>
    <row r="951" spans="1:17" x14ac:dyDescent="0.2">
      <c r="C951" s="1" t="s">
        <v>6</v>
      </c>
      <c r="D951" s="1" t="s">
        <v>7</v>
      </c>
      <c r="E951" s="1" t="s">
        <v>8</v>
      </c>
      <c r="G951" s="1" t="s">
        <v>9</v>
      </c>
      <c r="H951" s="1" t="s">
        <v>10</v>
      </c>
      <c r="I951" s="1" t="s">
        <v>11</v>
      </c>
      <c r="J951" s="1" t="s">
        <v>12</v>
      </c>
      <c r="K951" s="1" t="s">
        <v>13</v>
      </c>
      <c r="L951" s="1" t="s">
        <v>14</v>
      </c>
      <c r="M951" s="1" t="s">
        <v>15</v>
      </c>
      <c r="N951" s="1" t="s">
        <v>16</v>
      </c>
      <c r="O951" s="1" t="s">
        <v>17</v>
      </c>
      <c r="P951" s="1" t="s">
        <v>18</v>
      </c>
      <c r="Q951" s="1" t="s">
        <v>19</v>
      </c>
    </row>
    <row r="953" spans="1:17" x14ac:dyDescent="0.2">
      <c r="D953" s="1" t="s">
        <v>20</v>
      </c>
      <c r="E953" s="1">
        <v>1400013751</v>
      </c>
      <c r="G953" s="1" t="s">
        <v>59</v>
      </c>
      <c r="I953" s="1" t="s">
        <v>59</v>
      </c>
      <c r="K953" s="2">
        <v>-200000</v>
      </c>
      <c r="L953" s="1" t="s">
        <v>22</v>
      </c>
      <c r="N953" s="2">
        <v>-200000</v>
      </c>
      <c r="O953" s="1" t="s">
        <v>22</v>
      </c>
      <c r="P953" s="1" t="s">
        <v>649</v>
      </c>
      <c r="Q953" s="1">
        <v>1</v>
      </c>
    </row>
    <row r="954" spans="1:17" x14ac:dyDescent="0.2">
      <c r="D954" s="1" t="s">
        <v>20</v>
      </c>
      <c r="E954" s="1">
        <v>1400013774</v>
      </c>
      <c r="G954" s="1" t="s">
        <v>113</v>
      </c>
      <c r="I954" s="1" t="s">
        <v>113</v>
      </c>
      <c r="K954" s="2">
        <v>-152878.16</v>
      </c>
      <c r="L954" s="1" t="s">
        <v>22</v>
      </c>
      <c r="N954" s="2">
        <v>-152878.16</v>
      </c>
      <c r="O954" s="1" t="s">
        <v>22</v>
      </c>
      <c r="P954" s="1" t="s">
        <v>650</v>
      </c>
      <c r="Q954" s="1">
        <v>1</v>
      </c>
    </row>
    <row r="955" spans="1:17" x14ac:dyDescent="0.2">
      <c r="D955" s="1" t="s">
        <v>20</v>
      </c>
      <c r="E955" s="1">
        <v>1400013905</v>
      </c>
      <c r="G955" s="1" t="s">
        <v>21</v>
      </c>
      <c r="I955" s="1" t="s">
        <v>21</v>
      </c>
      <c r="K955" s="2">
        <v>-60092.5</v>
      </c>
      <c r="L955" s="1" t="s">
        <v>22</v>
      </c>
      <c r="N955" s="2">
        <v>-60092.5</v>
      </c>
      <c r="O955" s="1" t="s">
        <v>22</v>
      </c>
      <c r="P955" s="1" t="s">
        <v>651</v>
      </c>
      <c r="Q955" s="1">
        <v>1</v>
      </c>
    </row>
    <row r="957" spans="1:17" x14ac:dyDescent="0.2">
      <c r="B957" s="1" t="s">
        <v>25</v>
      </c>
      <c r="K957" s="2">
        <v>-412970.66</v>
      </c>
      <c r="L957" s="1" t="s">
        <v>22</v>
      </c>
      <c r="N957" s="2">
        <v>-412970.66</v>
      </c>
      <c r="O957" s="1" t="s">
        <v>22</v>
      </c>
    </row>
    <row r="959" spans="1:17" x14ac:dyDescent="0.2">
      <c r="A959" s="3"/>
      <c r="B959" s="3" t="s">
        <v>26</v>
      </c>
      <c r="C959" s="3" t="s">
        <v>210</v>
      </c>
      <c r="D959" s="3"/>
      <c r="E959" s="3"/>
      <c r="F959" s="3"/>
      <c r="G959" s="3"/>
      <c r="H959" s="3"/>
      <c r="I959" s="3"/>
      <c r="J959" s="3"/>
      <c r="K959" s="4">
        <v>-412970.66</v>
      </c>
      <c r="L959" s="3" t="s">
        <v>22</v>
      </c>
      <c r="M959" s="3"/>
      <c r="N959" s="4">
        <v>-412970.66</v>
      </c>
      <c r="O959" s="3" t="s">
        <v>22</v>
      </c>
      <c r="P959" s="3"/>
      <c r="Q959" s="3"/>
    </row>
    <row r="961" spans="1:17" x14ac:dyDescent="0.2">
      <c r="A961" s="1" t="s">
        <v>0</v>
      </c>
      <c r="F961" s="1">
        <v>501176</v>
      </c>
    </row>
    <row r="962" spans="1:17" x14ac:dyDescent="0.2">
      <c r="A962" s="1" t="s">
        <v>1</v>
      </c>
      <c r="F962" s="1" t="s">
        <v>40</v>
      </c>
    </row>
    <row r="964" spans="1:17" x14ac:dyDescent="0.2">
      <c r="A964" s="1" t="s">
        <v>3</v>
      </c>
      <c r="F964" s="1" t="s">
        <v>652</v>
      </c>
    </row>
    <row r="965" spans="1:17" x14ac:dyDescent="0.2">
      <c r="A965" s="1" t="s">
        <v>5</v>
      </c>
      <c r="F965" s="1" t="s">
        <v>479</v>
      </c>
    </row>
    <row r="968" spans="1:17" x14ac:dyDescent="0.2">
      <c r="C968" s="1" t="s">
        <v>6</v>
      </c>
      <c r="D968" s="1" t="s">
        <v>7</v>
      </c>
      <c r="E968" s="1" t="s">
        <v>8</v>
      </c>
      <c r="G968" s="1" t="s">
        <v>9</v>
      </c>
      <c r="H968" s="1" t="s">
        <v>10</v>
      </c>
      <c r="I968" s="1" t="s">
        <v>11</v>
      </c>
      <c r="J968" s="1" t="s">
        <v>12</v>
      </c>
      <c r="K968" s="1" t="s">
        <v>13</v>
      </c>
      <c r="L968" s="1" t="s">
        <v>14</v>
      </c>
      <c r="M968" s="1" t="s">
        <v>15</v>
      </c>
      <c r="N968" s="1" t="s">
        <v>16</v>
      </c>
      <c r="O968" s="1" t="s">
        <v>17</v>
      </c>
      <c r="P968" s="1" t="s">
        <v>18</v>
      </c>
      <c r="Q968" s="1" t="s">
        <v>19</v>
      </c>
    </row>
    <row r="970" spans="1:17" x14ac:dyDescent="0.2">
      <c r="D970" s="1" t="s">
        <v>20</v>
      </c>
      <c r="E970" s="1">
        <v>1400013669</v>
      </c>
      <c r="G970" s="1" t="s">
        <v>162</v>
      </c>
      <c r="I970" s="1" t="s">
        <v>162</v>
      </c>
      <c r="K970" s="2">
        <v>-41587.660000000003</v>
      </c>
      <c r="L970" s="1" t="s">
        <v>22</v>
      </c>
      <c r="N970" s="2">
        <v>-41587.660000000003</v>
      </c>
      <c r="O970" s="1" t="s">
        <v>22</v>
      </c>
      <c r="P970" s="1" t="s">
        <v>653</v>
      </c>
      <c r="Q970" s="1">
        <v>1</v>
      </c>
    </row>
    <row r="972" spans="1:17" x14ac:dyDescent="0.2">
      <c r="B972" s="1" t="s">
        <v>25</v>
      </c>
      <c r="K972" s="2">
        <v>-41587.660000000003</v>
      </c>
      <c r="L972" s="1" t="s">
        <v>22</v>
      </c>
      <c r="N972" s="2">
        <v>-41587.660000000003</v>
      </c>
      <c r="O972" s="1" t="s">
        <v>22</v>
      </c>
    </row>
    <row r="974" spans="1:17" x14ac:dyDescent="0.2">
      <c r="A974" s="3"/>
      <c r="B974" s="3" t="s">
        <v>26</v>
      </c>
      <c r="C974" s="3" t="s">
        <v>654</v>
      </c>
      <c r="D974" s="3"/>
      <c r="E974" s="3"/>
      <c r="F974" s="3"/>
      <c r="G974" s="3"/>
      <c r="H974" s="3"/>
      <c r="I974" s="3"/>
      <c r="J974" s="3"/>
      <c r="K974" s="4">
        <v>-41587.660000000003</v>
      </c>
      <c r="L974" s="3" t="s">
        <v>22</v>
      </c>
      <c r="M974" s="3"/>
      <c r="N974" s="4">
        <v>-41587.660000000003</v>
      </c>
      <c r="O974" s="3" t="s">
        <v>22</v>
      </c>
      <c r="P974" s="3"/>
      <c r="Q974" s="3"/>
    </row>
    <row r="976" spans="1:17" x14ac:dyDescent="0.2">
      <c r="A976" s="1" t="s">
        <v>0</v>
      </c>
      <c r="F976" s="1">
        <v>501178</v>
      </c>
    </row>
    <row r="977" spans="1:17" x14ac:dyDescent="0.2">
      <c r="A977" s="1" t="s">
        <v>1</v>
      </c>
      <c r="F977" s="1" t="s">
        <v>40</v>
      </c>
    </row>
    <row r="979" spans="1:17" x14ac:dyDescent="0.2">
      <c r="A979" s="1" t="s">
        <v>3</v>
      </c>
      <c r="F979" s="1" t="s">
        <v>655</v>
      </c>
    </row>
    <row r="980" spans="1:17" x14ac:dyDescent="0.2">
      <c r="A980" s="1" t="s">
        <v>5</v>
      </c>
      <c r="F980" s="1" t="s">
        <v>656</v>
      </c>
    </row>
    <row r="983" spans="1:17" x14ac:dyDescent="0.2">
      <c r="C983" s="1" t="s">
        <v>6</v>
      </c>
      <c r="D983" s="1" t="s">
        <v>7</v>
      </c>
      <c r="E983" s="1" t="s">
        <v>8</v>
      </c>
      <c r="G983" s="1" t="s">
        <v>9</v>
      </c>
      <c r="H983" s="1" t="s">
        <v>10</v>
      </c>
      <c r="I983" s="1" t="s">
        <v>11</v>
      </c>
      <c r="J983" s="1" t="s">
        <v>12</v>
      </c>
      <c r="K983" s="1" t="s">
        <v>13</v>
      </c>
      <c r="L983" s="1" t="s">
        <v>14</v>
      </c>
      <c r="M983" s="1" t="s">
        <v>15</v>
      </c>
      <c r="N983" s="1" t="s">
        <v>16</v>
      </c>
      <c r="O983" s="1" t="s">
        <v>17</v>
      </c>
      <c r="P983" s="1" t="s">
        <v>18</v>
      </c>
      <c r="Q983" s="1" t="s">
        <v>19</v>
      </c>
    </row>
    <row r="985" spans="1:17" x14ac:dyDescent="0.2">
      <c r="D985" s="1" t="s">
        <v>20</v>
      </c>
      <c r="E985" s="1">
        <v>1400013843</v>
      </c>
      <c r="G985" s="1" t="s">
        <v>113</v>
      </c>
      <c r="I985" s="1" t="s">
        <v>113</v>
      </c>
      <c r="K985" s="2">
        <v>-194117.55</v>
      </c>
      <c r="L985" s="1" t="s">
        <v>22</v>
      </c>
      <c r="N985" s="2">
        <v>-47618.68</v>
      </c>
      <c r="O985" s="1" t="s">
        <v>31</v>
      </c>
      <c r="P985" s="1" t="s">
        <v>657</v>
      </c>
      <c r="Q985" s="1">
        <v>4.0765000000000002</v>
      </c>
    </row>
    <row r="987" spans="1:17" x14ac:dyDescent="0.2">
      <c r="B987" s="1" t="s">
        <v>25</v>
      </c>
      <c r="K987" s="2">
        <v>-194117.55</v>
      </c>
      <c r="L987" s="1" t="s">
        <v>22</v>
      </c>
      <c r="N987" s="2">
        <v>-47618.68</v>
      </c>
      <c r="O987" s="1" t="s">
        <v>31</v>
      </c>
    </row>
    <row r="989" spans="1:17" x14ac:dyDescent="0.2">
      <c r="A989" s="3"/>
      <c r="B989" s="3" t="s">
        <v>26</v>
      </c>
      <c r="C989" s="3" t="s">
        <v>658</v>
      </c>
      <c r="D989" s="3"/>
      <c r="E989" s="3"/>
      <c r="F989" s="3"/>
      <c r="G989" s="3"/>
      <c r="H989" s="3"/>
      <c r="I989" s="3"/>
      <c r="J989" s="3"/>
      <c r="K989" s="4">
        <v>-194117.55</v>
      </c>
      <c r="L989" s="3" t="s">
        <v>22</v>
      </c>
      <c r="M989" s="3"/>
      <c r="N989" s="4">
        <v>-47618.68</v>
      </c>
      <c r="O989" s="3" t="s">
        <v>31</v>
      </c>
      <c r="P989" s="3"/>
      <c r="Q989" s="3"/>
    </row>
    <row r="991" spans="1:17" x14ac:dyDescent="0.2">
      <c r="A991" s="1" t="s">
        <v>0</v>
      </c>
      <c r="F991" s="1">
        <v>501179</v>
      </c>
    </row>
    <row r="992" spans="1:17" x14ac:dyDescent="0.2">
      <c r="A992" s="1" t="s">
        <v>1</v>
      </c>
      <c r="F992" s="1" t="s">
        <v>40</v>
      </c>
    </row>
    <row r="994" spans="1:17" x14ac:dyDescent="0.2">
      <c r="A994" s="1" t="s">
        <v>3</v>
      </c>
      <c r="F994" s="1" t="s">
        <v>655</v>
      </c>
    </row>
    <row r="995" spans="1:17" x14ac:dyDescent="0.2">
      <c r="A995" s="1" t="s">
        <v>5</v>
      </c>
      <c r="F995" s="1" t="s">
        <v>282</v>
      </c>
    </row>
    <row r="998" spans="1:17" x14ac:dyDescent="0.2">
      <c r="C998" s="1" t="s">
        <v>6</v>
      </c>
      <c r="D998" s="1" t="s">
        <v>7</v>
      </c>
      <c r="E998" s="1" t="s">
        <v>8</v>
      </c>
      <c r="G998" s="1" t="s">
        <v>9</v>
      </c>
      <c r="H998" s="1" t="s">
        <v>10</v>
      </c>
      <c r="I998" s="1" t="s">
        <v>11</v>
      </c>
      <c r="J998" s="1" t="s">
        <v>12</v>
      </c>
      <c r="K998" s="1" t="s">
        <v>13</v>
      </c>
      <c r="L998" s="1" t="s">
        <v>14</v>
      </c>
      <c r="M998" s="1" t="s">
        <v>15</v>
      </c>
      <c r="N998" s="1" t="s">
        <v>16</v>
      </c>
      <c r="O998" s="1" t="s">
        <v>17</v>
      </c>
      <c r="P998" s="1" t="s">
        <v>18</v>
      </c>
      <c r="Q998" s="1" t="s">
        <v>19</v>
      </c>
    </row>
    <row r="1000" spans="1:17" x14ac:dyDescent="0.2">
      <c r="D1000" s="1" t="s">
        <v>20</v>
      </c>
      <c r="E1000" s="1">
        <v>1400013843</v>
      </c>
      <c r="G1000" s="1" t="s">
        <v>113</v>
      </c>
      <c r="I1000" s="1" t="s">
        <v>113</v>
      </c>
      <c r="K1000" s="2">
        <v>-116708.36</v>
      </c>
      <c r="L1000" s="1" t="s">
        <v>22</v>
      </c>
      <c r="N1000" s="2">
        <v>-28629.55</v>
      </c>
      <c r="O1000" s="1" t="s">
        <v>31</v>
      </c>
      <c r="P1000" s="1" t="s">
        <v>659</v>
      </c>
      <c r="Q1000" s="1">
        <v>4.0765000000000002</v>
      </c>
    </row>
    <row r="1002" spans="1:17" x14ac:dyDescent="0.2">
      <c r="B1002" s="1" t="s">
        <v>25</v>
      </c>
      <c r="K1002" s="2">
        <v>-116708.36</v>
      </c>
      <c r="L1002" s="1" t="s">
        <v>22</v>
      </c>
      <c r="N1002" s="2">
        <v>-28629.55</v>
      </c>
      <c r="O1002" s="1" t="s">
        <v>31</v>
      </c>
    </row>
    <row r="1004" spans="1:17" x14ac:dyDescent="0.2">
      <c r="A1004" s="3"/>
      <c r="B1004" s="3" t="s">
        <v>26</v>
      </c>
      <c r="C1004" s="3" t="s">
        <v>660</v>
      </c>
      <c r="D1004" s="3"/>
      <c r="E1004" s="3"/>
      <c r="F1004" s="3"/>
      <c r="G1004" s="3"/>
      <c r="H1004" s="3"/>
      <c r="I1004" s="3"/>
      <c r="J1004" s="3"/>
      <c r="K1004" s="4">
        <v>-116708.36</v>
      </c>
      <c r="L1004" s="3" t="s">
        <v>22</v>
      </c>
      <c r="M1004" s="3"/>
      <c r="N1004" s="4">
        <v>-28629.55</v>
      </c>
      <c r="O1004" s="3" t="s">
        <v>31</v>
      </c>
      <c r="P1004" s="3"/>
      <c r="Q1004" s="3"/>
    </row>
    <row r="1006" spans="1:17" x14ac:dyDescent="0.2">
      <c r="A1006" s="1" t="s">
        <v>0</v>
      </c>
      <c r="F1006" s="1">
        <v>501180</v>
      </c>
    </row>
    <row r="1007" spans="1:17" x14ac:dyDescent="0.2">
      <c r="A1007" s="1" t="s">
        <v>1</v>
      </c>
      <c r="F1007" s="1" t="s">
        <v>40</v>
      </c>
    </row>
    <row r="1009" spans="1:17" x14ac:dyDescent="0.2">
      <c r="A1009" s="1" t="s">
        <v>3</v>
      </c>
      <c r="F1009" s="1" t="s">
        <v>661</v>
      </c>
    </row>
    <row r="1010" spans="1:17" x14ac:dyDescent="0.2">
      <c r="A1010" s="1" t="s">
        <v>5</v>
      </c>
    </row>
    <row r="1013" spans="1:17" x14ac:dyDescent="0.2">
      <c r="C1013" s="1" t="s">
        <v>6</v>
      </c>
      <c r="D1013" s="1" t="s">
        <v>7</v>
      </c>
      <c r="E1013" s="1" t="s">
        <v>8</v>
      </c>
      <c r="G1013" s="1" t="s">
        <v>9</v>
      </c>
      <c r="H1013" s="1" t="s">
        <v>10</v>
      </c>
      <c r="I1013" s="1" t="s">
        <v>11</v>
      </c>
      <c r="J1013" s="1" t="s">
        <v>12</v>
      </c>
      <c r="K1013" s="1" t="s">
        <v>13</v>
      </c>
      <c r="L1013" s="1" t="s">
        <v>14</v>
      </c>
      <c r="M1013" s="1" t="s">
        <v>15</v>
      </c>
      <c r="N1013" s="1" t="s">
        <v>16</v>
      </c>
      <c r="O1013" s="1" t="s">
        <v>17</v>
      </c>
      <c r="P1013" s="1" t="s">
        <v>18</v>
      </c>
      <c r="Q1013" s="1" t="s">
        <v>19</v>
      </c>
    </row>
    <row r="1015" spans="1:17" x14ac:dyDescent="0.2">
      <c r="D1015" s="1" t="s">
        <v>20</v>
      </c>
      <c r="E1015" s="1">
        <v>1400013796</v>
      </c>
      <c r="G1015" s="1" t="s">
        <v>48</v>
      </c>
      <c r="I1015" s="1" t="s">
        <v>48</v>
      </c>
      <c r="K1015" s="2">
        <v>-78806.05</v>
      </c>
      <c r="L1015" s="1" t="s">
        <v>22</v>
      </c>
      <c r="N1015" s="2">
        <v>-78806.05</v>
      </c>
      <c r="O1015" s="1" t="s">
        <v>22</v>
      </c>
      <c r="P1015" s="1" t="s">
        <v>662</v>
      </c>
      <c r="Q1015" s="1">
        <v>1</v>
      </c>
    </row>
    <row r="1017" spans="1:17" x14ac:dyDescent="0.2">
      <c r="B1017" s="1" t="s">
        <v>25</v>
      </c>
      <c r="K1017" s="2">
        <v>-78806.05</v>
      </c>
      <c r="L1017" s="1" t="s">
        <v>22</v>
      </c>
      <c r="N1017" s="2">
        <v>-78806.05</v>
      </c>
      <c r="O1017" s="1" t="s">
        <v>22</v>
      </c>
    </row>
    <row r="1019" spans="1:17" x14ac:dyDescent="0.2">
      <c r="A1019" s="3"/>
      <c r="B1019" s="3" t="s">
        <v>26</v>
      </c>
      <c r="C1019" s="3" t="s">
        <v>663</v>
      </c>
      <c r="D1019" s="3"/>
      <c r="E1019" s="3"/>
      <c r="F1019" s="3"/>
      <c r="G1019" s="3"/>
      <c r="H1019" s="3"/>
      <c r="I1019" s="3"/>
      <c r="J1019" s="3"/>
      <c r="K1019" s="4">
        <v>-78806.05</v>
      </c>
      <c r="L1019" s="3" t="s">
        <v>22</v>
      </c>
      <c r="M1019" s="3"/>
      <c r="N1019" s="4">
        <v>-78806.05</v>
      </c>
      <c r="O1019" s="3" t="s">
        <v>22</v>
      </c>
      <c r="P1019" s="3"/>
      <c r="Q1019" s="3"/>
    </row>
    <row r="1021" spans="1:17" x14ac:dyDescent="0.2">
      <c r="A1021" s="1" t="s">
        <v>0</v>
      </c>
      <c r="F1021" s="1">
        <v>501181</v>
      </c>
    </row>
    <row r="1022" spans="1:17" x14ac:dyDescent="0.2">
      <c r="A1022" s="1" t="s">
        <v>1</v>
      </c>
      <c r="F1022" s="1" t="s">
        <v>40</v>
      </c>
    </row>
    <row r="1024" spans="1:17" x14ac:dyDescent="0.2">
      <c r="A1024" s="1" t="s">
        <v>3</v>
      </c>
      <c r="F1024" s="1" t="s">
        <v>211</v>
      </c>
    </row>
    <row r="1025" spans="1:17" x14ac:dyDescent="0.2">
      <c r="A1025" s="1" t="s">
        <v>5</v>
      </c>
      <c r="F1025" s="1" t="s">
        <v>108</v>
      </c>
    </row>
    <row r="1028" spans="1:17" x14ac:dyDescent="0.2">
      <c r="C1028" s="1" t="s">
        <v>6</v>
      </c>
      <c r="D1028" s="1" t="s">
        <v>7</v>
      </c>
      <c r="E1028" s="1" t="s">
        <v>8</v>
      </c>
      <c r="G1028" s="1" t="s">
        <v>9</v>
      </c>
      <c r="H1028" s="1" t="s">
        <v>10</v>
      </c>
      <c r="I1028" s="1" t="s">
        <v>11</v>
      </c>
      <c r="J1028" s="1" t="s">
        <v>12</v>
      </c>
      <c r="K1028" s="1" t="s">
        <v>13</v>
      </c>
      <c r="L1028" s="1" t="s">
        <v>14</v>
      </c>
      <c r="M1028" s="1" t="s">
        <v>15</v>
      </c>
      <c r="N1028" s="1" t="s">
        <v>16</v>
      </c>
      <c r="O1028" s="1" t="s">
        <v>17</v>
      </c>
      <c r="P1028" s="1" t="s">
        <v>18</v>
      </c>
      <c r="Q1028" s="1" t="s">
        <v>19</v>
      </c>
    </row>
    <row r="1030" spans="1:17" x14ac:dyDescent="0.2">
      <c r="D1030" s="1" t="s">
        <v>20</v>
      </c>
      <c r="E1030" s="1">
        <v>1400013691</v>
      </c>
      <c r="G1030" s="1" t="s">
        <v>123</v>
      </c>
      <c r="I1030" s="1" t="s">
        <v>123</v>
      </c>
      <c r="K1030" s="2">
        <v>-82543</v>
      </c>
      <c r="L1030" s="1" t="s">
        <v>22</v>
      </c>
      <c r="N1030" s="2">
        <v>-82543</v>
      </c>
      <c r="O1030" s="1" t="s">
        <v>22</v>
      </c>
      <c r="P1030" s="1" t="s">
        <v>664</v>
      </c>
      <c r="Q1030" s="1">
        <v>1</v>
      </c>
    </row>
    <row r="1031" spans="1:17" x14ac:dyDescent="0.2">
      <c r="D1031" s="1" t="s">
        <v>20</v>
      </c>
      <c r="E1031" s="1">
        <v>1400013691</v>
      </c>
      <c r="G1031" s="1" t="s">
        <v>123</v>
      </c>
      <c r="I1031" s="1" t="s">
        <v>123</v>
      </c>
      <c r="K1031" s="2">
        <v>-689356.92</v>
      </c>
      <c r="L1031" s="1" t="s">
        <v>22</v>
      </c>
      <c r="N1031" s="2">
        <v>-689356.92</v>
      </c>
      <c r="O1031" s="1" t="s">
        <v>22</v>
      </c>
      <c r="P1031" s="1" t="s">
        <v>665</v>
      </c>
      <c r="Q1031" s="1">
        <v>1</v>
      </c>
    </row>
    <row r="1032" spans="1:17" x14ac:dyDescent="0.2">
      <c r="D1032" s="1" t="s">
        <v>20</v>
      </c>
      <c r="E1032" s="1">
        <v>1400013691</v>
      </c>
      <c r="G1032" s="1" t="s">
        <v>123</v>
      </c>
      <c r="I1032" s="1" t="s">
        <v>123</v>
      </c>
      <c r="K1032" s="2">
        <v>-65238.3</v>
      </c>
      <c r="L1032" s="1" t="s">
        <v>22</v>
      </c>
      <c r="N1032" s="2">
        <v>-65238.3</v>
      </c>
      <c r="O1032" s="1" t="s">
        <v>22</v>
      </c>
      <c r="P1032" s="1" t="s">
        <v>666</v>
      </c>
      <c r="Q1032" s="1">
        <v>1</v>
      </c>
    </row>
    <row r="1033" spans="1:17" x14ac:dyDescent="0.2">
      <c r="D1033" s="1" t="s">
        <v>20</v>
      </c>
      <c r="E1033" s="1">
        <v>1400013727</v>
      </c>
      <c r="G1033" s="1" t="s">
        <v>46</v>
      </c>
      <c r="I1033" s="1" t="s">
        <v>46</v>
      </c>
      <c r="K1033" s="2">
        <v>-111921.23</v>
      </c>
      <c r="L1033" s="1" t="s">
        <v>22</v>
      </c>
      <c r="N1033" s="2">
        <v>-111921.23</v>
      </c>
      <c r="O1033" s="1" t="s">
        <v>22</v>
      </c>
      <c r="P1033" s="1" t="s">
        <v>667</v>
      </c>
      <c r="Q1033" s="1">
        <v>1</v>
      </c>
    </row>
    <row r="1034" spans="1:17" x14ac:dyDescent="0.2">
      <c r="D1034" s="1" t="s">
        <v>20</v>
      </c>
      <c r="E1034" s="1">
        <v>1400013727</v>
      </c>
      <c r="G1034" s="1" t="s">
        <v>46</v>
      </c>
      <c r="I1034" s="1" t="s">
        <v>46</v>
      </c>
      <c r="K1034" s="2">
        <v>-109356.82</v>
      </c>
      <c r="L1034" s="1" t="s">
        <v>22</v>
      </c>
      <c r="N1034" s="2">
        <v>-109356.82</v>
      </c>
      <c r="O1034" s="1" t="s">
        <v>22</v>
      </c>
      <c r="P1034" s="1" t="s">
        <v>668</v>
      </c>
      <c r="Q1034" s="1">
        <v>1</v>
      </c>
    </row>
    <row r="1035" spans="1:17" x14ac:dyDescent="0.2">
      <c r="D1035" s="1" t="s">
        <v>20</v>
      </c>
      <c r="E1035" s="1">
        <v>1400013727</v>
      </c>
      <c r="G1035" s="1" t="s">
        <v>46</v>
      </c>
      <c r="I1035" s="1" t="s">
        <v>46</v>
      </c>
      <c r="K1035" s="2">
        <v>-408956.4</v>
      </c>
      <c r="L1035" s="1" t="s">
        <v>22</v>
      </c>
      <c r="N1035" s="2">
        <v>-408956.4</v>
      </c>
      <c r="O1035" s="1" t="s">
        <v>22</v>
      </c>
      <c r="P1035" s="1" t="s">
        <v>669</v>
      </c>
      <c r="Q1035" s="1">
        <v>1</v>
      </c>
    </row>
    <row r="1036" spans="1:17" x14ac:dyDescent="0.2">
      <c r="D1036" s="1" t="s">
        <v>20</v>
      </c>
      <c r="E1036" s="1">
        <v>1400013727</v>
      </c>
      <c r="G1036" s="1" t="s">
        <v>46</v>
      </c>
      <c r="I1036" s="1" t="s">
        <v>46</v>
      </c>
      <c r="K1036" s="2">
        <v>-291455.93</v>
      </c>
      <c r="L1036" s="1" t="s">
        <v>22</v>
      </c>
      <c r="N1036" s="2">
        <v>-291455.93</v>
      </c>
      <c r="O1036" s="1" t="s">
        <v>22</v>
      </c>
      <c r="P1036" s="1" t="s">
        <v>670</v>
      </c>
      <c r="Q1036" s="1">
        <v>1</v>
      </c>
    </row>
    <row r="1037" spans="1:17" x14ac:dyDescent="0.2">
      <c r="D1037" s="1" t="s">
        <v>20</v>
      </c>
      <c r="E1037" s="1">
        <v>1400013730</v>
      </c>
      <c r="G1037" s="1" t="s">
        <v>162</v>
      </c>
      <c r="I1037" s="1" t="s">
        <v>162</v>
      </c>
      <c r="K1037" s="2">
        <v>-1502.07</v>
      </c>
      <c r="L1037" s="1" t="s">
        <v>22</v>
      </c>
      <c r="N1037" s="2">
        <v>-1502.07</v>
      </c>
      <c r="O1037" s="1" t="s">
        <v>22</v>
      </c>
      <c r="P1037" s="1" t="s">
        <v>667</v>
      </c>
      <c r="Q1037" s="1">
        <v>1</v>
      </c>
    </row>
    <row r="1038" spans="1:17" x14ac:dyDescent="0.2">
      <c r="D1038" s="1" t="s">
        <v>20</v>
      </c>
      <c r="E1038" s="1">
        <v>1400013778</v>
      </c>
      <c r="G1038" s="1" t="s">
        <v>90</v>
      </c>
      <c r="I1038" s="1" t="s">
        <v>90</v>
      </c>
      <c r="K1038" s="2">
        <v>-1170718</v>
      </c>
      <c r="L1038" s="1" t="s">
        <v>22</v>
      </c>
      <c r="N1038" s="2">
        <v>-1170718</v>
      </c>
      <c r="O1038" s="1" t="s">
        <v>22</v>
      </c>
      <c r="P1038" s="1" t="s">
        <v>671</v>
      </c>
      <c r="Q1038" s="1">
        <v>1</v>
      </c>
    </row>
    <row r="1039" spans="1:17" x14ac:dyDescent="0.2">
      <c r="D1039" s="1" t="s">
        <v>20</v>
      </c>
      <c r="E1039" s="1">
        <v>1400013878</v>
      </c>
      <c r="G1039" s="1" t="s">
        <v>66</v>
      </c>
      <c r="I1039" s="1" t="s">
        <v>66</v>
      </c>
      <c r="K1039" s="2">
        <v>-133687.20000000001</v>
      </c>
      <c r="L1039" s="1" t="s">
        <v>22</v>
      </c>
      <c r="N1039" s="2">
        <v>-133687.20000000001</v>
      </c>
      <c r="O1039" s="1" t="s">
        <v>22</v>
      </c>
      <c r="P1039" s="1" t="s">
        <v>672</v>
      </c>
      <c r="Q1039" s="1">
        <v>1</v>
      </c>
    </row>
    <row r="1041" spans="1:17" x14ac:dyDescent="0.2">
      <c r="B1041" s="1" t="s">
        <v>25</v>
      </c>
      <c r="K1041" s="2">
        <v>-3064735.87</v>
      </c>
      <c r="L1041" s="1" t="s">
        <v>22</v>
      </c>
      <c r="N1041" s="2">
        <v>-3064735.87</v>
      </c>
      <c r="O1041" s="1" t="s">
        <v>22</v>
      </c>
    </row>
    <row r="1043" spans="1:17" x14ac:dyDescent="0.2">
      <c r="A1043" s="3"/>
      <c r="B1043" s="3" t="s">
        <v>26</v>
      </c>
      <c r="C1043" s="3" t="s">
        <v>217</v>
      </c>
      <c r="D1043" s="3"/>
      <c r="E1043" s="3"/>
      <c r="F1043" s="3"/>
      <c r="G1043" s="3"/>
      <c r="H1043" s="3"/>
      <c r="I1043" s="3"/>
      <c r="J1043" s="3"/>
      <c r="K1043" s="4">
        <v>-3064735.87</v>
      </c>
      <c r="L1043" s="3" t="s">
        <v>22</v>
      </c>
      <c r="M1043" s="3"/>
      <c r="N1043" s="4">
        <v>-3064735.87</v>
      </c>
      <c r="O1043" s="3" t="s">
        <v>22</v>
      </c>
      <c r="P1043" s="3"/>
      <c r="Q1043" s="3"/>
    </row>
    <row r="1045" spans="1:17" x14ac:dyDescent="0.2">
      <c r="A1045" s="1" t="s">
        <v>0</v>
      </c>
      <c r="F1045" s="1">
        <v>501182</v>
      </c>
    </row>
    <row r="1046" spans="1:17" x14ac:dyDescent="0.2">
      <c r="A1046" s="1" t="s">
        <v>1</v>
      </c>
      <c r="F1046" s="1" t="s">
        <v>40</v>
      </c>
    </row>
    <row r="1048" spans="1:17" x14ac:dyDescent="0.2">
      <c r="A1048" s="1" t="s">
        <v>3</v>
      </c>
      <c r="F1048" s="1" t="s">
        <v>673</v>
      </c>
    </row>
    <row r="1049" spans="1:17" x14ac:dyDescent="0.2">
      <c r="A1049" s="1" t="s">
        <v>5</v>
      </c>
      <c r="F1049" s="1" t="s">
        <v>282</v>
      </c>
    </row>
    <row r="1052" spans="1:17" x14ac:dyDescent="0.2">
      <c r="C1052" s="1" t="s">
        <v>6</v>
      </c>
      <c r="D1052" s="1" t="s">
        <v>7</v>
      </c>
      <c r="E1052" s="1" t="s">
        <v>8</v>
      </c>
      <c r="G1052" s="1" t="s">
        <v>9</v>
      </c>
      <c r="H1052" s="1" t="s">
        <v>10</v>
      </c>
      <c r="I1052" s="1" t="s">
        <v>11</v>
      </c>
      <c r="J1052" s="1" t="s">
        <v>12</v>
      </c>
      <c r="K1052" s="1" t="s">
        <v>13</v>
      </c>
      <c r="L1052" s="1" t="s">
        <v>14</v>
      </c>
      <c r="M1052" s="1" t="s">
        <v>15</v>
      </c>
      <c r="N1052" s="1" t="s">
        <v>16</v>
      </c>
      <c r="O1052" s="1" t="s">
        <v>17</v>
      </c>
      <c r="P1052" s="1" t="s">
        <v>18</v>
      </c>
      <c r="Q1052" s="1" t="s">
        <v>19</v>
      </c>
    </row>
    <row r="1054" spans="1:17" x14ac:dyDescent="0.2">
      <c r="D1054" s="1" t="s">
        <v>20</v>
      </c>
      <c r="E1054" s="1">
        <v>1400013882</v>
      </c>
      <c r="G1054" s="1" t="s">
        <v>64</v>
      </c>
      <c r="I1054" s="1" t="s">
        <v>64</v>
      </c>
      <c r="K1054" s="2">
        <v>-58355.96</v>
      </c>
      <c r="L1054" s="1" t="s">
        <v>22</v>
      </c>
      <c r="N1054" s="2">
        <v>-58355.96</v>
      </c>
      <c r="O1054" s="1" t="s">
        <v>22</v>
      </c>
      <c r="P1054" s="1" t="s">
        <v>674</v>
      </c>
      <c r="Q1054" s="1">
        <v>1</v>
      </c>
    </row>
    <row r="1056" spans="1:17" x14ac:dyDescent="0.2">
      <c r="B1056" s="1" t="s">
        <v>25</v>
      </c>
      <c r="K1056" s="2">
        <v>-58355.96</v>
      </c>
      <c r="L1056" s="1" t="s">
        <v>22</v>
      </c>
      <c r="N1056" s="2">
        <v>-58355.96</v>
      </c>
      <c r="O1056" s="1" t="s">
        <v>22</v>
      </c>
    </row>
    <row r="1058" spans="1:17" x14ac:dyDescent="0.2">
      <c r="A1058" s="3"/>
      <c r="B1058" s="3" t="s">
        <v>26</v>
      </c>
      <c r="C1058" s="3" t="s">
        <v>675</v>
      </c>
      <c r="D1058" s="3"/>
      <c r="E1058" s="3"/>
      <c r="F1058" s="3"/>
      <c r="G1058" s="3"/>
      <c r="H1058" s="3"/>
      <c r="I1058" s="3"/>
      <c r="J1058" s="3"/>
      <c r="K1058" s="4">
        <v>-58355.96</v>
      </c>
      <c r="L1058" s="3" t="s">
        <v>22</v>
      </c>
      <c r="M1058" s="3"/>
      <c r="N1058" s="4">
        <v>-58355.96</v>
      </c>
      <c r="O1058" s="3" t="s">
        <v>22</v>
      </c>
      <c r="P1058" s="3"/>
      <c r="Q1058" s="3"/>
    </row>
    <row r="1060" spans="1:17" x14ac:dyDescent="0.2">
      <c r="A1060" s="1" t="s">
        <v>0</v>
      </c>
      <c r="F1060" s="1">
        <v>501184</v>
      </c>
    </row>
    <row r="1061" spans="1:17" x14ac:dyDescent="0.2">
      <c r="A1061" s="1" t="s">
        <v>1</v>
      </c>
      <c r="F1061" s="1" t="s">
        <v>40</v>
      </c>
    </row>
    <row r="1063" spans="1:17" x14ac:dyDescent="0.2">
      <c r="A1063" s="1" t="s">
        <v>3</v>
      </c>
      <c r="F1063" s="1" t="s">
        <v>218</v>
      </c>
    </row>
    <row r="1064" spans="1:17" x14ac:dyDescent="0.2">
      <c r="A1064" s="1" t="s">
        <v>5</v>
      </c>
      <c r="F1064" s="1" t="s">
        <v>204</v>
      </c>
    </row>
    <row r="1067" spans="1:17" x14ac:dyDescent="0.2">
      <c r="C1067" s="1" t="s">
        <v>6</v>
      </c>
      <c r="D1067" s="1" t="s">
        <v>7</v>
      </c>
      <c r="E1067" s="1" t="s">
        <v>8</v>
      </c>
      <c r="G1067" s="1" t="s">
        <v>9</v>
      </c>
      <c r="H1067" s="1" t="s">
        <v>10</v>
      </c>
      <c r="I1067" s="1" t="s">
        <v>11</v>
      </c>
      <c r="J1067" s="1" t="s">
        <v>12</v>
      </c>
      <c r="K1067" s="1" t="s">
        <v>13</v>
      </c>
      <c r="L1067" s="1" t="s">
        <v>14</v>
      </c>
      <c r="M1067" s="1" t="s">
        <v>15</v>
      </c>
      <c r="N1067" s="1" t="s">
        <v>16</v>
      </c>
      <c r="O1067" s="1" t="s">
        <v>17</v>
      </c>
      <c r="P1067" s="1" t="s">
        <v>18</v>
      </c>
      <c r="Q1067" s="1" t="s">
        <v>19</v>
      </c>
    </row>
    <row r="1069" spans="1:17" x14ac:dyDescent="0.2">
      <c r="D1069" s="1" t="s">
        <v>20</v>
      </c>
      <c r="E1069" s="1">
        <v>103327755</v>
      </c>
      <c r="G1069" s="1" t="s">
        <v>30</v>
      </c>
      <c r="I1069" s="1" t="s">
        <v>30</v>
      </c>
      <c r="K1069" s="2">
        <v>-568058.92000000004</v>
      </c>
      <c r="L1069" s="1" t="s">
        <v>22</v>
      </c>
      <c r="N1069" s="2">
        <v>-568058.92000000004</v>
      </c>
      <c r="O1069" s="1" t="s">
        <v>22</v>
      </c>
      <c r="P1069" s="1" t="s">
        <v>676</v>
      </c>
      <c r="Q1069" s="1">
        <v>1</v>
      </c>
    </row>
    <row r="1071" spans="1:17" x14ac:dyDescent="0.2">
      <c r="B1071" s="1" t="s">
        <v>25</v>
      </c>
      <c r="K1071" s="2">
        <v>-568058.92000000004</v>
      </c>
      <c r="L1071" s="1" t="s">
        <v>22</v>
      </c>
      <c r="N1071" s="2">
        <v>-568058.92000000004</v>
      </c>
      <c r="O1071" s="1" t="s">
        <v>22</v>
      </c>
    </row>
    <row r="1073" spans="1:17" x14ac:dyDescent="0.2">
      <c r="A1073" s="3"/>
      <c r="B1073" s="3" t="s">
        <v>26</v>
      </c>
      <c r="C1073" s="3" t="s">
        <v>220</v>
      </c>
      <c r="D1073" s="3"/>
      <c r="E1073" s="3"/>
      <c r="F1073" s="3"/>
      <c r="G1073" s="3"/>
      <c r="H1073" s="3"/>
      <c r="I1073" s="3"/>
      <c r="J1073" s="3"/>
      <c r="K1073" s="4">
        <v>-568058.92000000004</v>
      </c>
      <c r="L1073" s="3" t="s">
        <v>22</v>
      </c>
      <c r="M1073" s="3"/>
      <c r="N1073" s="4">
        <v>-568058.92000000004</v>
      </c>
      <c r="O1073" s="3" t="s">
        <v>22</v>
      </c>
      <c r="P1073" s="3"/>
      <c r="Q1073" s="3"/>
    </row>
    <row r="1075" spans="1:17" x14ac:dyDescent="0.2">
      <c r="A1075" s="1" t="s">
        <v>0</v>
      </c>
      <c r="F1075" s="1">
        <v>501185</v>
      </c>
    </row>
    <row r="1076" spans="1:17" x14ac:dyDescent="0.2">
      <c r="A1076" s="1" t="s">
        <v>1</v>
      </c>
      <c r="F1076" s="1" t="s">
        <v>40</v>
      </c>
    </row>
    <row r="1078" spans="1:17" x14ac:dyDescent="0.2">
      <c r="A1078" s="1" t="s">
        <v>3</v>
      </c>
      <c r="F1078" s="1" t="s">
        <v>218</v>
      </c>
    </row>
    <row r="1079" spans="1:17" x14ac:dyDescent="0.2">
      <c r="A1079" s="1" t="s">
        <v>5</v>
      </c>
      <c r="F1079" s="1" t="s">
        <v>282</v>
      </c>
    </row>
    <row r="1082" spans="1:17" x14ac:dyDescent="0.2">
      <c r="C1082" s="1" t="s">
        <v>6</v>
      </c>
      <c r="D1082" s="1" t="s">
        <v>7</v>
      </c>
      <c r="E1082" s="1" t="s">
        <v>8</v>
      </c>
      <c r="G1082" s="1" t="s">
        <v>9</v>
      </c>
      <c r="H1082" s="1" t="s">
        <v>10</v>
      </c>
      <c r="I1082" s="1" t="s">
        <v>11</v>
      </c>
      <c r="J1082" s="1" t="s">
        <v>12</v>
      </c>
      <c r="K1082" s="1" t="s">
        <v>13</v>
      </c>
      <c r="L1082" s="1" t="s">
        <v>14</v>
      </c>
      <c r="M1082" s="1" t="s">
        <v>15</v>
      </c>
      <c r="N1082" s="1" t="s">
        <v>16</v>
      </c>
      <c r="O1082" s="1" t="s">
        <v>17</v>
      </c>
      <c r="P1082" s="1" t="s">
        <v>18</v>
      </c>
      <c r="Q1082" s="1" t="s">
        <v>19</v>
      </c>
    </row>
    <row r="1084" spans="1:17" x14ac:dyDescent="0.2">
      <c r="D1084" s="1" t="s">
        <v>20</v>
      </c>
      <c r="E1084" s="1">
        <v>1400013708</v>
      </c>
      <c r="G1084" s="1" t="s">
        <v>123</v>
      </c>
      <c r="I1084" s="1" t="s">
        <v>123</v>
      </c>
      <c r="K1084" s="2">
        <v>-12813.85</v>
      </c>
      <c r="L1084" s="1" t="s">
        <v>22</v>
      </c>
      <c r="N1084" s="2">
        <v>-12813.85</v>
      </c>
      <c r="O1084" s="1" t="s">
        <v>22</v>
      </c>
      <c r="P1084" s="1" t="s">
        <v>677</v>
      </c>
      <c r="Q1084" s="1">
        <v>1</v>
      </c>
    </row>
    <row r="1086" spans="1:17" x14ac:dyDescent="0.2">
      <c r="B1086" s="1" t="s">
        <v>25</v>
      </c>
      <c r="K1086" s="2">
        <v>-12813.85</v>
      </c>
      <c r="L1086" s="1" t="s">
        <v>22</v>
      </c>
      <c r="N1086" s="2">
        <v>-12813.85</v>
      </c>
      <c r="O1086" s="1" t="s">
        <v>22</v>
      </c>
    </row>
    <row r="1088" spans="1:17" x14ac:dyDescent="0.2">
      <c r="A1088" s="3"/>
      <c r="B1088" s="3" t="s">
        <v>26</v>
      </c>
      <c r="C1088" s="3" t="s">
        <v>678</v>
      </c>
      <c r="D1088" s="3"/>
      <c r="E1088" s="3"/>
      <c r="F1088" s="3"/>
      <c r="G1088" s="3"/>
      <c r="H1088" s="3"/>
      <c r="I1088" s="3"/>
      <c r="J1088" s="3"/>
      <c r="K1088" s="4">
        <v>-12813.85</v>
      </c>
      <c r="L1088" s="3" t="s">
        <v>22</v>
      </c>
      <c r="M1088" s="3"/>
      <c r="N1088" s="4">
        <v>-12813.85</v>
      </c>
      <c r="O1088" s="3" t="s">
        <v>22</v>
      </c>
      <c r="P1088" s="3"/>
      <c r="Q1088" s="3"/>
    </row>
    <row r="1090" spans="1:17" x14ac:dyDescent="0.2">
      <c r="A1090" s="1" t="s">
        <v>0</v>
      </c>
      <c r="F1090" s="1">
        <v>501186</v>
      </c>
    </row>
    <row r="1091" spans="1:17" x14ac:dyDescent="0.2">
      <c r="A1091" s="1" t="s">
        <v>1</v>
      </c>
      <c r="F1091" s="1" t="s">
        <v>40</v>
      </c>
    </row>
    <row r="1093" spans="1:17" x14ac:dyDescent="0.2">
      <c r="A1093" s="1" t="s">
        <v>3</v>
      </c>
      <c r="F1093" s="1" t="s">
        <v>652</v>
      </c>
    </row>
    <row r="1094" spans="1:17" x14ac:dyDescent="0.2">
      <c r="A1094" s="1" t="s">
        <v>5</v>
      </c>
      <c r="F1094" s="1" t="s">
        <v>392</v>
      </c>
    </row>
    <row r="1097" spans="1:17" x14ac:dyDescent="0.2">
      <c r="C1097" s="1" t="s">
        <v>6</v>
      </c>
      <c r="D1097" s="1" t="s">
        <v>7</v>
      </c>
      <c r="E1097" s="1" t="s">
        <v>8</v>
      </c>
      <c r="G1097" s="1" t="s">
        <v>9</v>
      </c>
      <c r="H1097" s="1" t="s">
        <v>10</v>
      </c>
      <c r="I1097" s="1" t="s">
        <v>11</v>
      </c>
      <c r="J1097" s="1" t="s">
        <v>12</v>
      </c>
      <c r="K1097" s="1" t="s">
        <v>13</v>
      </c>
      <c r="L1097" s="1" t="s">
        <v>14</v>
      </c>
      <c r="M1097" s="1" t="s">
        <v>15</v>
      </c>
      <c r="N1097" s="1" t="s">
        <v>16</v>
      </c>
      <c r="O1097" s="1" t="s">
        <v>17</v>
      </c>
      <c r="P1097" s="1" t="s">
        <v>18</v>
      </c>
      <c r="Q1097" s="1" t="s">
        <v>19</v>
      </c>
    </row>
    <row r="1099" spans="1:17" x14ac:dyDescent="0.2">
      <c r="D1099" s="1" t="s">
        <v>20</v>
      </c>
      <c r="E1099" s="1">
        <v>1400013669</v>
      </c>
      <c r="G1099" s="1" t="s">
        <v>162</v>
      </c>
      <c r="I1099" s="1" t="s">
        <v>162</v>
      </c>
      <c r="K1099" s="2">
        <v>-41587.660000000003</v>
      </c>
      <c r="L1099" s="1" t="s">
        <v>22</v>
      </c>
      <c r="N1099" s="2">
        <v>-41587.660000000003</v>
      </c>
      <c r="O1099" s="1" t="s">
        <v>22</v>
      </c>
      <c r="P1099" s="1" t="s">
        <v>679</v>
      </c>
      <c r="Q1099" s="1">
        <v>1</v>
      </c>
    </row>
    <row r="1101" spans="1:17" x14ac:dyDescent="0.2">
      <c r="B1101" s="1" t="s">
        <v>25</v>
      </c>
      <c r="K1101" s="2">
        <v>-41587.660000000003</v>
      </c>
      <c r="L1101" s="1" t="s">
        <v>22</v>
      </c>
      <c r="N1101" s="2">
        <v>-41587.660000000003</v>
      </c>
      <c r="O1101" s="1" t="s">
        <v>22</v>
      </c>
    </row>
    <row r="1103" spans="1:17" x14ac:dyDescent="0.2">
      <c r="A1103" s="3"/>
      <c r="B1103" s="3" t="s">
        <v>26</v>
      </c>
      <c r="C1103" s="3" t="s">
        <v>680</v>
      </c>
      <c r="D1103" s="3"/>
      <c r="E1103" s="3"/>
      <c r="F1103" s="3"/>
      <c r="G1103" s="3"/>
      <c r="H1103" s="3"/>
      <c r="I1103" s="3"/>
      <c r="J1103" s="3"/>
      <c r="K1103" s="4">
        <v>-41587.660000000003</v>
      </c>
      <c r="L1103" s="3" t="s">
        <v>22</v>
      </c>
      <c r="M1103" s="3"/>
      <c r="N1103" s="4">
        <v>-41587.660000000003</v>
      </c>
      <c r="O1103" s="3" t="s">
        <v>22</v>
      </c>
      <c r="P1103" s="3"/>
      <c r="Q1103" s="3"/>
    </row>
    <row r="1105" spans="1:17" x14ac:dyDescent="0.2">
      <c r="A1105" s="1" t="s">
        <v>0</v>
      </c>
      <c r="F1105" s="1">
        <v>501187</v>
      </c>
    </row>
    <row r="1106" spans="1:17" x14ac:dyDescent="0.2">
      <c r="A1106" s="1" t="s">
        <v>1</v>
      </c>
      <c r="F1106" s="1" t="s">
        <v>40</v>
      </c>
    </row>
    <row r="1108" spans="1:17" x14ac:dyDescent="0.2">
      <c r="A1108" s="1" t="s">
        <v>3</v>
      </c>
      <c r="F1108" s="1" t="s">
        <v>652</v>
      </c>
    </row>
    <row r="1109" spans="1:17" x14ac:dyDescent="0.2">
      <c r="A1109" s="1" t="s">
        <v>5</v>
      </c>
      <c r="F1109" s="1" t="s">
        <v>395</v>
      </c>
    </row>
    <row r="1112" spans="1:17" x14ac:dyDescent="0.2">
      <c r="C1112" s="1" t="s">
        <v>6</v>
      </c>
      <c r="D1112" s="1" t="s">
        <v>7</v>
      </c>
      <c r="E1112" s="1" t="s">
        <v>8</v>
      </c>
      <c r="G1112" s="1" t="s">
        <v>9</v>
      </c>
      <c r="H1112" s="1" t="s">
        <v>10</v>
      </c>
      <c r="I1112" s="1" t="s">
        <v>11</v>
      </c>
      <c r="J1112" s="1" t="s">
        <v>12</v>
      </c>
      <c r="K1112" s="1" t="s">
        <v>13</v>
      </c>
      <c r="L1112" s="1" t="s">
        <v>14</v>
      </c>
      <c r="M1112" s="1" t="s">
        <v>15</v>
      </c>
      <c r="N1112" s="1" t="s">
        <v>16</v>
      </c>
      <c r="O1112" s="1" t="s">
        <v>17</v>
      </c>
      <c r="P1112" s="1" t="s">
        <v>18</v>
      </c>
      <c r="Q1112" s="1" t="s">
        <v>19</v>
      </c>
    </row>
    <row r="1114" spans="1:17" x14ac:dyDescent="0.2">
      <c r="D1114" s="1" t="s">
        <v>20</v>
      </c>
      <c r="E1114" s="1">
        <v>1400013669</v>
      </c>
      <c r="G1114" s="1" t="s">
        <v>162</v>
      </c>
      <c r="I1114" s="1" t="s">
        <v>162</v>
      </c>
      <c r="K1114" s="2">
        <v>-41587.660000000003</v>
      </c>
      <c r="L1114" s="1" t="s">
        <v>22</v>
      </c>
      <c r="N1114" s="2">
        <v>-41587.660000000003</v>
      </c>
      <c r="O1114" s="1" t="s">
        <v>22</v>
      </c>
      <c r="P1114" s="1" t="s">
        <v>681</v>
      </c>
      <c r="Q1114" s="1">
        <v>1</v>
      </c>
    </row>
    <row r="1116" spans="1:17" x14ac:dyDescent="0.2">
      <c r="B1116" s="1" t="s">
        <v>25</v>
      </c>
      <c r="K1116" s="2">
        <v>-41587.660000000003</v>
      </c>
      <c r="L1116" s="1" t="s">
        <v>22</v>
      </c>
      <c r="N1116" s="2">
        <v>-41587.660000000003</v>
      </c>
      <c r="O1116" s="1" t="s">
        <v>22</v>
      </c>
    </row>
    <row r="1118" spans="1:17" x14ac:dyDescent="0.2">
      <c r="A1118" s="3"/>
      <c r="B1118" s="3" t="s">
        <v>26</v>
      </c>
      <c r="C1118" s="3" t="s">
        <v>682</v>
      </c>
      <c r="D1118" s="3"/>
      <c r="E1118" s="3"/>
      <c r="F1118" s="3"/>
      <c r="G1118" s="3"/>
      <c r="H1118" s="3"/>
      <c r="I1118" s="3"/>
      <c r="J1118" s="3"/>
      <c r="K1118" s="4">
        <v>-41587.660000000003</v>
      </c>
      <c r="L1118" s="3" t="s">
        <v>22</v>
      </c>
      <c r="M1118" s="3"/>
      <c r="N1118" s="4">
        <v>-41587.660000000003</v>
      </c>
      <c r="O1118" s="3" t="s">
        <v>22</v>
      </c>
      <c r="P1118" s="3"/>
      <c r="Q1118" s="3"/>
    </row>
    <row r="1120" spans="1:17" x14ac:dyDescent="0.2">
      <c r="A1120" s="1" t="s">
        <v>0</v>
      </c>
      <c r="F1120" s="1">
        <v>501188</v>
      </c>
    </row>
    <row r="1121" spans="1:17" x14ac:dyDescent="0.2">
      <c r="A1121" s="1" t="s">
        <v>1</v>
      </c>
      <c r="F1121" s="1" t="s">
        <v>40</v>
      </c>
    </row>
    <row r="1123" spans="1:17" x14ac:dyDescent="0.2">
      <c r="A1123" s="1" t="s">
        <v>3</v>
      </c>
      <c r="F1123" s="1" t="s">
        <v>683</v>
      </c>
    </row>
    <row r="1124" spans="1:17" x14ac:dyDescent="0.2">
      <c r="A1124" s="1" t="s">
        <v>5</v>
      </c>
      <c r="F1124" s="1" t="s">
        <v>684</v>
      </c>
    </row>
    <row r="1127" spans="1:17" x14ac:dyDescent="0.2">
      <c r="C1127" s="1" t="s">
        <v>6</v>
      </c>
      <c r="D1127" s="1" t="s">
        <v>7</v>
      </c>
      <c r="E1127" s="1" t="s">
        <v>8</v>
      </c>
      <c r="G1127" s="1" t="s">
        <v>9</v>
      </c>
      <c r="H1127" s="1" t="s">
        <v>10</v>
      </c>
      <c r="I1127" s="1" t="s">
        <v>11</v>
      </c>
      <c r="J1127" s="1" t="s">
        <v>12</v>
      </c>
      <c r="K1127" s="1" t="s">
        <v>13</v>
      </c>
      <c r="L1127" s="1" t="s">
        <v>14</v>
      </c>
      <c r="M1127" s="1" t="s">
        <v>15</v>
      </c>
      <c r="N1127" s="1" t="s">
        <v>16</v>
      </c>
      <c r="O1127" s="1" t="s">
        <v>17</v>
      </c>
      <c r="P1127" s="1" t="s">
        <v>18</v>
      </c>
      <c r="Q1127" s="1" t="s">
        <v>19</v>
      </c>
    </row>
    <row r="1129" spans="1:17" x14ac:dyDescent="0.2">
      <c r="D1129" s="1" t="s">
        <v>20</v>
      </c>
      <c r="E1129" s="1">
        <v>1400013865</v>
      </c>
      <c r="G1129" s="1" t="s">
        <v>30</v>
      </c>
      <c r="I1129" s="1" t="s">
        <v>30</v>
      </c>
      <c r="K1129" s="2">
        <v>-54468.43</v>
      </c>
      <c r="L1129" s="1" t="s">
        <v>22</v>
      </c>
      <c r="N1129" s="2">
        <v>-54468.43</v>
      </c>
      <c r="O1129" s="1" t="s">
        <v>22</v>
      </c>
      <c r="P1129" s="1" t="s">
        <v>685</v>
      </c>
      <c r="Q1129" s="1">
        <v>1</v>
      </c>
    </row>
    <row r="1131" spans="1:17" x14ac:dyDescent="0.2">
      <c r="B1131" s="1" t="s">
        <v>25</v>
      </c>
      <c r="K1131" s="2">
        <v>-54468.43</v>
      </c>
      <c r="L1131" s="1" t="s">
        <v>22</v>
      </c>
      <c r="N1131" s="2">
        <v>-54468.43</v>
      </c>
      <c r="O1131" s="1" t="s">
        <v>22</v>
      </c>
    </row>
    <row r="1133" spans="1:17" x14ac:dyDescent="0.2">
      <c r="A1133" s="3"/>
      <c r="B1133" s="3" t="s">
        <v>26</v>
      </c>
      <c r="C1133" s="3" t="s">
        <v>686</v>
      </c>
      <c r="D1133" s="3"/>
      <c r="E1133" s="3"/>
      <c r="F1133" s="3"/>
      <c r="G1133" s="3"/>
      <c r="H1133" s="3"/>
      <c r="I1133" s="3"/>
      <c r="J1133" s="3"/>
      <c r="K1133" s="4">
        <v>-54468.43</v>
      </c>
      <c r="L1133" s="3" t="s">
        <v>22</v>
      </c>
      <c r="M1133" s="3"/>
      <c r="N1133" s="4">
        <v>-54468.43</v>
      </c>
      <c r="O1133" s="3" t="s">
        <v>22</v>
      </c>
      <c r="P1133" s="3"/>
      <c r="Q1133" s="3"/>
    </row>
    <row r="1135" spans="1:17" x14ac:dyDescent="0.2">
      <c r="A1135" s="1" t="s">
        <v>0</v>
      </c>
      <c r="F1135" s="1">
        <v>501191</v>
      </c>
    </row>
    <row r="1136" spans="1:17" x14ac:dyDescent="0.2">
      <c r="A1136" s="1" t="s">
        <v>1</v>
      </c>
      <c r="F1136" s="1" t="s">
        <v>40</v>
      </c>
    </row>
    <row r="1138" spans="1:17" x14ac:dyDescent="0.2">
      <c r="A1138" s="1" t="s">
        <v>3</v>
      </c>
      <c r="F1138" s="1" t="s">
        <v>687</v>
      </c>
    </row>
    <row r="1139" spans="1:17" x14ac:dyDescent="0.2">
      <c r="A1139" s="1" t="s">
        <v>5</v>
      </c>
      <c r="F1139" s="1" t="s">
        <v>479</v>
      </c>
    </row>
    <row r="1142" spans="1:17" x14ac:dyDescent="0.2">
      <c r="C1142" s="1" t="s">
        <v>6</v>
      </c>
      <c r="D1142" s="1" t="s">
        <v>7</v>
      </c>
      <c r="E1142" s="1" t="s">
        <v>8</v>
      </c>
      <c r="G1142" s="1" t="s">
        <v>9</v>
      </c>
      <c r="H1142" s="1" t="s">
        <v>10</v>
      </c>
      <c r="I1142" s="1" t="s">
        <v>11</v>
      </c>
      <c r="J1142" s="1" t="s">
        <v>12</v>
      </c>
      <c r="K1142" s="1" t="s">
        <v>13</v>
      </c>
      <c r="L1142" s="1" t="s">
        <v>14</v>
      </c>
      <c r="M1142" s="1" t="s">
        <v>15</v>
      </c>
      <c r="N1142" s="1" t="s">
        <v>16</v>
      </c>
      <c r="O1142" s="1" t="s">
        <v>17</v>
      </c>
      <c r="P1142" s="1" t="s">
        <v>18</v>
      </c>
      <c r="Q1142" s="1" t="s">
        <v>19</v>
      </c>
    </row>
    <row r="1144" spans="1:17" x14ac:dyDescent="0.2">
      <c r="D1144" s="1" t="s">
        <v>20</v>
      </c>
      <c r="E1144" s="1">
        <v>1400013840</v>
      </c>
      <c r="G1144" s="1" t="s">
        <v>30</v>
      </c>
      <c r="I1144" s="1" t="s">
        <v>30</v>
      </c>
      <c r="K1144" s="2">
        <v>-112597.16</v>
      </c>
      <c r="L1144" s="1" t="s">
        <v>22</v>
      </c>
      <c r="N1144" s="2">
        <v>-112597.16</v>
      </c>
      <c r="O1144" s="1" t="s">
        <v>22</v>
      </c>
      <c r="P1144" s="1" t="s">
        <v>688</v>
      </c>
      <c r="Q1144" s="1">
        <v>1</v>
      </c>
    </row>
    <row r="1146" spans="1:17" x14ac:dyDescent="0.2">
      <c r="B1146" s="1" t="s">
        <v>25</v>
      </c>
      <c r="K1146" s="2">
        <v>-112597.16</v>
      </c>
      <c r="L1146" s="1" t="s">
        <v>22</v>
      </c>
      <c r="N1146" s="2">
        <v>-112597.16</v>
      </c>
      <c r="O1146" s="1" t="s">
        <v>22</v>
      </c>
    </row>
    <row r="1148" spans="1:17" x14ac:dyDescent="0.2">
      <c r="A1148" s="3"/>
      <c r="B1148" s="3" t="s">
        <v>26</v>
      </c>
      <c r="C1148" s="3" t="s">
        <v>689</v>
      </c>
      <c r="D1148" s="3"/>
      <c r="E1148" s="3"/>
      <c r="F1148" s="3"/>
      <c r="G1148" s="3"/>
      <c r="H1148" s="3"/>
      <c r="I1148" s="3"/>
      <c r="J1148" s="3"/>
      <c r="K1148" s="4">
        <v>-112597.16</v>
      </c>
      <c r="L1148" s="3" t="s">
        <v>22</v>
      </c>
      <c r="M1148" s="3"/>
      <c r="N1148" s="4">
        <v>-112597.16</v>
      </c>
      <c r="O1148" s="3" t="s">
        <v>22</v>
      </c>
      <c r="P1148" s="3"/>
      <c r="Q1148" s="3"/>
    </row>
    <row r="1150" spans="1:17" x14ac:dyDescent="0.2">
      <c r="A1150" s="1" t="s">
        <v>0</v>
      </c>
      <c r="F1150" s="1">
        <v>501192</v>
      </c>
    </row>
    <row r="1151" spans="1:17" x14ac:dyDescent="0.2">
      <c r="A1151" s="1" t="s">
        <v>1</v>
      </c>
      <c r="F1151" s="1" t="s">
        <v>40</v>
      </c>
    </row>
    <row r="1153" spans="1:17" x14ac:dyDescent="0.2">
      <c r="A1153" s="1" t="s">
        <v>3</v>
      </c>
      <c r="F1153" s="1" t="s">
        <v>687</v>
      </c>
    </row>
    <row r="1154" spans="1:17" x14ac:dyDescent="0.2">
      <c r="A1154" s="1" t="s">
        <v>5</v>
      </c>
      <c r="F1154" s="1" t="s">
        <v>392</v>
      </c>
    </row>
    <row r="1157" spans="1:17" x14ac:dyDescent="0.2">
      <c r="C1157" s="1" t="s">
        <v>6</v>
      </c>
      <c r="D1157" s="1" t="s">
        <v>7</v>
      </c>
      <c r="E1157" s="1" t="s">
        <v>8</v>
      </c>
      <c r="G1157" s="1" t="s">
        <v>9</v>
      </c>
      <c r="H1157" s="1" t="s">
        <v>10</v>
      </c>
      <c r="I1157" s="1" t="s">
        <v>11</v>
      </c>
      <c r="J1157" s="1" t="s">
        <v>12</v>
      </c>
      <c r="K1157" s="1" t="s">
        <v>13</v>
      </c>
      <c r="L1157" s="1" t="s">
        <v>14</v>
      </c>
      <c r="M1157" s="1" t="s">
        <v>15</v>
      </c>
      <c r="N1157" s="1" t="s">
        <v>16</v>
      </c>
      <c r="O1157" s="1" t="s">
        <v>17</v>
      </c>
      <c r="P1157" s="1" t="s">
        <v>18</v>
      </c>
      <c r="Q1157" s="1" t="s">
        <v>19</v>
      </c>
    </row>
    <row r="1159" spans="1:17" x14ac:dyDescent="0.2">
      <c r="D1159" s="1" t="s">
        <v>20</v>
      </c>
      <c r="E1159" s="1">
        <v>1400013840</v>
      </c>
      <c r="G1159" s="1" t="s">
        <v>30</v>
      </c>
      <c r="I1159" s="1" t="s">
        <v>30</v>
      </c>
      <c r="K1159" s="2">
        <v>-162698.79</v>
      </c>
      <c r="L1159" s="1" t="s">
        <v>22</v>
      </c>
      <c r="N1159" s="2">
        <v>-162698.79</v>
      </c>
      <c r="O1159" s="1" t="s">
        <v>22</v>
      </c>
      <c r="P1159" s="1" t="s">
        <v>690</v>
      </c>
      <c r="Q1159" s="1">
        <v>1</v>
      </c>
    </row>
    <row r="1161" spans="1:17" x14ac:dyDescent="0.2">
      <c r="B1161" s="1" t="s">
        <v>25</v>
      </c>
      <c r="K1161" s="2">
        <v>-162698.79</v>
      </c>
      <c r="L1161" s="1" t="s">
        <v>22</v>
      </c>
      <c r="N1161" s="2">
        <v>-162698.79</v>
      </c>
      <c r="O1161" s="1" t="s">
        <v>22</v>
      </c>
    </row>
    <row r="1163" spans="1:17" x14ac:dyDescent="0.2">
      <c r="A1163" s="3"/>
      <c r="B1163" s="3" t="s">
        <v>26</v>
      </c>
      <c r="C1163" s="3" t="s">
        <v>691</v>
      </c>
      <c r="D1163" s="3"/>
      <c r="E1163" s="3"/>
      <c r="F1163" s="3"/>
      <c r="G1163" s="3"/>
      <c r="H1163" s="3"/>
      <c r="I1163" s="3"/>
      <c r="J1163" s="3"/>
      <c r="K1163" s="4">
        <v>-162698.79</v>
      </c>
      <c r="L1163" s="3" t="s">
        <v>22</v>
      </c>
      <c r="M1163" s="3"/>
      <c r="N1163" s="4">
        <v>-162698.79</v>
      </c>
      <c r="O1163" s="3" t="s">
        <v>22</v>
      </c>
      <c r="P1163" s="3"/>
      <c r="Q1163" s="3"/>
    </row>
    <row r="1165" spans="1:17" x14ac:dyDescent="0.2">
      <c r="A1165" s="1" t="s">
        <v>0</v>
      </c>
      <c r="F1165" s="1">
        <v>501194</v>
      </c>
    </row>
    <row r="1166" spans="1:17" x14ac:dyDescent="0.2">
      <c r="A1166" s="1" t="s">
        <v>1</v>
      </c>
      <c r="F1166" s="1" t="s">
        <v>40</v>
      </c>
    </row>
    <row r="1168" spans="1:17" x14ac:dyDescent="0.2">
      <c r="A1168" s="1" t="s">
        <v>3</v>
      </c>
      <c r="F1168" s="1" t="s">
        <v>225</v>
      </c>
    </row>
    <row r="1169" spans="1:17" x14ac:dyDescent="0.2">
      <c r="A1169" s="1" t="s">
        <v>5</v>
      </c>
      <c r="F1169" s="1" t="s">
        <v>70</v>
      </c>
    </row>
    <row r="1172" spans="1:17" x14ac:dyDescent="0.2">
      <c r="C1172" s="1" t="s">
        <v>6</v>
      </c>
      <c r="D1172" s="1" t="s">
        <v>7</v>
      </c>
      <c r="E1172" s="1" t="s">
        <v>8</v>
      </c>
      <c r="G1172" s="1" t="s">
        <v>9</v>
      </c>
      <c r="H1172" s="1" t="s">
        <v>10</v>
      </c>
      <c r="I1172" s="1" t="s">
        <v>11</v>
      </c>
      <c r="J1172" s="1" t="s">
        <v>12</v>
      </c>
      <c r="K1172" s="1" t="s">
        <v>13</v>
      </c>
      <c r="L1172" s="1" t="s">
        <v>14</v>
      </c>
      <c r="M1172" s="1" t="s">
        <v>15</v>
      </c>
      <c r="N1172" s="1" t="s">
        <v>16</v>
      </c>
      <c r="O1172" s="1" t="s">
        <v>17</v>
      </c>
      <c r="P1172" s="1" t="s">
        <v>18</v>
      </c>
      <c r="Q1172" s="1" t="s">
        <v>19</v>
      </c>
    </row>
    <row r="1174" spans="1:17" x14ac:dyDescent="0.2">
      <c r="D1174" s="1" t="s">
        <v>20</v>
      </c>
      <c r="E1174" s="1">
        <v>1400013686</v>
      </c>
      <c r="G1174" s="1" t="s">
        <v>44</v>
      </c>
      <c r="I1174" s="1" t="s">
        <v>44</v>
      </c>
      <c r="K1174" s="2">
        <v>-458613.28</v>
      </c>
      <c r="L1174" s="1" t="s">
        <v>22</v>
      </c>
      <c r="N1174" s="2">
        <v>-458613.28</v>
      </c>
      <c r="O1174" s="1" t="s">
        <v>22</v>
      </c>
      <c r="P1174" s="1" t="s">
        <v>692</v>
      </c>
      <c r="Q1174" s="1">
        <v>1</v>
      </c>
    </row>
    <row r="1175" spans="1:17" x14ac:dyDescent="0.2">
      <c r="D1175" s="1" t="s">
        <v>20</v>
      </c>
      <c r="E1175" s="1">
        <v>1400013686</v>
      </c>
      <c r="G1175" s="1" t="s">
        <v>44</v>
      </c>
      <c r="I1175" s="1" t="s">
        <v>44</v>
      </c>
      <c r="K1175" s="2">
        <v>-82751.039999999994</v>
      </c>
      <c r="L1175" s="1" t="s">
        <v>22</v>
      </c>
      <c r="N1175" s="2">
        <v>-82751.039999999994</v>
      </c>
      <c r="O1175" s="1" t="s">
        <v>22</v>
      </c>
      <c r="P1175" s="1" t="s">
        <v>693</v>
      </c>
      <c r="Q1175" s="1">
        <v>1</v>
      </c>
    </row>
    <row r="1176" spans="1:17" x14ac:dyDescent="0.2">
      <c r="D1176" s="1" t="s">
        <v>20</v>
      </c>
      <c r="E1176" s="1">
        <v>1400013693</v>
      </c>
      <c r="G1176" s="1" t="s">
        <v>123</v>
      </c>
      <c r="I1176" s="1" t="s">
        <v>123</v>
      </c>
      <c r="K1176" s="2">
        <v>-383662.32</v>
      </c>
      <c r="L1176" s="1" t="s">
        <v>22</v>
      </c>
      <c r="N1176" s="2">
        <v>-383662.32</v>
      </c>
      <c r="O1176" s="1" t="s">
        <v>22</v>
      </c>
      <c r="P1176" s="1" t="s">
        <v>693</v>
      </c>
      <c r="Q1176" s="1">
        <v>1</v>
      </c>
    </row>
    <row r="1177" spans="1:17" x14ac:dyDescent="0.2">
      <c r="D1177" s="1" t="s">
        <v>20</v>
      </c>
      <c r="E1177" s="1">
        <v>1400013693</v>
      </c>
      <c r="G1177" s="1" t="s">
        <v>123</v>
      </c>
      <c r="I1177" s="1" t="s">
        <v>123</v>
      </c>
      <c r="K1177" s="2">
        <v>-68700.570000000007</v>
      </c>
      <c r="L1177" s="1" t="s">
        <v>22</v>
      </c>
      <c r="N1177" s="2">
        <v>-68700.570000000007</v>
      </c>
      <c r="O1177" s="1" t="s">
        <v>22</v>
      </c>
      <c r="P1177" s="1" t="s">
        <v>694</v>
      </c>
      <c r="Q1177" s="1">
        <v>1</v>
      </c>
    </row>
    <row r="1178" spans="1:17" x14ac:dyDescent="0.2">
      <c r="D1178" s="1" t="s">
        <v>20</v>
      </c>
      <c r="E1178" s="1">
        <v>1400013704</v>
      </c>
      <c r="G1178" s="1" t="s">
        <v>182</v>
      </c>
      <c r="I1178" s="1" t="s">
        <v>182</v>
      </c>
      <c r="K1178" s="2">
        <v>-84556.25</v>
      </c>
      <c r="L1178" s="1" t="s">
        <v>22</v>
      </c>
      <c r="N1178" s="2">
        <v>-84556.25</v>
      </c>
      <c r="O1178" s="1" t="s">
        <v>22</v>
      </c>
      <c r="P1178" s="1" t="s">
        <v>695</v>
      </c>
      <c r="Q1178" s="1">
        <v>1</v>
      </c>
    </row>
    <row r="1179" spans="1:17" x14ac:dyDescent="0.2">
      <c r="D1179" s="1" t="s">
        <v>20</v>
      </c>
      <c r="E1179" s="1">
        <v>1400013704</v>
      </c>
      <c r="G1179" s="1" t="s">
        <v>182</v>
      </c>
      <c r="I1179" s="1" t="s">
        <v>182</v>
      </c>
      <c r="K1179" s="2">
        <v>-397712.79</v>
      </c>
      <c r="L1179" s="1" t="s">
        <v>22</v>
      </c>
      <c r="N1179" s="2">
        <v>-397712.79</v>
      </c>
      <c r="O1179" s="1" t="s">
        <v>22</v>
      </c>
      <c r="P1179" s="1" t="s">
        <v>694</v>
      </c>
      <c r="Q1179" s="1">
        <v>1</v>
      </c>
    </row>
    <row r="1180" spans="1:17" x14ac:dyDescent="0.2">
      <c r="D1180" s="1" t="s">
        <v>20</v>
      </c>
      <c r="E1180" s="1">
        <v>1400013713</v>
      </c>
      <c r="G1180" s="1" t="s">
        <v>54</v>
      </c>
      <c r="I1180" s="1" t="s">
        <v>54</v>
      </c>
      <c r="K1180" s="2">
        <v>-381857.11</v>
      </c>
      <c r="L1180" s="1" t="s">
        <v>22</v>
      </c>
      <c r="N1180" s="2">
        <v>-381857.11</v>
      </c>
      <c r="O1180" s="1" t="s">
        <v>22</v>
      </c>
      <c r="P1180" s="1" t="s">
        <v>695</v>
      </c>
      <c r="Q1180" s="1">
        <v>1</v>
      </c>
    </row>
    <row r="1181" spans="1:17" x14ac:dyDescent="0.2">
      <c r="D1181" s="1" t="s">
        <v>20</v>
      </c>
      <c r="E1181" s="1">
        <v>1400013713</v>
      </c>
      <c r="G1181" s="1" t="s">
        <v>54</v>
      </c>
      <c r="I1181" s="1" t="s">
        <v>54</v>
      </c>
      <c r="K1181" s="2">
        <v>-57927.5</v>
      </c>
      <c r="L1181" s="1" t="s">
        <v>22</v>
      </c>
      <c r="N1181" s="2">
        <v>-57927.5</v>
      </c>
      <c r="O1181" s="1" t="s">
        <v>22</v>
      </c>
      <c r="P1181" s="1" t="s">
        <v>696</v>
      </c>
      <c r="Q1181" s="1">
        <v>1</v>
      </c>
    </row>
    <row r="1182" spans="1:17" x14ac:dyDescent="0.2">
      <c r="D1182" s="1" t="s">
        <v>20</v>
      </c>
      <c r="E1182" s="1">
        <v>1400013713</v>
      </c>
      <c r="G1182" s="1" t="s">
        <v>54</v>
      </c>
      <c r="I1182" s="1" t="s">
        <v>54</v>
      </c>
      <c r="K1182" s="2">
        <v>-330914.52</v>
      </c>
      <c r="L1182" s="1" t="s">
        <v>22</v>
      </c>
      <c r="N1182" s="2">
        <v>-330914.52</v>
      </c>
      <c r="O1182" s="1" t="s">
        <v>22</v>
      </c>
      <c r="P1182" s="1" t="s">
        <v>697</v>
      </c>
      <c r="Q1182" s="1">
        <v>1</v>
      </c>
    </row>
    <row r="1183" spans="1:17" x14ac:dyDescent="0.2">
      <c r="D1183" s="1" t="s">
        <v>20</v>
      </c>
      <c r="E1183" s="1">
        <v>1400013713</v>
      </c>
      <c r="G1183" s="1" t="s">
        <v>54</v>
      </c>
      <c r="I1183" s="1" t="s">
        <v>54</v>
      </c>
      <c r="K1183" s="2">
        <v>-165032.48000000001</v>
      </c>
      <c r="L1183" s="1" t="s">
        <v>22</v>
      </c>
      <c r="N1183" s="2">
        <v>-165032.48000000001</v>
      </c>
      <c r="O1183" s="1" t="s">
        <v>22</v>
      </c>
      <c r="P1183" s="1" t="s">
        <v>698</v>
      </c>
      <c r="Q1183" s="1">
        <v>1</v>
      </c>
    </row>
    <row r="1184" spans="1:17" x14ac:dyDescent="0.2">
      <c r="D1184" s="1" t="s">
        <v>20</v>
      </c>
      <c r="E1184" s="1">
        <v>1400013731</v>
      </c>
      <c r="G1184" s="1" t="s">
        <v>162</v>
      </c>
      <c r="I1184" s="1" t="s">
        <v>162</v>
      </c>
      <c r="K1184" s="2">
        <v>-304932.09999999998</v>
      </c>
      <c r="L1184" s="1" t="s">
        <v>22</v>
      </c>
      <c r="N1184" s="2">
        <v>-304932.09999999998</v>
      </c>
      <c r="O1184" s="1" t="s">
        <v>22</v>
      </c>
      <c r="P1184" s="1" t="s">
        <v>698</v>
      </c>
      <c r="Q1184" s="1">
        <v>1</v>
      </c>
    </row>
    <row r="1185" spans="1:17" x14ac:dyDescent="0.2">
      <c r="D1185" s="1" t="s">
        <v>20</v>
      </c>
      <c r="E1185" s="1">
        <v>1400013731</v>
      </c>
      <c r="G1185" s="1" t="s">
        <v>162</v>
      </c>
      <c r="I1185" s="1" t="s">
        <v>162</v>
      </c>
      <c r="K1185" s="2">
        <v>-469964.58</v>
      </c>
      <c r="L1185" s="1" t="s">
        <v>22</v>
      </c>
      <c r="N1185" s="2">
        <v>-469964.58</v>
      </c>
      <c r="O1185" s="1" t="s">
        <v>22</v>
      </c>
      <c r="P1185" s="1" t="s">
        <v>699</v>
      </c>
      <c r="Q1185" s="1">
        <v>1</v>
      </c>
    </row>
    <row r="1186" spans="1:17" x14ac:dyDescent="0.2">
      <c r="D1186" s="1" t="s">
        <v>20</v>
      </c>
      <c r="E1186" s="1">
        <v>1400013731</v>
      </c>
      <c r="G1186" s="1" t="s">
        <v>162</v>
      </c>
      <c r="I1186" s="1" t="s">
        <v>162</v>
      </c>
      <c r="K1186" s="2">
        <v>-41400.9</v>
      </c>
      <c r="L1186" s="1" t="s">
        <v>22</v>
      </c>
      <c r="N1186" s="2">
        <v>-41400.9</v>
      </c>
      <c r="O1186" s="1" t="s">
        <v>22</v>
      </c>
      <c r="P1186" s="1" t="s">
        <v>700</v>
      </c>
      <c r="Q1186" s="1">
        <v>1</v>
      </c>
    </row>
    <row r="1187" spans="1:17" x14ac:dyDescent="0.2">
      <c r="D1187" s="1" t="s">
        <v>20</v>
      </c>
      <c r="E1187" s="1">
        <v>1400013762</v>
      </c>
      <c r="G1187" s="1" t="s">
        <v>61</v>
      </c>
      <c r="I1187" s="1" t="s">
        <v>61</v>
      </c>
      <c r="K1187" s="2">
        <v>-287956.38</v>
      </c>
      <c r="L1187" s="1" t="s">
        <v>22</v>
      </c>
      <c r="N1187" s="2">
        <v>-287956.38</v>
      </c>
      <c r="O1187" s="1" t="s">
        <v>22</v>
      </c>
      <c r="P1187" s="1" t="s">
        <v>700</v>
      </c>
      <c r="Q1187" s="1">
        <v>1</v>
      </c>
    </row>
    <row r="1188" spans="1:17" x14ac:dyDescent="0.2">
      <c r="D1188" s="1" t="s">
        <v>20</v>
      </c>
      <c r="E1188" s="1">
        <v>1400013762</v>
      </c>
      <c r="G1188" s="1" t="s">
        <v>61</v>
      </c>
      <c r="I1188" s="1" t="s">
        <v>61</v>
      </c>
      <c r="K1188" s="2">
        <v>-57654.9</v>
      </c>
      <c r="L1188" s="1" t="s">
        <v>22</v>
      </c>
      <c r="N1188" s="2">
        <v>-57654.9</v>
      </c>
      <c r="O1188" s="1" t="s">
        <v>22</v>
      </c>
      <c r="P1188" s="1" t="s">
        <v>701</v>
      </c>
      <c r="Q1188" s="1">
        <v>1</v>
      </c>
    </row>
    <row r="1189" spans="1:17" x14ac:dyDescent="0.2">
      <c r="D1189" s="1" t="s">
        <v>20</v>
      </c>
      <c r="E1189" s="1">
        <v>1400013762</v>
      </c>
      <c r="G1189" s="1" t="s">
        <v>61</v>
      </c>
      <c r="I1189" s="1" t="s">
        <v>61</v>
      </c>
      <c r="K1189" s="2">
        <v>-467752.98</v>
      </c>
      <c r="L1189" s="1" t="s">
        <v>22</v>
      </c>
      <c r="N1189" s="2">
        <v>-467752.98</v>
      </c>
      <c r="O1189" s="1" t="s">
        <v>22</v>
      </c>
      <c r="P1189" s="1" t="s">
        <v>702</v>
      </c>
      <c r="Q1189" s="1">
        <v>1</v>
      </c>
    </row>
    <row r="1190" spans="1:17" x14ac:dyDescent="0.2">
      <c r="D1190" s="1" t="s">
        <v>20</v>
      </c>
      <c r="E1190" s="1">
        <v>1400013762</v>
      </c>
      <c r="G1190" s="1" t="s">
        <v>61</v>
      </c>
      <c r="I1190" s="1" t="s">
        <v>61</v>
      </c>
      <c r="K1190" s="2">
        <v>-109922.92</v>
      </c>
      <c r="L1190" s="1" t="s">
        <v>22</v>
      </c>
      <c r="N1190" s="2">
        <v>-109922.92</v>
      </c>
      <c r="O1190" s="1" t="s">
        <v>22</v>
      </c>
      <c r="P1190" s="1" t="s">
        <v>703</v>
      </c>
      <c r="Q1190" s="1">
        <v>1</v>
      </c>
    </row>
    <row r="1191" spans="1:17" x14ac:dyDescent="0.2">
      <c r="D1191" s="1" t="s">
        <v>20</v>
      </c>
      <c r="E1191" s="1">
        <v>1400013770</v>
      </c>
      <c r="G1191" s="1" t="s">
        <v>113</v>
      </c>
      <c r="I1191" s="1" t="s">
        <v>113</v>
      </c>
      <c r="K1191" s="2">
        <v>-357830.06</v>
      </c>
      <c r="L1191" s="1" t="s">
        <v>22</v>
      </c>
      <c r="N1191" s="2">
        <v>-357830.06</v>
      </c>
      <c r="O1191" s="1" t="s">
        <v>22</v>
      </c>
      <c r="P1191" s="1" t="s">
        <v>703</v>
      </c>
      <c r="Q1191" s="1">
        <v>1</v>
      </c>
    </row>
    <row r="1192" spans="1:17" x14ac:dyDescent="0.2">
      <c r="D1192" s="1" t="s">
        <v>20</v>
      </c>
      <c r="E1192" s="1">
        <v>1400013770</v>
      </c>
      <c r="G1192" s="1" t="s">
        <v>113</v>
      </c>
      <c r="I1192" s="1" t="s">
        <v>113</v>
      </c>
      <c r="K1192" s="2">
        <v>-33849.599999999999</v>
      </c>
      <c r="L1192" s="1" t="s">
        <v>22</v>
      </c>
      <c r="N1192" s="2">
        <v>-33849.599999999999</v>
      </c>
      <c r="O1192" s="1" t="s">
        <v>22</v>
      </c>
      <c r="P1192" s="1" t="s">
        <v>704</v>
      </c>
      <c r="Q1192" s="1">
        <v>1</v>
      </c>
    </row>
    <row r="1194" spans="1:17" x14ac:dyDescent="0.2">
      <c r="B1194" s="1" t="s">
        <v>25</v>
      </c>
      <c r="K1194" s="2">
        <v>-4542992.28</v>
      </c>
      <c r="L1194" s="1" t="s">
        <v>22</v>
      </c>
      <c r="N1194" s="2">
        <v>-4542992.28</v>
      </c>
      <c r="O1194" s="1" t="s">
        <v>22</v>
      </c>
    </row>
    <row r="1196" spans="1:17" x14ac:dyDescent="0.2">
      <c r="A1196" s="3"/>
      <c r="B1196" s="3" t="s">
        <v>26</v>
      </c>
      <c r="C1196" s="3" t="s">
        <v>237</v>
      </c>
      <c r="D1196" s="3"/>
      <c r="E1196" s="3"/>
      <c r="F1196" s="3"/>
      <c r="G1196" s="3"/>
      <c r="H1196" s="3"/>
      <c r="I1196" s="3"/>
      <c r="J1196" s="3"/>
      <c r="K1196" s="4">
        <v>-4542992.28</v>
      </c>
      <c r="L1196" s="3" t="s">
        <v>22</v>
      </c>
      <c r="M1196" s="3"/>
      <c r="N1196" s="4">
        <v>-4542992.28</v>
      </c>
      <c r="O1196" s="3" t="s">
        <v>22</v>
      </c>
      <c r="P1196" s="3"/>
      <c r="Q1196" s="3"/>
    </row>
    <row r="1198" spans="1:17" x14ac:dyDescent="0.2">
      <c r="A1198" s="1" t="s">
        <v>0</v>
      </c>
      <c r="F1198" s="1">
        <v>501195</v>
      </c>
    </row>
    <row r="1199" spans="1:17" x14ac:dyDescent="0.2">
      <c r="A1199" s="1" t="s">
        <v>1</v>
      </c>
      <c r="F1199" s="1" t="s">
        <v>40</v>
      </c>
    </row>
    <row r="1201" spans="1:17" x14ac:dyDescent="0.2">
      <c r="A1201" s="1" t="s">
        <v>3</v>
      </c>
      <c r="F1201" s="1" t="s">
        <v>155</v>
      </c>
    </row>
    <row r="1202" spans="1:17" x14ac:dyDescent="0.2">
      <c r="A1202" s="1" t="s">
        <v>5</v>
      </c>
      <c r="F1202" s="1" t="s">
        <v>238</v>
      </c>
    </row>
    <row r="1205" spans="1:17" x14ac:dyDescent="0.2">
      <c r="C1205" s="1" t="s">
        <v>6</v>
      </c>
      <c r="D1205" s="1" t="s">
        <v>7</v>
      </c>
      <c r="E1205" s="1" t="s">
        <v>8</v>
      </c>
      <c r="G1205" s="1" t="s">
        <v>9</v>
      </c>
      <c r="H1205" s="1" t="s">
        <v>10</v>
      </c>
      <c r="I1205" s="1" t="s">
        <v>11</v>
      </c>
      <c r="J1205" s="1" t="s">
        <v>12</v>
      </c>
      <c r="K1205" s="1" t="s">
        <v>13</v>
      </c>
      <c r="L1205" s="1" t="s">
        <v>14</v>
      </c>
      <c r="M1205" s="1" t="s">
        <v>15</v>
      </c>
      <c r="N1205" s="1" t="s">
        <v>16</v>
      </c>
      <c r="O1205" s="1" t="s">
        <v>17</v>
      </c>
      <c r="P1205" s="1" t="s">
        <v>18</v>
      </c>
      <c r="Q1205" s="1" t="s">
        <v>19</v>
      </c>
    </row>
    <row r="1207" spans="1:17" x14ac:dyDescent="0.2">
      <c r="D1207" s="1" t="s">
        <v>20</v>
      </c>
      <c r="E1207" s="1">
        <v>1400013711</v>
      </c>
      <c r="G1207" s="1" t="s">
        <v>54</v>
      </c>
      <c r="I1207" s="1" t="s">
        <v>54</v>
      </c>
      <c r="K1207" s="2">
        <v>-248551</v>
      </c>
      <c r="L1207" s="1" t="s">
        <v>22</v>
      </c>
      <c r="N1207" s="2">
        <v>-248551</v>
      </c>
      <c r="O1207" s="1" t="s">
        <v>22</v>
      </c>
      <c r="P1207" s="1" t="s">
        <v>705</v>
      </c>
      <c r="Q1207" s="1">
        <v>1</v>
      </c>
    </row>
    <row r="1208" spans="1:17" x14ac:dyDescent="0.2">
      <c r="D1208" s="1" t="s">
        <v>20</v>
      </c>
      <c r="E1208" s="1">
        <v>1400013719</v>
      </c>
      <c r="G1208" s="1" t="s">
        <v>57</v>
      </c>
      <c r="I1208" s="1" t="s">
        <v>57</v>
      </c>
      <c r="K1208" s="2">
        <v>-96501.32</v>
      </c>
      <c r="L1208" s="1" t="s">
        <v>22</v>
      </c>
      <c r="N1208" s="2">
        <v>-96501.32</v>
      </c>
      <c r="O1208" s="1" t="s">
        <v>22</v>
      </c>
      <c r="P1208" s="1" t="s">
        <v>706</v>
      </c>
      <c r="Q1208" s="1">
        <v>1</v>
      </c>
    </row>
    <row r="1209" spans="1:17" x14ac:dyDescent="0.2">
      <c r="D1209" s="1" t="s">
        <v>20</v>
      </c>
      <c r="E1209" s="1">
        <v>1400013719</v>
      </c>
      <c r="G1209" s="1" t="s">
        <v>57</v>
      </c>
      <c r="I1209" s="1" t="s">
        <v>57</v>
      </c>
      <c r="K1209" s="2">
        <v>-141751.56</v>
      </c>
      <c r="L1209" s="1" t="s">
        <v>22</v>
      </c>
      <c r="N1209" s="2">
        <v>-141751.56</v>
      </c>
      <c r="O1209" s="1" t="s">
        <v>22</v>
      </c>
      <c r="P1209" s="1" t="s">
        <v>707</v>
      </c>
      <c r="Q1209" s="1">
        <v>1</v>
      </c>
    </row>
    <row r="1211" spans="1:17" x14ac:dyDescent="0.2">
      <c r="B1211" s="1" t="s">
        <v>25</v>
      </c>
      <c r="K1211" s="2">
        <v>-486803.88</v>
      </c>
      <c r="L1211" s="1" t="s">
        <v>22</v>
      </c>
      <c r="N1211" s="2">
        <v>-486803.88</v>
      </c>
      <c r="O1211" s="1" t="s">
        <v>22</v>
      </c>
    </row>
    <row r="1213" spans="1:17" x14ac:dyDescent="0.2">
      <c r="A1213" s="3"/>
      <c r="B1213" s="3" t="s">
        <v>26</v>
      </c>
      <c r="C1213" s="3" t="s">
        <v>241</v>
      </c>
      <c r="D1213" s="3"/>
      <c r="E1213" s="3"/>
      <c r="F1213" s="3"/>
      <c r="G1213" s="3"/>
      <c r="H1213" s="3"/>
      <c r="I1213" s="3"/>
      <c r="J1213" s="3"/>
      <c r="K1213" s="4">
        <v>-486803.88</v>
      </c>
      <c r="L1213" s="3" t="s">
        <v>22</v>
      </c>
      <c r="M1213" s="3"/>
      <c r="N1213" s="4">
        <v>-486803.88</v>
      </c>
      <c r="O1213" s="3" t="s">
        <v>22</v>
      </c>
      <c r="P1213" s="3"/>
      <c r="Q1213" s="3"/>
    </row>
    <row r="1215" spans="1:17" x14ac:dyDescent="0.2">
      <c r="A1215" s="1" t="s">
        <v>0</v>
      </c>
      <c r="F1215" s="1">
        <v>501196</v>
      </c>
    </row>
    <row r="1216" spans="1:17" x14ac:dyDescent="0.2">
      <c r="A1216" s="1" t="s">
        <v>1</v>
      </c>
      <c r="F1216" s="1" t="s">
        <v>40</v>
      </c>
    </row>
    <row r="1218" spans="1:17" x14ac:dyDescent="0.2">
      <c r="A1218" s="1" t="s">
        <v>3</v>
      </c>
      <c r="F1218" s="1" t="s">
        <v>242</v>
      </c>
    </row>
    <row r="1219" spans="1:17" x14ac:dyDescent="0.2">
      <c r="A1219" s="1" t="s">
        <v>5</v>
      </c>
      <c r="F1219" s="1" t="s">
        <v>70</v>
      </c>
    </row>
    <row r="1222" spans="1:17" x14ac:dyDescent="0.2">
      <c r="C1222" s="1" t="s">
        <v>6</v>
      </c>
      <c r="D1222" s="1" t="s">
        <v>7</v>
      </c>
      <c r="E1222" s="1" t="s">
        <v>8</v>
      </c>
      <c r="G1222" s="1" t="s">
        <v>9</v>
      </c>
      <c r="H1222" s="1" t="s">
        <v>10</v>
      </c>
      <c r="I1222" s="1" t="s">
        <v>11</v>
      </c>
      <c r="J1222" s="1" t="s">
        <v>12</v>
      </c>
      <c r="K1222" s="1" t="s">
        <v>13</v>
      </c>
      <c r="L1222" s="1" t="s">
        <v>14</v>
      </c>
      <c r="M1222" s="1" t="s">
        <v>15</v>
      </c>
      <c r="N1222" s="1" t="s">
        <v>16</v>
      </c>
      <c r="O1222" s="1" t="s">
        <v>17</v>
      </c>
      <c r="P1222" s="1" t="s">
        <v>18</v>
      </c>
      <c r="Q1222" s="1" t="s">
        <v>19</v>
      </c>
    </row>
    <row r="1224" spans="1:17" x14ac:dyDescent="0.2">
      <c r="D1224" s="1" t="s">
        <v>20</v>
      </c>
      <c r="E1224" s="1">
        <v>1400013769</v>
      </c>
      <c r="G1224" s="1" t="s">
        <v>88</v>
      </c>
      <c r="I1224" s="1" t="s">
        <v>88</v>
      </c>
      <c r="K1224" s="2">
        <v>-500000</v>
      </c>
      <c r="L1224" s="1" t="s">
        <v>22</v>
      </c>
      <c r="N1224" s="2">
        <v>-500000</v>
      </c>
      <c r="O1224" s="1" t="s">
        <v>22</v>
      </c>
      <c r="P1224" s="1" t="s">
        <v>708</v>
      </c>
      <c r="Q1224" s="1">
        <v>1</v>
      </c>
    </row>
    <row r="1225" spans="1:17" x14ac:dyDescent="0.2">
      <c r="D1225" s="1" t="s">
        <v>20</v>
      </c>
      <c r="E1225" s="1">
        <v>1400013856</v>
      </c>
      <c r="G1225" s="1" t="s">
        <v>77</v>
      </c>
      <c r="I1225" s="1" t="s">
        <v>77</v>
      </c>
      <c r="K1225" s="2">
        <v>-173839.62</v>
      </c>
      <c r="L1225" s="1" t="s">
        <v>22</v>
      </c>
      <c r="N1225" s="2">
        <v>-173839.62</v>
      </c>
      <c r="O1225" s="1" t="s">
        <v>22</v>
      </c>
      <c r="P1225" s="1" t="s">
        <v>708</v>
      </c>
      <c r="Q1225" s="1">
        <v>1</v>
      </c>
    </row>
    <row r="1226" spans="1:17" x14ac:dyDescent="0.2">
      <c r="D1226" s="1" t="s">
        <v>20</v>
      </c>
      <c r="E1226" s="1">
        <v>1400013856</v>
      </c>
      <c r="G1226" s="1" t="s">
        <v>77</v>
      </c>
      <c r="I1226" s="1" t="s">
        <v>77</v>
      </c>
      <c r="K1226" s="2">
        <v>-51535.13</v>
      </c>
      <c r="L1226" s="1" t="s">
        <v>22</v>
      </c>
      <c r="N1226" s="2">
        <v>-51535.13</v>
      </c>
      <c r="O1226" s="1" t="s">
        <v>22</v>
      </c>
      <c r="P1226" s="1" t="s">
        <v>709</v>
      </c>
      <c r="Q1226" s="1">
        <v>1</v>
      </c>
    </row>
    <row r="1227" spans="1:17" x14ac:dyDescent="0.2">
      <c r="D1227" s="1" t="s">
        <v>20</v>
      </c>
      <c r="E1227" s="1">
        <v>1400013891</v>
      </c>
      <c r="G1227" s="1" t="s">
        <v>66</v>
      </c>
      <c r="I1227" s="1" t="s">
        <v>66</v>
      </c>
      <c r="K1227" s="2">
        <v>-54115.49</v>
      </c>
      <c r="L1227" s="1" t="s">
        <v>22</v>
      </c>
      <c r="N1227" s="2">
        <v>-54115.49</v>
      </c>
      <c r="O1227" s="1" t="s">
        <v>22</v>
      </c>
      <c r="P1227" s="1" t="s">
        <v>710</v>
      </c>
      <c r="Q1227" s="1">
        <v>1</v>
      </c>
    </row>
    <row r="1228" spans="1:17" x14ac:dyDescent="0.2">
      <c r="D1228" s="1" t="s">
        <v>20</v>
      </c>
      <c r="E1228" s="1">
        <v>1400013891</v>
      </c>
      <c r="G1228" s="1" t="s">
        <v>66</v>
      </c>
      <c r="I1228" s="1" t="s">
        <v>66</v>
      </c>
      <c r="K1228" s="2">
        <v>-448651.27</v>
      </c>
      <c r="L1228" s="1" t="s">
        <v>22</v>
      </c>
      <c r="N1228" s="2">
        <v>-448651.27</v>
      </c>
      <c r="O1228" s="1" t="s">
        <v>22</v>
      </c>
      <c r="P1228" s="1" t="s">
        <v>709</v>
      </c>
      <c r="Q1228" s="1">
        <v>1</v>
      </c>
    </row>
    <row r="1230" spans="1:17" x14ac:dyDescent="0.2">
      <c r="B1230" s="1" t="s">
        <v>25</v>
      </c>
      <c r="K1230" s="2">
        <v>-1228141.51</v>
      </c>
      <c r="L1230" s="1" t="s">
        <v>22</v>
      </c>
      <c r="N1230" s="2">
        <v>-1228141.51</v>
      </c>
      <c r="O1230" s="1" t="s">
        <v>22</v>
      </c>
    </row>
    <row r="1232" spans="1:17" x14ac:dyDescent="0.2">
      <c r="A1232" s="3"/>
      <c r="B1232" s="3" t="s">
        <v>26</v>
      </c>
      <c r="C1232" s="3" t="s">
        <v>245</v>
      </c>
      <c r="D1232" s="3"/>
      <c r="E1232" s="3"/>
      <c r="F1232" s="3"/>
      <c r="G1232" s="3"/>
      <c r="H1232" s="3"/>
      <c r="I1232" s="3"/>
      <c r="J1232" s="3"/>
      <c r="K1232" s="4">
        <v>-1228141.51</v>
      </c>
      <c r="L1232" s="3" t="s">
        <v>22</v>
      </c>
      <c r="M1232" s="3"/>
      <c r="N1232" s="4">
        <v>-1228141.51</v>
      </c>
      <c r="O1232" s="3" t="s">
        <v>22</v>
      </c>
      <c r="P1232" s="3"/>
      <c r="Q1232" s="3"/>
    </row>
    <row r="1234" spans="1:17" x14ac:dyDescent="0.2">
      <c r="A1234" s="1" t="s">
        <v>0</v>
      </c>
      <c r="F1234" s="1">
        <v>501198</v>
      </c>
    </row>
    <row r="1235" spans="1:17" x14ac:dyDescent="0.2">
      <c r="A1235" s="1" t="s">
        <v>1</v>
      </c>
      <c r="F1235" s="1" t="s">
        <v>40</v>
      </c>
    </row>
    <row r="1237" spans="1:17" x14ac:dyDescent="0.2">
      <c r="A1237" s="1" t="s">
        <v>3</v>
      </c>
      <c r="F1237" s="1" t="s">
        <v>711</v>
      </c>
    </row>
    <row r="1238" spans="1:17" x14ac:dyDescent="0.2">
      <c r="A1238" s="1" t="s">
        <v>5</v>
      </c>
      <c r="F1238" s="1" t="s">
        <v>282</v>
      </c>
    </row>
    <row r="1241" spans="1:17" x14ac:dyDescent="0.2">
      <c r="C1241" s="1" t="s">
        <v>6</v>
      </c>
      <c r="D1241" s="1" t="s">
        <v>7</v>
      </c>
      <c r="E1241" s="1" t="s">
        <v>8</v>
      </c>
      <c r="G1241" s="1" t="s">
        <v>9</v>
      </c>
      <c r="H1241" s="1" t="s">
        <v>10</v>
      </c>
      <c r="I1241" s="1" t="s">
        <v>11</v>
      </c>
      <c r="J1241" s="1" t="s">
        <v>12</v>
      </c>
      <c r="K1241" s="1" t="s">
        <v>13</v>
      </c>
      <c r="L1241" s="1" t="s">
        <v>14</v>
      </c>
      <c r="M1241" s="1" t="s">
        <v>15</v>
      </c>
      <c r="N1241" s="1" t="s">
        <v>16</v>
      </c>
      <c r="O1241" s="1" t="s">
        <v>17</v>
      </c>
      <c r="P1241" s="1" t="s">
        <v>18</v>
      </c>
      <c r="Q1241" s="1" t="s">
        <v>19</v>
      </c>
    </row>
    <row r="1243" spans="1:17" x14ac:dyDescent="0.2">
      <c r="D1243" s="1" t="s">
        <v>20</v>
      </c>
      <c r="E1243" s="1">
        <v>1400013837</v>
      </c>
      <c r="G1243" s="1" t="s">
        <v>90</v>
      </c>
      <c r="I1243" s="1" t="s">
        <v>90</v>
      </c>
      <c r="K1243" s="2">
        <v>-34808.83</v>
      </c>
      <c r="L1243" s="1" t="s">
        <v>22</v>
      </c>
      <c r="N1243" s="2">
        <v>-34808.83</v>
      </c>
      <c r="O1243" s="1" t="s">
        <v>22</v>
      </c>
      <c r="P1243" s="1" t="s">
        <v>712</v>
      </c>
      <c r="Q1243" s="1">
        <v>1</v>
      </c>
    </row>
    <row r="1245" spans="1:17" x14ac:dyDescent="0.2">
      <c r="B1245" s="1" t="s">
        <v>25</v>
      </c>
      <c r="K1245" s="2">
        <v>-34808.83</v>
      </c>
      <c r="L1245" s="1" t="s">
        <v>22</v>
      </c>
      <c r="N1245" s="2">
        <v>-34808.83</v>
      </c>
      <c r="O1245" s="1" t="s">
        <v>22</v>
      </c>
    </row>
    <row r="1247" spans="1:17" x14ac:dyDescent="0.2">
      <c r="A1247" s="3"/>
      <c r="B1247" s="3" t="s">
        <v>26</v>
      </c>
      <c r="C1247" s="3" t="s">
        <v>713</v>
      </c>
      <c r="D1247" s="3"/>
      <c r="E1247" s="3"/>
      <c r="F1247" s="3"/>
      <c r="G1247" s="3"/>
      <c r="H1247" s="3"/>
      <c r="I1247" s="3"/>
      <c r="J1247" s="3"/>
      <c r="K1247" s="4">
        <v>-34808.83</v>
      </c>
      <c r="L1247" s="3" t="s">
        <v>22</v>
      </c>
      <c r="M1247" s="3"/>
      <c r="N1247" s="4">
        <v>-34808.83</v>
      </c>
      <c r="O1247" s="3" t="s">
        <v>22</v>
      </c>
      <c r="P1247" s="3"/>
      <c r="Q1247" s="3"/>
    </row>
    <row r="1249" spans="1:17" x14ac:dyDescent="0.2">
      <c r="A1249" s="1" t="s">
        <v>0</v>
      </c>
      <c r="F1249" s="1">
        <v>501203</v>
      </c>
    </row>
    <row r="1250" spans="1:17" x14ac:dyDescent="0.2">
      <c r="A1250" s="1" t="s">
        <v>1</v>
      </c>
      <c r="F1250" s="1" t="s">
        <v>40</v>
      </c>
    </row>
    <row r="1252" spans="1:17" x14ac:dyDescent="0.2">
      <c r="A1252" s="1" t="s">
        <v>3</v>
      </c>
      <c r="F1252" s="1" t="s">
        <v>714</v>
      </c>
    </row>
    <row r="1253" spans="1:17" x14ac:dyDescent="0.2">
      <c r="A1253" s="1" t="s">
        <v>5</v>
      </c>
      <c r="F1253" s="1" t="s">
        <v>395</v>
      </c>
    </row>
    <row r="1256" spans="1:17" x14ac:dyDescent="0.2">
      <c r="C1256" s="1" t="s">
        <v>6</v>
      </c>
      <c r="D1256" s="1" t="s">
        <v>7</v>
      </c>
      <c r="E1256" s="1" t="s">
        <v>8</v>
      </c>
      <c r="G1256" s="1" t="s">
        <v>9</v>
      </c>
      <c r="H1256" s="1" t="s">
        <v>10</v>
      </c>
      <c r="I1256" s="1" t="s">
        <v>11</v>
      </c>
      <c r="J1256" s="1" t="s">
        <v>12</v>
      </c>
      <c r="K1256" s="1" t="s">
        <v>13</v>
      </c>
      <c r="L1256" s="1" t="s">
        <v>14</v>
      </c>
      <c r="M1256" s="1" t="s">
        <v>15</v>
      </c>
      <c r="N1256" s="1" t="s">
        <v>16</v>
      </c>
      <c r="O1256" s="1" t="s">
        <v>17</v>
      </c>
      <c r="P1256" s="1" t="s">
        <v>18</v>
      </c>
      <c r="Q1256" s="1" t="s">
        <v>19</v>
      </c>
    </row>
    <row r="1258" spans="1:17" x14ac:dyDescent="0.2">
      <c r="D1258" s="1" t="s">
        <v>20</v>
      </c>
      <c r="E1258" s="1">
        <v>1400013828</v>
      </c>
      <c r="G1258" s="1" t="s">
        <v>85</v>
      </c>
      <c r="I1258" s="1" t="s">
        <v>85</v>
      </c>
      <c r="K1258" s="2">
        <v>-19293.060000000001</v>
      </c>
      <c r="L1258" s="1" t="s">
        <v>22</v>
      </c>
      <c r="N1258" s="2">
        <v>-19293.060000000001</v>
      </c>
      <c r="O1258" s="1" t="s">
        <v>22</v>
      </c>
      <c r="P1258" s="1" t="s">
        <v>715</v>
      </c>
      <c r="Q1258" s="1">
        <v>1</v>
      </c>
    </row>
    <row r="1260" spans="1:17" x14ac:dyDescent="0.2">
      <c r="B1260" s="1" t="s">
        <v>25</v>
      </c>
      <c r="K1260" s="2">
        <v>-19293.060000000001</v>
      </c>
      <c r="L1260" s="1" t="s">
        <v>22</v>
      </c>
      <c r="N1260" s="2">
        <v>-19293.060000000001</v>
      </c>
      <c r="O1260" s="1" t="s">
        <v>22</v>
      </c>
    </row>
    <row r="1262" spans="1:17" x14ac:dyDescent="0.2">
      <c r="A1262" s="3"/>
      <c r="B1262" s="3" t="s">
        <v>26</v>
      </c>
      <c r="C1262" s="3" t="s">
        <v>716</v>
      </c>
      <c r="D1262" s="3"/>
      <c r="E1262" s="3"/>
      <c r="F1262" s="3"/>
      <c r="G1262" s="3"/>
      <c r="H1262" s="3"/>
      <c r="I1262" s="3"/>
      <c r="J1262" s="3"/>
      <c r="K1262" s="4">
        <v>-19293.060000000001</v>
      </c>
      <c r="L1262" s="3" t="s">
        <v>22</v>
      </c>
      <c r="M1262" s="3"/>
      <c r="N1262" s="4">
        <v>-19293.060000000001</v>
      </c>
      <c r="O1262" s="3" t="s">
        <v>22</v>
      </c>
      <c r="P1262" s="3"/>
      <c r="Q1262" s="3"/>
    </row>
    <row r="1264" spans="1:17" x14ac:dyDescent="0.2">
      <c r="A1264" s="1" t="s">
        <v>0</v>
      </c>
      <c r="F1264" s="1">
        <v>501204</v>
      </c>
    </row>
    <row r="1265" spans="1:17" x14ac:dyDescent="0.2">
      <c r="A1265" s="1" t="s">
        <v>1</v>
      </c>
      <c r="F1265" s="1" t="s">
        <v>40</v>
      </c>
    </row>
    <row r="1267" spans="1:17" x14ac:dyDescent="0.2">
      <c r="A1267" s="1" t="s">
        <v>3</v>
      </c>
      <c r="F1267" s="1" t="s">
        <v>652</v>
      </c>
    </row>
    <row r="1268" spans="1:17" x14ac:dyDescent="0.2">
      <c r="A1268" s="1" t="s">
        <v>5</v>
      </c>
      <c r="F1268" s="1" t="s">
        <v>495</v>
      </c>
    </row>
    <row r="1271" spans="1:17" x14ac:dyDescent="0.2">
      <c r="C1271" s="1" t="s">
        <v>6</v>
      </c>
      <c r="D1271" s="1" t="s">
        <v>7</v>
      </c>
      <c r="E1271" s="1" t="s">
        <v>8</v>
      </c>
      <c r="G1271" s="1" t="s">
        <v>9</v>
      </c>
      <c r="H1271" s="1" t="s">
        <v>10</v>
      </c>
      <c r="I1271" s="1" t="s">
        <v>11</v>
      </c>
      <c r="J1271" s="1" t="s">
        <v>12</v>
      </c>
      <c r="K1271" s="1" t="s">
        <v>13</v>
      </c>
      <c r="L1271" s="1" t="s">
        <v>14</v>
      </c>
      <c r="M1271" s="1" t="s">
        <v>15</v>
      </c>
      <c r="N1271" s="1" t="s">
        <v>16</v>
      </c>
      <c r="O1271" s="1" t="s">
        <v>17</v>
      </c>
      <c r="P1271" s="1" t="s">
        <v>18</v>
      </c>
      <c r="Q1271" s="1" t="s">
        <v>19</v>
      </c>
    </row>
    <row r="1273" spans="1:17" x14ac:dyDescent="0.2">
      <c r="D1273" s="1" t="s">
        <v>20</v>
      </c>
      <c r="E1273" s="1">
        <v>1400013669</v>
      </c>
      <c r="G1273" s="1" t="s">
        <v>162</v>
      </c>
      <c r="I1273" s="1" t="s">
        <v>162</v>
      </c>
      <c r="K1273" s="2">
        <v>-41403.31</v>
      </c>
      <c r="L1273" s="1" t="s">
        <v>22</v>
      </c>
      <c r="N1273" s="2">
        <v>-41403.31</v>
      </c>
      <c r="O1273" s="1" t="s">
        <v>22</v>
      </c>
      <c r="P1273" s="1" t="s">
        <v>717</v>
      </c>
      <c r="Q1273" s="1">
        <v>1</v>
      </c>
    </row>
    <row r="1275" spans="1:17" x14ac:dyDescent="0.2">
      <c r="B1275" s="1" t="s">
        <v>25</v>
      </c>
      <c r="K1275" s="2">
        <v>-41403.31</v>
      </c>
      <c r="L1275" s="1" t="s">
        <v>22</v>
      </c>
      <c r="N1275" s="2">
        <v>-41403.31</v>
      </c>
      <c r="O1275" s="1" t="s">
        <v>22</v>
      </c>
    </row>
    <row r="1277" spans="1:17" x14ac:dyDescent="0.2">
      <c r="A1277" s="3"/>
      <c r="B1277" s="3" t="s">
        <v>26</v>
      </c>
      <c r="C1277" s="3" t="s">
        <v>718</v>
      </c>
      <c r="D1277" s="3"/>
      <c r="E1277" s="3"/>
      <c r="F1277" s="3"/>
      <c r="G1277" s="3"/>
      <c r="H1277" s="3"/>
      <c r="I1277" s="3"/>
      <c r="J1277" s="3"/>
      <c r="K1277" s="4">
        <v>-41403.31</v>
      </c>
      <c r="L1277" s="3" t="s">
        <v>22</v>
      </c>
      <c r="M1277" s="3"/>
      <c r="N1277" s="4">
        <v>-41403.31</v>
      </c>
      <c r="O1277" s="3" t="s">
        <v>22</v>
      </c>
      <c r="P1277" s="3"/>
      <c r="Q1277" s="3"/>
    </row>
    <row r="1279" spans="1:17" x14ac:dyDescent="0.2">
      <c r="A1279" s="1" t="s">
        <v>0</v>
      </c>
      <c r="F1279" s="1">
        <v>501205</v>
      </c>
    </row>
    <row r="1280" spans="1:17" x14ac:dyDescent="0.2">
      <c r="A1280" s="1" t="s">
        <v>1</v>
      </c>
      <c r="F1280" s="1" t="s">
        <v>40</v>
      </c>
    </row>
    <row r="1282" spans="1:17" x14ac:dyDescent="0.2">
      <c r="A1282" s="1" t="s">
        <v>3</v>
      </c>
      <c r="F1282" s="1" t="s">
        <v>652</v>
      </c>
    </row>
    <row r="1283" spans="1:17" x14ac:dyDescent="0.2">
      <c r="A1283" s="1" t="s">
        <v>5</v>
      </c>
      <c r="F1283" s="1" t="s">
        <v>719</v>
      </c>
    </row>
    <row r="1286" spans="1:17" x14ac:dyDescent="0.2">
      <c r="C1286" s="1" t="s">
        <v>6</v>
      </c>
      <c r="D1286" s="1" t="s">
        <v>7</v>
      </c>
      <c r="E1286" s="1" t="s">
        <v>8</v>
      </c>
      <c r="G1286" s="1" t="s">
        <v>9</v>
      </c>
      <c r="H1286" s="1" t="s">
        <v>10</v>
      </c>
      <c r="I1286" s="1" t="s">
        <v>11</v>
      </c>
      <c r="J1286" s="1" t="s">
        <v>12</v>
      </c>
      <c r="K1286" s="1" t="s">
        <v>13</v>
      </c>
      <c r="L1286" s="1" t="s">
        <v>14</v>
      </c>
      <c r="M1286" s="1" t="s">
        <v>15</v>
      </c>
      <c r="N1286" s="1" t="s">
        <v>16</v>
      </c>
      <c r="O1286" s="1" t="s">
        <v>17</v>
      </c>
      <c r="P1286" s="1" t="s">
        <v>18</v>
      </c>
      <c r="Q1286" s="1" t="s">
        <v>19</v>
      </c>
    </row>
    <row r="1288" spans="1:17" x14ac:dyDescent="0.2">
      <c r="D1288" s="1" t="s">
        <v>20</v>
      </c>
      <c r="E1288" s="1">
        <v>1400013669</v>
      </c>
      <c r="G1288" s="1" t="s">
        <v>162</v>
      </c>
      <c r="I1288" s="1" t="s">
        <v>162</v>
      </c>
      <c r="K1288" s="2">
        <v>-41403.31</v>
      </c>
      <c r="L1288" s="1" t="s">
        <v>22</v>
      </c>
      <c r="N1288" s="2">
        <v>-41403.31</v>
      </c>
      <c r="O1288" s="1" t="s">
        <v>22</v>
      </c>
      <c r="P1288" s="1" t="s">
        <v>720</v>
      </c>
      <c r="Q1288" s="1">
        <v>1</v>
      </c>
    </row>
    <row r="1290" spans="1:17" x14ac:dyDescent="0.2">
      <c r="B1290" s="1" t="s">
        <v>25</v>
      </c>
      <c r="K1290" s="2">
        <v>-41403.31</v>
      </c>
      <c r="L1290" s="1" t="s">
        <v>22</v>
      </c>
      <c r="N1290" s="2">
        <v>-41403.31</v>
      </c>
      <c r="O1290" s="1" t="s">
        <v>22</v>
      </c>
    </row>
    <row r="1292" spans="1:17" x14ac:dyDescent="0.2">
      <c r="A1292" s="3"/>
      <c r="B1292" s="3" t="s">
        <v>26</v>
      </c>
      <c r="C1292" s="3" t="s">
        <v>721</v>
      </c>
      <c r="D1292" s="3"/>
      <c r="E1292" s="3"/>
      <c r="F1292" s="3"/>
      <c r="G1292" s="3"/>
      <c r="H1292" s="3"/>
      <c r="I1292" s="3"/>
      <c r="J1292" s="3"/>
      <c r="K1292" s="4">
        <v>-41403.31</v>
      </c>
      <c r="L1292" s="3" t="s">
        <v>22</v>
      </c>
      <c r="M1292" s="3"/>
      <c r="N1292" s="4">
        <v>-41403.31</v>
      </c>
      <c r="O1292" s="3" t="s">
        <v>22</v>
      </c>
      <c r="P1292" s="3"/>
      <c r="Q1292" s="3"/>
    </row>
    <row r="1294" spans="1:17" x14ac:dyDescent="0.2">
      <c r="A1294" s="1" t="s">
        <v>0</v>
      </c>
      <c r="F1294" s="1">
        <v>501206</v>
      </c>
    </row>
    <row r="1295" spans="1:17" x14ac:dyDescent="0.2">
      <c r="A1295" s="1" t="s">
        <v>1</v>
      </c>
      <c r="F1295" s="1" t="s">
        <v>40</v>
      </c>
    </row>
    <row r="1297" spans="1:17" x14ac:dyDescent="0.2">
      <c r="A1297" s="1" t="s">
        <v>3</v>
      </c>
      <c r="F1297" s="1" t="s">
        <v>260</v>
      </c>
    </row>
    <row r="1298" spans="1:17" x14ac:dyDescent="0.2">
      <c r="A1298" s="1" t="s">
        <v>5</v>
      </c>
      <c r="F1298" s="1" t="s">
        <v>204</v>
      </c>
    </row>
    <row r="1301" spans="1:17" x14ac:dyDescent="0.2">
      <c r="C1301" s="1" t="s">
        <v>6</v>
      </c>
      <c r="D1301" s="1" t="s">
        <v>7</v>
      </c>
      <c r="E1301" s="1" t="s">
        <v>8</v>
      </c>
      <c r="G1301" s="1" t="s">
        <v>9</v>
      </c>
      <c r="H1301" s="1" t="s">
        <v>10</v>
      </c>
      <c r="I1301" s="1" t="s">
        <v>11</v>
      </c>
      <c r="J1301" s="1" t="s">
        <v>12</v>
      </c>
      <c r="K1301" s="1" t="s">
        <v>13</v>
      </c>
      <c r="L1301" s="1" t="s">
        <v>14</v>
      </c>
      <c r="M1301" s="1" t="s">
        <v>15</v>
      </c>
      <c r="N1301" s="1" t="s">
        <v>16</v>
      </c>
      <c r="O1301" s="1" t="s">
        <v>17</v>
      </c>
      <c r="P1301" s="1" t="s">
        <v>18</v>
      </c>
      <c r="Q1301" s="1" t="s">
        <v>19</v>
      </c>
    </row>
    <row r="1303" spans="1:17" x14ac:dyDescent="0.2">
      <c r="D1303" s="1" t="s">
        <v>20</v>
      </c>
      <c r="E1303" s="1">
        <v>103353811</v>
      </c>
      <c r="G1303" s="1" t="s">
        <v>66</v>
      </c>
      <c r="I1303" s="1" t="s">
        <v>66</v>
      </c>
      <c r="K1303" s="2">
        <v>-664868.54</v>
      </c>
      <c r="L1303" s="1" t="s">
        <v>22</v>
      </c>
      <c r="N1303" s="2">
        <v>-664868.54</v>
      </c>
      <c r="O1303" s="1" t="s">
        <v>22</v>
      </c>
      <c r="P1303" s="1" t="s">
        <v>722</v>
      </c>
      <c r="Q1303" s="1">
        <v>1</v>
      </c>
    </row>
    <row r="1304" spans="1:17" x14ac:dyDescent="0.2">
      <c r="D1304" s="1" t="s">
        <v>20</v>
      </c>
      <c r="E1304" s="1">
        <v>103353812</v>
      </c>
      <c r="G1304" s="1" t="s">
        <v>66</v>
      </c>
      <c r="I1304" s="1" t="s">
        <v>66</v>
      </c>
      <c r="K1304" s="2">
        <v>-334073.17</v>
      </c>
      <c r="L1304" s="1" t="s">
        <v>22</v>
      </c>
      <c r="N1304" s="2">
        <v>-334073.17</v>
      </c>
      <c r="O1304" s="1" t="s">
        <v>22</v>
      </c>
      <c r="P1304" s="1" t="s">
        <v>723</v>
      </c>
      <c r="Q1304" s="1">
        <v>1</v>
      </c>
    </row>
    <row r="1306" spans="1:17" x14ac:dyDescent="0.2">
      <c r="B1306" s="1" t="s">
        <v>25</v>
      </c>
      <c r="K1306" s="2">
        <v>-998941.71</v>
      </c>
      <c r="L1306" s="1" t="s">
        <v>22</v>
      </c>
      <c r="N1306" s="2">
        <v>-998941.71</v>
      </c>
      <c r="O1306" s="1" t="s">
        <v>22</v>
      </c>
    </row>
    <row r="1308" spans="1:17" x14ac:dyDescent="0.2">
      <c r="A1308" s="3"/>
      <c r="B1308" s="3" t="s">
        <v>26</v>
      </c>
      <c r="C1308" s="3" t="s">
        <v>263</v>
      </c>
      <c r="D1308" s="3"/>
      <c r="E1308" s="3"/>
      <c r="F1308" s="3"/>
      <c r="G1308" s="3"/>
      <c r="H1308" s="3"/>
      <c r="I1308" s="3"/>
      <c r="J1308" s="3"/>
      <c r="K1308" s="4">
        <v>-998941.71</v>
      </c>
      <c r="L1308" s="3" t="s">
        <v>22</v>
      </c>
      <c r="M1308" s="3"/>
      <c r="N1308" s="4">
        <v>-998941.71</v>
      </c>
      <c r="O1308" s="3" t="s">
        <v>22</v>
      </c>
      <c r="P1308" s="3"/>
      <c r="Q1308" s="3"/>
    </row>
    <row r="1310" spans="1:17" x14ac:dyDescent="0.2">
      <c r="A1310" s="1" t="s">
        <v>0</v>
      </c>
      <c r="F1310" s="1">
        <v>501208</v>
      </c>
    </row>
    <row r="1311" spans="1:17" x14ac:dyDescent="0.2">
      <c r="A1311" s="1" t="s">
        <v>1</v>
      </c>
      <c r="F1311" s="1" t="s">
        <v>40</v>
      </c>
    </row>
    <row r="1313" spans="1:17" x14ac:dyDescent="0.2">
      <c r="A1313" s="1" t="s">
        <v>3</v>
      </c>
      <c r="F1313" s="1" t="s">
        <v>211</v>
      </c>
    </row>
    <row r="1314" spans="1:17" x14ac:dyDescent="0.2">
      <c r="A1314" s="1" t="s">
        <v>5</v>
      </c>
      <c r="F1314" s="1" t="s">
        <v>238</v>
      </c>
    </row>
    <row r="1317" spans="1:17" x14ac:dyDescent="0.2">
      <c r="C1317" s="1" t="s">
        <v>6</v>
      </c>
      <c r="D1317" s="1" t="s">
        <v>7</v>
      </c>
      <c r="E1317" s="1" t="s">
        <v>8</v>
      </c>
      <c r="G1317" s="1" t="s">
        <v>9</v>
      </c>
      <c r="H1317" s="1" t="s">
        <v>10</v>
      </c>
      <c r="I1317" s="1" t="s">
        <v>11</v>
      </c>
      <c r="J1317" s="1" t="s">
        <v>12</v>
      </c>
      <c r="K1317" s="1" t="s">
        <v>13</v>
      </c>
      <c r="L1317" s="1" t="s">
        <v>14</v>
      </c>
      <c r="M1317" s="1" t="s">
        <v>15</v>
      </c>
      <c r="N1317" s="1" t="s">
        <v>16</v>
      </c>
      <c r="O1317" s="1" t="s">
        <v>17</v>
      </c>
      <c r="P1317" s="1" t="s">
        <v>18</v>
      </c>
      <c r="Q1317" s="1" t="s">
        <v>19</v>
      </c>
    </row>
    <row r="1319" spans="1:17" x14ac:dyDescent="0.2">
      <c r="D1319" s="1" t="s">
        <v>20</v>
      </c>
      <c r="E1319" s="1">
        <v>1400013870</v>
      </c>
      <c r="G1319" s="1" t="s">
        <v>64</v>
      </c>
      <c r="I1319" s="1" t="s">
        <v>64</v>
      </c>
      <c r="K1319" s="2">
        <v>-1187177</v>
      </c>
      <c r="L1319" s="1" t="s">
        <v>22</v>
      </c>
      <c r="N1319" s="2">
        <v>-1187177</v>
      </c>
      <c r="O1319" s="1" t="s">
        <v>22</v>
      </c>
      <c r="P1319" s="1" t="s">
        <v>724</v>
      </c>
      <c r="Q1319" s="1">
        <v>1</v>
      </c>
    </row>
    <row r="1320" spans="1:17" x14ac:dyDescent="0.2">
      <c r="D1320" s="1" t="s">
        <v>20</v>
      </c>
      <c r="E1320" s="1">
        <v>1400013890</v>
      </c>
      <c r="G1320" s="1" t="s">
        <v>66</v>
      </c>
      <c r="I1320" s="1" t="s">
        <v>66</v>
      </c>
      <c r="K1320" s="2">
        <v>-39085.51</v>
      </c>
      <c r="L1320" s="1" t="s">
        <v>22</v>
      </c>
      <c r="N1320" s="2">
        <v>-39085.51</v>
      </c>
      <c r="O1320" s="1" t="s">
        <v>22</v>
      </c>
      <c r="P1320" s="1" t="s">
        <v>724</v>
      </c>
      <c r="Q1320" s="1">
        <v>1</v>
      </c>
    </row>
    <row r="1322" spans="1:17" x14ac:dyDescent="0.2">
      <c r="B1322" s="1" t="s">
        <v>25</v>
      </c>
      <c r="K1322" s="2">
        <v>-1226262.51</v>
      </c>
      <c r="L1322" s="1" t="s">
        <v>22</v>
      </c>
      <c r="N1322" s="2">
        <v>-1226262.51</v>
      </c>
      <c r="O1322" s="1" t="s">
        <v>22</v>
      </c>
    </row>
    <row r="1324" spans="1:17" x14ac:dyDescent="0.2">
      <c r="A1324" s="3"/>
      <c r="B1324" s="3" t="s">
        <v>26</v>
      </c>
      <c r="C1324" s="3" t="s">
        <v>273</v>
      </c>
      <c r="D1324" s="3"/>
      <c r="E1324" s="3"/>
      <c r="F1324" s="3"/>
      <c r="G1324" s="3"/>
      <c r="H1324" s="3"/>
      <c r="I1324" s="3"/>
      <c r="J1324" s="3"/>
      <c r="K1324" s="4">
        <v>-1226262.51</v>
      </c>
      <c r="L1324" s="3" t="s">
        <v>22</v>
      </c>
      <c r="M1324" s="3"/>
      <c r="N1324" s="4">
        <v>-1226262.51</v>
      </c>
      <c r="O1324" s="3" t="s">
        <v>22</v>
      </c>
      <c r="P1324" s="3"/>
      <c r="Q1324" s="3"/>
    </row>
    <row r="1326" spans="1:17" x14ac:dyDescent="0.2">
      <c r="A1326" s="1" t="s">
        <v>0</v>
      </c>
      <c r="F1326" s="1">
        <v>501210</v>
      </c>
    </row>
    <row r="1327" spans="1:17" x14ac:dyDescent="0.2">
      <c r="A1327" s="1" t="s">
        <v>1</v>
      </c>
      <c r="F1327" s="1" t="s">
        <v>40</v>
      </c>
    </row>
    <row r="1329" spans="1:17" x14ac:dyDescent="0.2">
      <c r="A1329" s="1" t="s">
        <v>3</v>
      </c>
      <c r="F1329" s="1" t="s">
        <v>725</v>
      </c>
    </row>
    <row r="1330" spans="1:17" x14ac:dyDescent="0.2">
      <c r="A1330" s="1" t="s">
        <v>5</v>
      </c>
      <c r="F1330" s="1" t="s">
        <v>282</v>
      </c>
    </row>
    <row r="1333" spans="1:17" x14ac:dyDescent="0.2">
      <c r="C1333" s="1" t="s">
        <v>6</v>
      </c>
      <c r="D1333" s="1" t="s">
        <v>7</v>
      </c>
      <c r="E1333" s="1" t="s">
        <v>8</v>
      </c>
      <c r="G1333" s="1" t="s">
        <v>9</v>
      </c>
      <c r="H1333" s="1" t="s">
        <v>10</v>
      </c>
      <c r="I1333" s="1" t="s">
        <v>11</v>
      </c>
      <c r="J1333" s="1" t="s">
        <v>12</v>
      </c>
      <c r="K1333" s="1" t="s">
        <v>13</v>
      </c>
      <c r="L1333" s="1" t="s">
        <v>14</v>
      </c>
      <c r="M1333" s="1" t="s">
        <v>15</v>
      </c>
      <c r="N1333" s="1" t="s">
        <v>16</v>
      </c>
      <c r="O1333" s="1" t="s">
        <v>17</v>
      </c>
      <c r="P1333" s="1" t="s">
        <v>18</v>
      </c>
      <c r="Q1333" s="1" t="s">
        <v>19</v>
      </c>
    </row>
    <row r="1335" spans="1:17" x14ac:dyDescent="0.2">
      <c r="D1335" s="1" t="s">
        <v>20</v>
      </c>
      <c r="E1335" s="1">
        <v>1400013825</v>
      </c>
      <c r="G1335" s="1" t="s">
        <v>36</v>
      </c>
      <c r="I1335" s="1" t="s">
        <v>36</v>
      </c>
      <c r="K1335" s="2">
        <v>-606569.16</v>
      </c>
      <c r="L1335" s="1" t="s">
        <v>22</v>
      </c>
      <c r="N1335" s="2">
        <v>-149844.16</v>
      </c>
      <c r="O1335" s="1" t="s">
        <v>31</v>
      </c>
      <c r="P1335" s="1" t="s">
        <v>726</v>
      </c>
      <c r="Q1335" s="1">
        <v>4.048</v>
      </c>
    </row>
    <row r="1337" spans="1:17" x14ac:dyDescent="0.2">
      <c r="B1337" s="1" t="s">
        <v>25</v>
      </c>
      <c r="K1337" s="2">
        <v>-606569.16</v>
      </c>
      <c r="L1337" s="1" t="s">
        <v>22</v>
      </c>
      <c r="N1337" s="2">
        <v>-149844.16</v>
      </c>
      <c r="O1337" s="1" t="s">
        <v>31</v>
      </c>
    </row>
    <row r="1339" spans="1:17" x14ac:dyDescent="0.2">
      <c r="A1339" s="3"/>
      <c r="B1339" s="3" t="s">
        <v>26</v>
      </c>
      <c r="C1339" s="3" t="s">
        <v>727</v>
      </c>
      <c r="D1339" s="3"/>
      <c r="E1339" s="3"/>
      <c r="F1339" s="3"/>
      <c r="G1339" s="3"/>
      <c r="H1339" s="3"/>
      <c r="I1339" s="3"/>
      <c r="J1339" s="3"/>
      <c r="K1339" s="4">
        <v>-606569.16</v>
      </c>
      <c r="L1339" s="3" t="s">
        <v>22</v>
      </c>
      <c r="M1339" s="3"/>
      <c r="N1339" s="4">
        <v>-149844.16</v>
      </c>
      <c r="O1339" s="3" t="s">
        <v>31</v>
      </c>
      <c r="P1339" s="3"/>
      <c r="Q1339" s="3"/>
    </row>
    <row r="1341" spans="1:17" x14ac:dyDescent="0.2">
      <c r="A1341" s="1" t="s">
        <v>0</v>
      </c>
      <c r="F1341" s="1">
        <v>501211</v>
      </c>
    </row>
    <row r="1342" spans="1:17" x14ac:dyDescent="0.2">
      <c r="A1342" s="1" t="s">
        <v>1</v>
      </c>
      <c r="F1342" s="1" t="s">
        <v>40</v>
      </c>
    </row>
    <row r="1344" spans="1:17" x14ac:dyDescent="0.2">
      <c r="A1344" s="1" t="s">
        <v>3</v>
      </c>
      <c r="F1344" s="1" t="s">
        <v>274</v>
      </c>
    </row>
    <row r="1345" spans="1:17" x14ac:dyDescent="0.2">
      <c r="A1345" s="1" t="s">
        <v>5</v>
      </c>
      <c r="F1345" s="1" t="s">
        <v>70</v>
      </c>
    </row>
    <row r="1348" spans="1:17" x14ac:dyDescent="0.2">
      <c r="C1348" s="1" t="s">
        <v>6</v>
      </c>
      <c r="D1348" s="1" t="s">
        <v>7</v>
      </c>
      <c r="E1348" s="1" t="s">
        <v>8</v>
      </c>
      <c r="G1348" s="1" t="s">
        <v>9</v>
      </c>
      <c r="H1348" s="1" t="s">
        <v>10</v>
      </c>
      <c r="I1348" s="1" t="s">
        <v>11</v>
      </c>
      <c r="J1348" s="1" t="s">
        <v>12</v>
      </c>
      <c r="K1348" s="1" t="s">
        <v>13</v>
      </c>
      <c r="L1348" s="1" t="s">
        <v>14</v>
      </c>
      <c r="M1348" s="1" t="s">
        <v>15</v>
      </c>
      <c r="N1348" s="1" t="s">
        <v>16</v>
      </c>
      <c r="O1348" s="1" t="s">
        <v>17</v>
      </c>
      <c r="P1348" s="1" t="s">
        <v>18</v>
      </c>
      <c r="Q1348" s="1" t="s">
        <v>19</v>
      </c>
    </row>
    <row r="1350" spans="1:17" x14ac:dyDescent="0.2">
      <c r="D1350" s="1" t="s">
        <v>20</v>
      </c>
      <c r="E1350" s="1">
        <v>1400013717</v>
      </c>
      <c r="G1350" s="1" t="s">
        <v>21</v>
      </c>
      <c r="I1350" s="1" t="s">
        <v>21</v>
      </c>
      <c r="K1350" s="2">
        <v>-47833.81</v>
      </c>
      <c r="L1350" s="1" t="s">
        <v>22</v>
      </c>
      <c r="N1350" s="2">
        <v>-47833.81</v>
      </c>
      <c r="O1350" s="1" t="s">
        <v>22</v>
      </c>
      <c r="P1350" s="1" t="s">
        <v>728</v>
      </c>
      <c r="Q1350" s="1">
        <v>1</v>
      </c>
    </row>
    <row r="1351" spans="1:17" x14ac:dyDescent="0.2">
      <c r="D1351" s="1" t="s">
        <v>20</v>
      </c>
      <c r="E1351" s="1">
        <v>1400013790</v>
      </c>
      <c r="G1351" s="1" t="s">
        <v>36</v>
      </c>
      <c r="I1351" s="1" t="s">
        <v>36</v>
      </c>
      <c r="K1351" s="2">
        <v>-25160.41</v>
      </c>
      <c r="L1351" s="1" t="s">
        <v>22</v>
      </c>
      <c r="N1351" s="2">
        <v>-25160.41</v>
      </c>
      <c r="O1351" s="1" t="s">
        <v>22</v>
      </c>
      <c r="P1351" s="1" t="s">
        <v>729</v>
      </c>
      <c r="Q1351" s="1">
        <v>1</v>
      </c>
    </row>
    <row r="1352" spans="1:17" x14ac:dyDescent="0.2">
      <c r="D1352" s="1" t="s">
        <v>20</v>
      </c>
      <c r="E1352" s="1">
        <v>1400013790</v>
      </c>
      <c r="G1352" s="1" t="s">
        <v>36</v>
      </c>
      <c r="I1352" s="1" t="s">
        <v>36</v>
      </c>
      <c r="K1352" s="2">
        <v>-24231.32</v>
      </c>
      <c r="L1352" s="1" t="s">
        <v>22</v>
      </c>
      <c r="N1352" s="2">
        <v>-24231.32</v>
      </c>
      <c r="O1352" s="1" t="s">
        <v>22</v>
      </c>
      <c r="P1352" s="1" t="s">
        <v>730</v>
      </c>
      <c r="Q1352" s="1">
        <v>1</v>
      </c>
    </row>
    <row r="1353" spans="1:17" x14ac:dyDescent="0.2">
      <c r="D1353" s="1" t="s">
        <v>20</v>
      </c>
      <c r="E1353" s="1">
        <v>1400013790</v>
      </c>
      <c r="G1353" s="1" t="s">
        <v>36</v>
      </c>
      <c r="I1353" s="1" t="s">
        <v>36</v>
      </c>
      <c r="K1353" s="2">
        <v>-25361.81</v>
      </c>
      <c r="L1353" s="1" t="s">
        <v>22</v>
      </c>
      <c r="N1353" s="2">
        <v>-25361.81</v>
      </c>
      <c r="O1353" s="1" t="s">
        <v>22</v>
      </c>
      <c r="P1353" s="1" t="s">
        <v>731</v>
      </c>
      <c r="Q1353" s="1">
        <v>1</v>
      </c>
    </row>
    <row r="1354" spans="1:17" x14ac:dyDescent="0.2">
      <c r="D1354" s="1" t="s">
        <v>20</v>
      </c>
      <c r="E1354" s="1">
        <v>1400013790</v>
      </c>
      <c r="G1354" s="1" t="s">
        <v>36</v>
      </c>
      <c r="I1354" s="1" t="s">
        <v>36</v>
      </c>
      <c r="K1354" s="2">
        <v>-46208.4</v>
      </c>
      <c r="L1354" s="1" t="s">
        <v>22</v>
      </c>
      <c r="N1354" s="2">
        <v>-46208.4</v>
      </c>
      <c r="O1354" s="1" t="s">
        <v>22</v>
      </c>
      <c r="P1354" s="1" t="s">
        <v>732</v>
      </c>
      <c r="Q1354" s="1">
        <v>1</v>
      </c>
    </row>
    <row r="1355" spans="1:17" x14ac:dyDescent="0.2">
      <c r="D1355" s="1" t="s">
        <v>20</v>
      </c>
      <c r="E1355" s="1">
        <v>1400013790</v>
      </c>
      <c r="G1355" s="1" t="s">
        <v>36</v>
      </c>
      <c r="I1355" s="1" t="s">
        <v>36</v>
      </c>
      <c r="K1355" s="2">
        <v>-190535.75</v>
      </c>
      <c r="L1355" s="1" t="s">
        <v>22</v>
      </c>
      <c r="N1355" s="2">
        <v>-190535.75</v>
      </c>
      <c r="O1355" s="1" t="s">
        <v>22</v>
      </c>
      <c r="P1355" s="1" t="s">
        <v>733</v>
      </c>
      <c r="Q1355" s="1">
        <v>1</v>
      </c>
    </row>
    <row r="1357" spans="1:17" x14ac:dyDescent="0.2">
      <c r="B1357" s="1" t="s">
        <v>25</v>
      </c>
      <c r="K1357" s="2">
        <v>-359331.5</v>
      </c>
      <c r="L1357" s="1" t="s">
        <v>22</v>
      </c>
      <c r="N1357" s="2">
        <v>-359331.5</v>
      </c>
      <c r="O1357" s="1" t="s">
        <v>22</v>
      </c>
    </row>
    <row r="1359" spans="1:17" x14ac:dyDescent="0.2">
      <c r="A1359" s="3"/>
      <c r="B1359" s="3" t="s">
        <v>26</v>
      </c>
      <c r="C1359" s="3" t="s">
        <v>276</v>
      </c>
      <c r="D1359" s="3"/>
      <c r="E1359" s="3"/>
      <c r="F1359" s="3"/>
      <c r="G1359" s="3"/>
      <c r="H1359" s="3"/>
      <c r="I1359" s="3"/>
      <c r="J1359" s="3"/>
      <c r="K1359" s="4">
        <v>-359331.5</v>
      </c>
      <c r="L1359" s="3" t="s">
        <v>22</v>
      </c>
      <c r="M1359" s="3"/>
      <c r="N1359" s="4">
        <v>-359331.5</v>
      </c>
      <c r="O1359" s="3" t="s">
        <v>22</v>
      </c>
      <c r="P1359" s="3"/>
      <c r="Q1359" s="3"/>
    </row>
    <row r="1361" spans="1:17" x14ac:dyDescent="0.2">
      <c r="A1361" s="1" t="s">
        <v>0</v>
      </c>
      <c r="F1361" s="1">
        <v>501215</v>
      </c>
    </row>
    <row r="1362" spans="1:17" x14ac:dyDescent="0.2">
      <c r="A1362" s="1" t="s">
        <v>1</v>
      </c>
      <c r="F1362" s="1" t="s">
        <v>40</v>
      </c>
    </row>
    <row r="1364" spans="1:17" x14ac:dyDescent="0.2">
      <c r="A1364" s="1" t="s">
        <v>3</v>
      </c>
      <c r="F1364" s="1" t="s">
        <v>734</v>
      </c>
    </row>
    <row r="1365" spans="1:17" x14ac:dyDescent="0.2">
      <c r="A1365" s="1" t="s">
        <v>5</v>
      </c>
      <c r="F1365" s="1" t="s">
        <v>282</v>
      </c>
    </row>
    <row r="1368" spans="1:17" x14ac:dyDescent="0.2">
      <c r="C1368" s="1" t="s">
        <v>6</v>
      </c>
      <c r="D1368" s="1" t="s">
        <v>7</v>
      </c>
      <c r="E1368" s="1" t="s">
        <v>8</v>
      </c>
      <c r="G1368" s="1" t="s">
        <v>9</v>
      </c>
      <c r="H1368" s="1" t="s">
        <v>10</v>
      </c>
      <c r="I1368" s="1" t="s">
        <v>11</v>
      </c>
      <c r="J1368" s="1" t="s">
        <v>12</v>
      </c>
      <c r="K1368" s="1" t="s">
        <v>13</v>
      </c>
      <c r="L1368" s="1" t="s">
        <v>14</v>
      </c>
      <c r="M1368" s="1" t="s">
        <v>15</v>
      </c>
      <c r="N1368" s="1" t="s">
        <v>16</v>
      </c>
      <c r="O1368" s="1" t="s">
        <v>17</v>
      </c>
      <c r="P1368" s="1" t="s">
        <v>18</v>
      </c>
      <c r="Q1368" s="1" t="s">
        <v>19</v>
      </c>
    </row>
    <row r="1370" spans="1:17" x14ac:dyDescent="0.2">
      <c r="D1370" s="1" t="s">
        <v>20</v>
      </c>
      <c r="E1370" s="1">
        <v>1400013668</v>
      </c>
      <c r="G1370" s="1" t="s">
        <v>123</v>
      </c>
      <c r="I1370" s="1" t="s">
        <v>123</v>
      </c>
      <c r="K1370" s="2">
        <v>-53568.99</v>
      </c>
      <c r="L1370" s="1" t="s">
        <v>22</v>
      </c>
      <c r="N1370" s="2">
        <v>-53568.99</v>
      </c>
      <c r="O1370" s="1" t="s">
        <v>22</v>
      </c>
      <c r="P1370" s="1" t="s">
        <v>735</v>
      </c>
      <c r="Q1370" s="1">
        <v>1</v>
      </c>
    </row>
    <row r="1372" spans="1:17" x14ac:dyDescent="0.2">
      <c r="B1372" s="1" t="s">
        <v>25</v>
      </c>
      <c r="K1372" s="2">
        <v>-53568.99</v>
      </c>
      <c r="L1372" s="1" t="s">
        <v>22</v>
      </c>
      <c r="N1372" s="2">
        <v>-53568.99</v>
      </c>
      <c r="O1372" s="1" t="s">
        <v>22</v>
      </c>
    </row>
    <row r="1374" spans="1:17" x14ac:dyDescent="0.2">
      <c r="A1374" s="3"/>
      <c r="B1374" s="3" t="s">
        <v>26</v>
      </c>
      <c r="C1374" s="3" t="s">
        <v>736</v>
      </c>
      <c r="D1374" s="3"/>
      <c r="E1374" s="3"/>
      <c r="F1374" s="3"/>
      <c r="G1374" s="3"/>
      <c r="H1374" s="3"/>
      <c r="I1374" s="3"/>
      <c r="J1374" s="3"/>
      <c r="K1374" s="4">
        <v>-53568.99</v>
      </c>
      <c r="L1374" s="3" t="s">
        <v>22</v>
      </c>
      <c r="M1374" s="3"/>
      <c r="N1374" s="4">
        <v>-53568.99</v>
      </c>
      <c r="O1374" s="3" t="s">
        <v>22</v>
      </c>
      <c r="P1374" s="3"/>
      <c r="Q1374" s="3"/>
    </row>
    <row r="1376" spans="1:17" x14ac:dyDescent="0.2">
      <c r="A1376" s="1" t="s">
        <v>0</v>
      </c>
      <c r="F1376" s="1">
        <v>501217</v>
      </c>
    </row>
    <row r="1377" spans="1:17" x14ac:dyDescent="0.2">
      <c r="A1377" s="1" t="s">
        <v>1</v>
      </c>
      <c r="F1377" s="1" t="s">
        <v>40</v>
      </c>
    </row>
    <row r="1379" spans="1:17" x14ac:dyDescent="0.2">
      <c r="A1379" s="1" t="s">
        <v>3</v>
      </c>
      <c r="F1379" s="1" t="s">
        <v>478</v>
      </c>
    </row>
    <row r="1380" spans="1:17" x14ac:dyDescent="0.2">
      <c r="A1380" s="1" t="s">
        <v>5</v>
      </c>
      <c r="F1380" s="1" t="s">
        <v>737</v>
      </c>
    </row>
    <row r="1383" spans="1:17" x14ac:dyDescent="0.2">
      <c r="C1383" s="1" t="s">
        <v>6</v>
      </c>
      <c r="D1383" s="1" t="s">
        <v>7</v>
      </c>
      <c r="E1383" s="1" t="s">
        <v>8</v>
      </c>
      <c r="G1383" s="1" t="s">
        <v>9</v>
      </c>
      <c r="H1383" s="1" t="s">
        <v>10</v>
      </c>
      <c r="I1383" s="1" t="s">
        <v>11</v>
      </c>
      <c r="J1383" s="1" t="s">
        <v>12</v>
      </c>
      <c r="K1383" s="1" t="s">
        <v>13</v>
      </c>
      <c r="L1383" s="1" t="s">
        <v>14</v>
      </c>
      <c r="M1383" s="1" t="s">
        <v>15</v>
      </c>
      <c r="N1383" s="1" t="s">
        <v>16</v>
      </c>
      <c r="O1383" s="1" t="s">
        <v>17</v>
      </c>
      <c r="P1383" s="1" t="s">
        <v>18</v>
      </c>
      <c r="Q1383" s="1" t="s">
        <v>19</v>
      </c>
    </row>
    <row r="1385" spans="1:17" x14ac:dyDescent="0.2">
      <c r="D1385" s="1" t="s">
        <v>20</v>
      </c>
      <c r="E1385" s="1">
        <v>1400013887</v>
      </c>
      <c r="G1385" s="1" t="s">
        <v>64</v>
      </c>
      <c r="I1385" s="1" t="s">
        <v>64</v>
      </c>
      <c r="K1385" s="2">
        <v>-4775.8500000000004</v>
      </c>
      <c r="L1385" s="1" t="s">
        <v>22</v>
      </c>
      <c r="N1385" s="2">
        <v>-4775.8500000000004</v>
      </c>
      <c r="O1385" s="1" t="s">
        <v>22</v>
      </c>
      <c r="P1385" s="1" t="s">
        <v>738</v>
      </c>
      <c r="Q1385" s="1">
        <v>1</v>
      </c>
    </row>
    <row r="1387" spans="1:17" x14ac:dyDescent="0.2">
      <c r="B1387" s="1" t="s">
        <v>25</v>
      </c>
      <c r="K1387" s="2">
        <v>-4775.8500000000004</v>
      </c>
      <c r="L1387" s="1" t="s">
        <v>22</v>
      </c>
      <c r="N1387" s="2">
        <v>-4775.8500000000004</v>
      </c>
      <c r="O1387" s="1" t="s">
        <v>22</v>
      </c>
    </row>
    <row r="1389" spans="1:17" x14ac:dyDescent="0.2">
      <c r="A1389" s="3"/>
      <c r="B1389" s="3" t="s">
        <v>26</v>
      </c>
      <c r="C1389" s="3" t="s">
        <v>739</v>
      </c>
      <c r="D1389" s="3"/>
      <c r="E1389" s="3"/>
      <c r="F1389" s="3"/>
      <c r="G1389" s="3"/>
      <c r="H1389" s="3"/>
      <c r="I1389" s="3"/>
      <c r="J1389" s="3"/>
      <c r="K1389" s="4">
        <v>-4775.8500000000004</v>
      </c>
      <c r="L1389" s="3" t="s">
        <v>22</v>
      </c>
      <c r="M1389" s="3"/>
      <c r="N1389" s="4">
        <v>-4775.8500000000004</v>
      </c>
      <c r="O1389" s="3" t="s">
        <v>22</v>
      </c>
      <c r="P1389" s="3"/>
      <c r="Q1389" s="3"/>
    </row>
    <row r="1391" spans="1:17" x14ac:dyDescent="0.2">
      <c r="A1391" s="1" t="s">
        <v>0</v>
      </c>
      <c r="F1391" s="1">
        <v>501218</v>
      </c>
    </row>
    <row r="1392" spans="1:17" x14ac:dyDescent="0.2">
      <c r="A1392" s="1" t="s">
        <v>1</v>
      </c>
      <c r="F1392" s="1" t="s">
        <v>40</v>
      </c>
    </row>
    <row r="1394" spans="1:17" x14ac:dyDescent="0.2">
      <c r="A1394" s="1" t="s">
        <v>3</v>
      </c>
      <c r="F1394" s="1" t="s">
        <v>277</v>
      </c>
    </row>
    <row r="1395" spans="1:17" x14ac:dyDescent="0.2">
      <c r="A1395" s="1" t="s">
        <v>5</v>
      </c>
      <c r="F1395" s="1" t="s">
        <v>70</v>
      </c>
    </row>
    <row r="1398" spans="1:17" x14ac:dyDescent="0.2">
      <c r="C1398" s="1" t="s">
        <v>6</v>
      </c>
      <c r="D1398" s="1" t="s">
        <v>7</v>
      </c>
      <c r="E1398" s="1" t="s">
        <v>8</v>
      </c>
      <c r="G1398" s="1" t="s">
        <v>9</v>
      </c>
      <c r="H1398" s="1" t="s">
        <v>10</v>
      </c>
      <c r="I1398" s="1" t="s">
        <v>11</v>
      </c>
      <c r="J1398" s="1" t="s">
        <v>12</v>
      </c>
      <c r="K1398" s="1" t="s">
        <v>13</v>
      </c>
      <c r="L1398" s="1" t="s">
        <v>14</v>
      </c>
      <c r="M1398" s="1" t="s">
        <v>15</v>
      </c>
      <c r="N1398" s="1" t="s">
        <v>16</v>
      </c>
      <c r="O1398" s="1" t="s">
        <v>17</v>
      </c>
      <c r="P1398" s="1" t="s">
        <v>18</v>
      </c>
      <c r="Q1398" s="1" t="s">
        <v>19</v>
      </c>
    </row>
    <row r="1400" spans="1:17" x14ac:dyDescent="0.2">
      <c r="D1400" s="1" t="s">
        <v>20</v>
      </c>
      <c r="E1400" s="1">
        <v>1400013745</v>
      </c>
      <c r="G1400" s="1" t="s">
        <v>740</v>
      </c>
      <c r="I1400" s="1" t="s">
        <v>740</v>
      </c>
      <c r="K1400" s="2">
        <v>-271187.76</v>
      </c>
      <c r="L1400" s="1" t="s">
        <v>22</v>
      </c>
      <c r="N1400" s="2">
        <v>-271187.76</v>
      </c>
      <c r="O1400" s="1" t="s">
        <v>22</v>
      </c>
      <c r="P1400" s="1" t="s">
        <v>741</v>
      </c>
      <c r="Q1400" s="1">
        <v>1</v>
      </c>
    </row>
    <row r="1401" spans="1:17" x14ac:dyDescent="0.2">
      <c r="D1401" s="1" t="s">
        <v>20</v>
      </c>
      <c r="E1401" s="1">
        <v>1400013745</v>
      </c>
      <c r="G1401" s="1" t="s">
        <v>740</v>
      </c>
      <c r="I1401" s="1" t="s">
        <v>740</v>
      </c>
      <c r="K1401" s="2">
        <v>-254799.12</v>
      </c>
      <c r="L1401" s="1" t="s">
        <v>22</v>
      </c>
      <c r="N1401" s="2">
        <v>-254799.12</v>
      </c>
      <c r="O1401" s="1" t="s">
        <v>22</v>
      </c>
      <c r="P1401" s="1" t="s">
        <v>742</v>
      </c>
      <c r="Q1401" s="1">
        <v>1</v>
      </c>
    </row>
    <row r="1403" spans="1:17" x14ac:dyDescent="0.2">
      <c r="B1403" s="1" t="s">
        <v>25</v>
      </c>
      <c r="K1403" s="2">
        <v>-525986.88</v>
      </c>
      <c r="L1403" s="1" t="s">
        <v>22</v>
      </c>
      <c r="N1403" s="2">
        <v>-525986.88</v>
      </c>
      <c r="O1403" s="1" t="s">
        <v>22</v>
      </c>
    </row>
    <row r="1405" spans="1:17" x14ac:dyDescent="0.2">
      <c r="A1405" s="3"/>
      <c r="B1405" s="3" t="s">
        <v>26</v>
      </c>
      <c r="C1405" s="3" t="s">
        <v>280</v>
      </c>
      <c r="D1405" s="3"/>
      <c r="E1405" s="3"/>
      <c r="F1405" s="3"/>
      <c r="G1405" s="3"/>
      <c r="H1405" s="3"/>
      <c r="I1405" s="3"/>
      <c r="J1405" s="3"/>
      <c r="K1405" s="4">
        <v>-525986.88</v>
      </c>
      <c r="L1405" s="3" t="s">
        <v>22</v>
      </c>
      <c r="M1405" s="3"/>
      <c r="N1405" s="4">
        <v>-525986.88</v>
      </c>
      <c r="O1405" s="3" t="s">
        <v>22</v>
      </c>
      <c r="P1405" s="3"/>
      <c r="Q1405" s="3"/>
    </row>
    <row r="1407" spans="1:17" x14ac:dyDescent="0.2">
      <c r="A1407" s="1" t="s">
        <v>0</v>
      </c>
      <c r="F1407" s="1">
        <v>501220</v>
      </c>
    </row>
    <row r="1408" spans="1:17" x14ac:dyDescent="0.2">
      <c r="A1408" s="1" t="s">
        <v>1</v>
      </c>
      <c r="F1408" s="1" t="s">
        <v>40</v>
      </c>
    </row>
    <row r="1410" spans="1:17" x14ac:dyDescent="0.2">
      <c r="A1410" s="1" t="s">
        <v>3</v>
      </c>
      <c r="F1410" s="1" t="s">
        <v>285</v>
      </c>
    </row>
    <row r="1411" spans="1:17" x14ac:dyDescent="0.2">
      <c r="A1411" s="1" t="s">
        <v>5</v>
      </c>
      <c r="F1411" s="1" t="s">
        <v>70</v>
      </c>
    </row>
    <row r="1414" spans="1:17" x14ac:dyDescent="0.2">
      <c r="C1414" s="1" t="s">
        <v>6</v>
      </c>
      <c r="D1414" s="1" t="s">
        <v>7</v>
      </c>
      <c r="E1414" s="1" t="s">
        <v>8</v>
      </c>
      <c r="G1414" s="1" t="s">
        <v>9</v>
      </c>
      <c r="H1414" s="1" t="s">
        <v>10</v>
      </c>
      <c r="I1414" s="1" t="s">
        <v>11</v>
      </c>
      <c r="J1414" s="1" t="s">
        <v>12</v>
      </c>
      <c r="K1414" s="1" t="s">
        <v>13</v>
      </c>
      <c r="L1414" s="1" t="s">
        <v>14</v>
      </c>
      <c r="M1414" s="1" t="s">
        <v>15</v>
      </c>
      <c r="N1414" s="1" t="s">
        <v>16</v>
      </c>
      <c r="O1414" s="1" t="s">
        <v>17</v>
      </c>
      <c r="P1414" s="1" t="s">
        <v>18</v>
      </c>
      <c r="Q1414" s="1" t="s">
        <v>19</v>
      </c>
    </row>
    <row r="1416" spans="1:17" x14ac:dyDescent="0.2">
      <c r="D1416" s="1" t="s">
        <v>20</v>
      </c>
      <c r="E1416" s="1">
        <v>1400013698</v>
      </c>
      <c r="G1416" s="1" t="s">
        <v>182</v>
      </c>
      <c r="I1416" s="1" t="s">
        <v>182</v>
      </c>
      <c r="K1416" s="2">
        <v>-1085000</v>
      </c>
      <c r="L1416" s="1" t="s">
        <v>22</v>
      </c>
      <c r="N1416" s="2">
        <v>-1085000</v>
      </c>
      <c r="O1416" s="1" t="s">
        <v>22</v>
      </c>
      <c r="P1416" s="1" t="s">
        <v>743</v>
      </c>
      <c r="Q1416" s="1">
        <v>1</v>
      </c>
    </row>
    <row r="1417" spans="1:17" x14ac:dyDescent="0.2">
      <c r="D1417" s="1" t="s">
        <v>20</v>
      </c>
      <c r="E1417" s="1">
        <v>1400013739</v>
      </c>
      <c r="G1417" s="1" t="s">
        <v>48</v>
      </c>
      <c r="I1417" s="1" t="s">
        <v>48</v>
      </c>
      <c r="K1417" s="2">
        <v>-1087500</v>
      </c>
      <c r="L1417" s="1" t="s">
        <v>22</v>
      </c>
      <c r="N1417" s="2">
        <v>-1087500</v>
      </c>
      <c r="O1417" s="1" t="s">
        <v>22</v>
      </c>
      <c r="P1417" s="1" t="s">
        <v>744</v>
      </c>
      <c r="Q1417" s="1">
        <v>1</v>
      </c>
    </row>
    <row r="1418" spans="1:17" x14ac:dyDescent="0.2">
      <c r="D1418" s="1" t="s">
        <v>20</v>
      </c>
      <c r="E1418" s="1">
        <v>1400013780</v>
      </c>
      <c r="G1418" s="1" t="s">
        <v>90</v>
      </c>
      <c r="I1418" s="1" t="s">
        <v>90</v>
      </c>
      <c r="K1418" s="2">
        <v>-1112500</v>
      </c>
      <c r="L1418" s="1" t="s">
        <v>22</v>
      </c>
      <c r="N1418" s="2">
        <v>-1112500</v>
      </c>
      <c r="O1418" s="1" t="s">
        <v>22</v>
      </c>
      <c r="P1418" s="1" t="s">
        <v>745</v>
      </c>
      <c r="Q1418" s="1">
        <v>1</v>
      </c>
    </row>
    <row r="1420" spans="1:17" x14ac:dyDescent="0.2">
      <c r="B1420" s="1" t="s">
        <v>25</v>
      </c>
      <c r="K1420" s="2">
        <v>-3285000</v>
      </c>
      <c r="L1420" s="1" t="s">
        <v>22</v>
      </c>
      <c r="N1420" s="2">
        <v>-3285000</v>
      </c>
      <c r="O1420" s="1" t="s">
        <v>22</v>
      </c>
    </row>
    <row r="1422" spans="1:17" x14ac:dyDescent="0.2">
      <c r="A1422" s="3"/>
      <c r="B1422" s="3" t="s">
        <v>26</v>
      </c>
      <c r="C1422" s="3" t="s">
        <v>288</v>
      </c>
      <c r="D1422" s="3"/>
      <c r="E1422" s="3"/>
      <c r="F1422" s="3"/>
      <c r="G1422" s="3"/>
      <c r="H1422" s="3"/>
      <c r="I1422" s="3"/>
      <c r="J1422" s="3"/>
      <c r="K1422" s="4">
        <v>-3285000</v>
      </c>
      <c r="L1422" s="3" t="s">
        <v>22</v>
      </c>
      <c r="M1422" s="3"/>
      <c r="N1422" s="4">
        <v>-3285000</v>
      </c>
      <c r="O1422" s="3" t="s">
        <v>22</v>
      </c>
      <c r="P1422" s="3"/>
      <c r="Q1422" s="3"/>
    </row>
    <row r="1424" spans="1:17" x14ac:dyDescent="0.2">
      <c r="A1424" s="1" t="s">
        <v>0</v>
      </c>
      <c r="F1424" s="1">
        <v>501224</v>
      </c>
    </row>
    <row r="1425" spans="1:17" x14ac:dyDescent="0.2">
      <c r="A1425" s="1" t="s">
        <v>1</v>
      </c>
      <c r="F1425" s="1" t="s">
        <v>40</v>
      </c>
    </row>
    <row r="1427" spans="1:17" x14ac:dyDescent="0.2">
      <c r="A1427" s="1" t="s">
        <v>3</v>
      </c>
      <c r="F1427" s="1" t="s">
        <v>107</v>
      </c>
    </row>
    <row r="1428" spans="1:17" x14ac:dyDescent="0.2">
      <c r="A1428" s="1" t="s">
        <v>5</v>
      </c>
      <c r="F1428" s="1" t="s">
        <v>238</v>
      </c>
    </row>
    <row r="1431" spans="1:17" x14ac:dyDescent="0.2">
      <c r="C1431" s="1" t="s">
        <v>6</v>
      </c>
      <c r="D1431" s="1" t="s">
        <v>7</v>
      </c>
      <c r="E1431" s="1" t="s">
        <v>8</v>
      </c>
      <c r="G1431" s="1" t="s">
        <v>9</v>
      </c>
      <c r="H1431" s="1" t="s">
        <v>10</v>
      </c>
      <c r="I1431" s="1" t="s">
        <v>11</v>
      </c>
      <c r="J1431" s="1" t="s">
        <v>12</v>
      </c>
      <c r="K1431" s="1" t="s">
        <v>13</v>
      </c>
      <c r="L1431" s="1" t="s">
        <v>14</v>
      </c>
      <c r="M1431" s="1" t="s">
        <v>15</v>
      </c>
      <c r="N1431" s="1" t="s">
        <v>16</v>
      </c>
      <c r="O1431" s="1" t="s">
        <v>17</v>
      </c>
      <c r="P1431" s="1" t="s">
        <v>18</v>
      </c>
      <c r="Q1431" s="1" t="s">
        <v>19</v>
      </c>
    </row>
    <row r="1433" spans="1:17" x14ac:dyDescent="0.2">
      <c r="D1433" s="1" t="s">
        <v>20</v>
      </c>
      <c r="E1433" s="1">
        <v>1400013845</v>
      </c>
      <c r="G1433" s="1" t="s">
        <v>123</v>
      </c>
      <c r="I1433" s="1" t="s">
        <v>123</v>
      </c>
      <c r="K1433" s="2">
        <v>-19045.64</v>
      </c>
      <c r="L1433" s="1" t="s">
        <v>22</v>
      </c>
      <c r="N1433" s="2">
        <v>-19045.64</v>
      </c>
      <c r="O1433" s="1" t="s">
        <v>22</v>
      </c>
      <c r="P1433" s="1" t="s">
        <v>746</v>
      </c>
      <c r="Q1433" s="1">
        <v>1</v>
      </c>
    </row>
    <row r="1434" spans="1:17" x14ac:dyDescent="0.2">
      <c r="D1434" s="1" t="s">
        <v>20</v>
      </c>
      <c r="E1434" s="1">
        <v>1400013845</v>
      </c>
      <c r="G1434" s="1" t="s">
        <v>123</v>
      </c>
      <c r="I1434" s="1" t="s">
        <v>123</v>
      </c>
      <c r="K1434" s="2">
        <v>-424895.96</v>
      </c>
      <c r="L1434" s="1" t="s">
        <v>22</v>
      </c>
      <c r="N1434" s="2">
        <v>-424895.96</v>
      </c>
      <c r="O1434" s="1" t="s">
        <v>22</v>
      </c>
      <c r="P1434" s="1" t="s">
        <v>747</v>
      </c>
      <c r="Q1434" s="1">
        <v>1</v>
      </c>
    </row>
    <row r="1435" spans="1:17" x14ac:dyDescent="0.2">
      <c r="D1435" s="1" t="s">
        <v>20</v>
      </c>
      <c r="E1435" s="1">
        <v>1400013850</v>
      </c>
      <c r="G1435" s="1" t="s">
        <v>54</v>
      </c>
      <c r="I1435" s="1" t="s">
        <v>54</v>
      </c>
      <c r="K1435" s="2">
        <v>-18606.240000000002</v>
      </c>
      <c r="L1435" s="1" t="s">
        <v>22</v>
      </c>
      <c r="N1435" s="2">
        <v>-18606.240000000002</v>
      </c>
      <c r="O1435" s="1" t="s">
        <v>22</v>
      </c>
      <c r="P1435" s="1" t="s">
        <v>748</v>
      </c>
      <c r="Q1435" s="1">
        <v>1</v>
      </c>
    </row>
    <row r="1436" spans="1:17" x14ac:dyDescent="0.2">
      <c r="D1436" s="1" t="s">
        <v>20</v>
      </c>
      <c r="E1436" s="1">
        <v>1400013850</v>
      </c>
      <c r="G1436" s="1" t="s">
        <v>54</v>
      </c>
      <c r="I1436" s="1" t="s">
        <v>54</v>
      </c>
      <c r="K1436" s="2">
        <v>-351958.54</v>
      </c>
      <c r="L1436" s="1" t="s">
        <v>22</v>
      </c>
      <c r="N1436" s="2">
        <v>-351958.54</v>
      </c>
      <c r="O1436" s="1" t="s">
        <v>22</v>
      </c>
      <c r="P1436" s="1" t="s">
        <v>749</v>
      </c>
      <c r="Q1436" s="1">
        <v>1</v>
      </c>
    </row>
    <row r="1437" spans="1:17" x14ac:dyDescent="0.2">
      <c r="D1437" s="1" t="s">
        <v>20</v>
      </c>
      <c r="E1437" s="1">
        <v>1400013850</v>
      </c>
      <c r="G1437" s="1" t="s">
        <v>54</v>
      </c>
      <c r="I1437" s="1" t="s">
        <v>54</v>
      </c>
      <c r="K1437" s="2">
        <v>-408023.16</v>
      </c>
      <c r="L1437" s="1" t="s">
        <v>22</v>
      </c>
      <c r="N1437" s="2">
        <v>-408023.16</v>
      </c>
      <c r="O1437" s="1" t="s">
        <v>22</v>
      </c>
      <c r="P1437" s="1" t="s">
        <v>746</v>
      </c>
      <c r="Q1437" s="1">
        <v>1</v>
      </c>
    </row>
    <row r="1438" spans="1:17" x14ac:dyDescent="0.2">
      <c r="D1438" s="1" t="s">
        <v>20</v>
      </c>
      <c r="E1438" s="1">
        <v>1400013853</v>
      </c>
      <c r="G1438" s="1" t="s">
        <v>46</v>
      </c>
      <c r="I1438" s="1" t="s">
        <v>46</v>
      </c>
      <c r="K1438" s="2">
        <v>-464228.96</v>
      </c>
      <c r="L1438" s="1" t="s">
        <v>22</v>
      </c>
      <c r="N1438" s="2">
        <v>-464228.96</v>
      </c>
      <c r="O1438" s="1" t="s">
        <v>22</v>
      </c>
      <c r="P1438" s="1" t="s">
        <v>748</v>
      </c>
      <c r="Q1438" s="1">
        <v>1</v>
      </c>
    </row>
    <row r="1439" spans="1:17" x14ac:dyDescent="0.2">
      <c r="D1439" s="1" t="s">
        <v>20</v>
      </c>
      <c r="E1439" s="1">
        <v>1400013853</v>
      </c>
      <c r="G1439" s="1" t="s">
        <v>46</v>
      </c>
      <c r="I1439" s="1" t="s">
        <v>46</v>
      </c>
      <c r="K1439" s="2">
        <v>-421529.55</v>
      </c>
      <c r="L1439" s="1" t="s">
        <v>22</v>
      </c>
      <c r="N1439" s="2">
        <v>-421529.55</v>
      </c>
      <c r="O1439" s="1" t="s">
        <v>22</v>
      </c>
      <c r="P1439" s="1" t="s">
        <v>750</v>
      </c>
      <c r="Q1439" s="1">
        <v>1</v>
      </c>
    </row>
    <row r="1440" spans="1:17" x14ac:dyDescent="0.2">
      <c r="D1440" s="1" t="s">
        <v>20</v>
      </c>
      <c r="E1440" s="1">
        <v>1400013853</v>
      </c>
      <c r="G1440" s="1" t="s">
        <v>46</v>
      </c>
      <c r="I1440" s="1" t="s">
        <v>46</v>
      </c>
      <c r="K1440" s="2">
        <v>-419427.75</v>
      </c>
      <c r="L1440" s="1" t="s">
        <v>22</v>
      </c>
      <c r="N1440" s="2">
        <v>-419427.75</v>
      </c>
      <c r="O1440" s="1" t="s">
        <v>22</v>
      </c>
      <c r="P1440" s="1" t="s">
        <v>751</v>
      </c>
      <c r="Q1440" s="1">
        <v>1</v>
      </c>
    </row>
    <row r="1441" spans="1:17" x14ac:dyDescent="0.2">
      <c r="D1441" s="1" t="s">
        <v>20</v>
      </c>
      <c r="E1441" s="1">
        <v>1400013853</v>
      </c>
      <c r="G1441" s="1" t="s">
        <v>46</v>
      </c>
      <c r="I1441" s="1" t="s">
        <v>46</v>
      </c>
      <c r="K1441" s="2">
        <v>-19608.810000000001</v>
      </c>
      <c r="L1441" s="1" t="s">
        <v>22</v>
      </c>
      <c r="N1441" s="2">
        <v>-19608.810000000001</v>
      </c>
      <c r="O1441" s="1" t="s">
        <v>22</v>
      </c>
      <c r="P1441" s="1" t="s">
        <v>752</v>
      </c>
      <c r="Q1441" s="1">
        <v>1</v>
      </c>
    </row>
    <row r="1442" spans="1:17" x14ac:dyDescent="0.2">
      <c r="D1442" s="1" t="s">
        <v>20</v>
      </c>
      <c r="E1442" s="1">
        <v>1400013854</v>
      </c>
      <c r="G1442" s="1" t="s">
        <v>48</v>
      </c>
      <c r="I1442" s="1" t="s">
        <v>48</v>
      </c>
      <c r="K1442" s="2">
        <v>-427786.44</v>
      </c>
      <c r="L1442" s="1" t="s">
        <v>22</v>
      </c>
      <c r="N1442" s="2">
        <v>-427786.44</v>
      </c>
      <c r="O1442" s="1" t="s">
        <v>22</v>
      </c>
      <c r="P1442" s="1" t="s">
        <v>752</v>
      </c>
      <c r="Q1442" s="1">
        <v>1</v>
      </c>
    </row>
    <row r="1444" spans="1:17" x14ac:dyDescent="0.2">
      <c r="B1444" s="1" t="s">
        <v>25</v>
      </c>
      <c r="K1444" s="2">
        <v>-2975111.05</v>
      </c>
      <c r="L1444" s="1" t="s">
        <v>22</v>
      </c>
      <c r="N1444" s="2">
        <v>-2975111.05</v>
      </c>
      <c r="O1444" s="1" t="s">
        <v>22</v>
      </c>
    </row>
    <row r="1446" spans="1:17" x14ac:dyDescent="0.2">
      <c r="A1446" s="3"/>
      <c r="B1446" s="3" t="s">
        <v>26</v>
      </c>
      <c r="C1446" s="3" t="s">
        <v>753</v>
      </c>
      <c r="D1446" s="3"/>
      <c r="E1446" s="3"/>
      <c r="F1446" s="3"/>
      <c r="G1446" s="3"/>
      <c r="H1446" s="3"/>
      <c r="I1446" s="3"/>
      <c r="J1446" s="3"/>
      <c r="K1446" s="4">
        <v>-2975111.05</v>
      </c>
      <c r="L1446" s="3" t="s">
        <v>22</v>
      </c>
      <c r="M1446" s="3"/>
      <c r="N1446" s="4">
        <v>-2975111.05</v>
      </c>
      <c r="O1446" s="3" t="s">
        <v>22</v>
      </c>
      <c r="P1446" s="3"/>
      <c r="Q1446" s="3"/>
    </row>
    <row r="1448" spans="1:17" x14ac:dyDescent="0.2">
      <c r="A1448" s="1" t="s">
        <v>0</v>
      </c>
      <c r="F1448" s="1">
        <v>501225</v>
      </c>
    </row>
    <row r="1449" spans="1:17" x14ac:dyDescent="0.2">
      <c r="A1449" s="1" t="s">
        <v>1</v>
      </c>
      <c r="F1449" s="1" t="s">
        <v>40</v>
      </c>
    </row>
    <row r="1451" spans="1:17" x14ac:dyDescent="0.2">
      <c r="A1451" s="1" t="s">
        <v>3</v>
      </c>
      <c r="F1451" s="1" t="s">
        <v>754</v>
      </c>
    </row>
    <row r="1452" spans="1:17" x14ac:dyDescent="0.2">
      <c r="A1452" s="1" t="s">
        <v>5</v>
      </c>
      <c r="F1452" s="1" t="s">
        <v>70</v>
      </c>
    </row>
    <row r="1455" spans="1:17" x14ac:dyDescent="0.2">
      <c r="C1455" s="1" t="s">
        <v>6</v>
      </c>
      <c r="D1455" s="1" t="s">
        <v>7</v>
      </c>
      <c r="E1455" s="1" t="s">
        <v>8</v>
      </c>
      <c r="G1455" s="1" t="s">
        <v>9</v>
      </c>
      <c r="H1455" s="1" t="s">
        <v>10</v>
      </c>
      <c r="I1455" s="1" t="s">
        <v>11</v>
      </c>
      <c r="J1455" s="1" t="s">
        <v>12</v>
      </c>
      <c r="K1455" s="1" t="s">
        <v>13</v>
      </c>
      <c r="L1455" s="1" t="s">
        <v>14</v>
      </c>
      <c r="M1455" s="1" t="s">
        <v>15</v>
      </c>
      <c r="N1455" s="1" t="s">
        <v>16</v>
      </c>
      <c r="O1455" s="1" t="s">
        <v>17</v>
      </c>
      <c r="P1455" s="1" t="s">
        <v>18</v>
      </c>
      <c r="Q1455" s="1" t="s">
        <v>19</v>
      </c>
    </row>
    <row r="1457" spans="1:17" x14ac:dyDescent="0.2">
      <c r="D1457" s="1" t="s">
        <v>20</v>
      </c>
      <c r="E1457" s="1">
        <v>1400013772</v>
      </c>
      <c r="G1457" s="1" t="s">
        <v>113</v>
      </c>
      <c r="I1457" s="1" t="s">
        <v>113</v>
      </c>
      <c r="K1457" s="2">
        <v>-257306.8</v>
      </c>
      <c r="L1457" s="1" t="s">
        <v>22</v>
      </c>
      <c r="N1457" s="2">
        <v>-257306.8</v>
      </c>
      <c r="O1457" s="1" t="s">
        <v>22</v>
      </c>
      <c r="P1457" s="1" t="s">
        <v>755</v>
      </c>
      <c r="Q1457" s="1">
        <v>1</v>
      </c>
    </row>
    <row r="1459" spans="1:17" x14ac:dyDescent="0.2">
      <c r="B1459" s="1" t="s">
        <v>25</v>
      </c>
      <c r="K1459" s="2">
        <v>-257306.8</v>
      </c>
      <c r="L1459" s="1" t="s">
        <v>22</v>
      </c>
      <c r="N1459" s="2">
        <v>-257306.8</v>
      </c>
      <c r="O1459" s="1" t="s">
        <v>22</v>
      </c>
    </row>
    <row r="1461" spans="1:17" x14ac:dyDescent="0.2">
      <c r="A1461" s="3"/>
      <c r="B1461" s="3" t="s">
        <v>26</v>
      </c>
      <c r="C1461" s="3" t="s">
        <v>756</v>
      </c>
      <c r="D1461" s="3"/>
      <c r="E1461" s="3"/>
      <c r="F1461" s="3"/>
      <c r="G1461" s="3"/>
      <c r="H1461" s="3"/>
      <c r="I1461" s="3"/>
      <c r="J1461" s="3"/>
      <c r="K1461" s="4">
        <v>-257306.8</v>
      </c>
      <c r="L1461" s="3" t="s">
        <v>22</v>
      </c>
      <c r="M1461" s="3"/>
      <c r="N1461" s="4">
        <v>-257306.8</v>
      </c>
      <c r="O1461" s="3" t="s">
        <v>22</v>
      </c>
      <c r="P1461" s="3"/>
      <c r="Q1461" s="3"/>
    </row>
    <row r="1463" spans="1:17" x14ac:dyDescent="0.2">
      <c r="A1463" s="1" t="s">
        <v>0</v>
      </c>
      <c r="F1463" s="1">
        <v>501231</v>
      </c>
    </row>
    <row r="1464" spans="1:17" x14ac:dyDescent="0.2">
      <c r="A1464" s="1" t="s">
        <v>1</v>
      </c>
      <c r="F1464" s="1" t="s">
        <v>40</v>
      </c>
    </row>
    <row r="1466" spans="1:17" x14ac:dyDescent="0.2">
      <c r="A1466" s="1" t="s">
        <v>3</v>
      </c>
      <c r="F1466" s="1" t="s">
        <v>289</v>
      </c>
    </row>
    <row r="1467" spans="1:17" x14ac:dyDescent="0.2">
      <c r="A1467" s="1" t="s">
        <v>5</v>
      </c>
      <c r="F1467" s="1" t="s">
        <v>70</v>
      </c>
    </row>
    <row r="1470" spans="1:17" x14ac:dyDescent="0.2">
      <c r="C1470" s="1" t="s">
        <v>6</v>
      </c>
      <c r="D1470" s="1" t="s">
        <v>7</v>
      </c>
      <c r="E1470" s="1" t="s">
        <v>8</v>
      </c>
      <c r="G1470" s="1" t="s">
        <v>9</v>
      </c>
      <c r="H1470" s="1" t="s">
        <v>10</v>
      </c>
      <c r="I1470" s="1" t="s">
        <v>11</v>
      </c>
      <c r="J1470" s="1" t="s">
        <v>12</v>
      </c>
      <c r="K1470" s="1" t="s">
        <v>13</v>
      </c>
      <c r="L1470" s="1" t="s">
        <v>14</v>
      </c>
      <c r="M1470" s="1" t="s">
        <v>15</v>
      </c>
      <c r="N1470" s="1" t="s">
        <v>16</v>
      </c>
      <c r="O1470" s="1" t="s">
        <v>17</v>
      </c>
      <c r="P1470" s="1" t="s">
        <v>18</v>
      </c>
      <c r="Q1470" s="1" t="s">
        <v>19</v>
      </c>
    </row>
    <row r="1472" spans="1:17" x14ac:dyDescent="0.2">
      <c r="D1472" s="1" t="s">
        <v>20</v>
      </c>
      <c r="E1472" s="1">
        <v>1400013699</v>
      </c>
      <c r="G1472" s="1" t="s">
        <v>182</v>
      </c>
      <c r="I1472" s="1" t="s">
        <v>182</v>
      </c>
      <c r="K1472" s="2">
        <v>-148742.70000000001</v>
      </c>
      <c r="L1472" s="1" t="s">
        <v>22</v>
      </c>
      <c r="N1472" s="2">
        <v>-148742.70000000001</v>
      </c>
      <c r="O1472" s="1" t="s">
        <v>22</v>
      </c>
      <c r="P1472" s="1" t="s">
        <v>757</v>
      </c>
      <c r="Q1472" s="1">
        <v>1</v>
      </c>
    </row>
    <row r="1473" spans="4:17" x14ac:dyDescent="0.2">
      <c r="D1473" s="1" t="s">
        <v>20</v>
      </c>
      <c r="E1473" s="1">
        <v>1400013699</v>
      </c>
      <c r="G1473" s="1" t="s">
        <v>182</v>
      </c>
      <c r="I1473" s="1" t="s">
        <v>182</v>
      </c>
      <c r="K1473" s="2">
        <v>-28000</v>
      </c>
      <c r="L1473" s="1" t="s">
        <v>22</v>
      </c>
      <c r="N1473" s="2">
        <v>-28000</v>
      </c>
      <c r="O1473" s="1" t="s">
        <v>22</v>
      </c>
      <c r="P1473" s="1" t="s">
        <v>758</v>
      </c>
      <c r="Q1473" s="1">
        <v>1</v>
      </c>
    </row>
    <row r="1474" spans="4:17" x14ac:dyDescent="0.2">
      <c r="D1474" s="1" t="s">
        <v>20</v>
      </c>
      <c r="E1474" s="1">
        <v>1400013699</v>
      </c>
      <c r="G1474" s="1" t="s">
        <v>182</v>
      </c>
      <c r="I1474" s="1" t="s">
        <v>182</v>
      </c>
      <c r="K1474" s="2">
        <v>-200000</v>
      </c>
      <c r="L1474" s="1" t="s">
        <v>22</v>
      </c>
      <c r="N1474" s="2">
        <v>-200000</v>
      </c>
      <c r="O1474" s="1" t="s">
        <v>22</v>
      </c>
      <c r="P1474" s="1" t="s">
        <v>759</v>
      </c>
      <c r="Q1474" s="1">
        <v>1</v>
      </c>
    </row>
    <row r="1475" spans="4:17" x14ac:dyDescent="0.2">
      <c r="D1475" s="1" t="s">
        <v>20</v>
      </c>
      <c r="E1475" s="1">
        <v>1400013699</v>
      </c>
      <c r="G1475" s="1" t="s">
        <v>182</v>
      </c>
      <c r="I1475" s="1" t="s">
        <v>182</v>
      </c>
      <c r="K1475" s="2">
        <v>-21360</v>
      </c>
      <c r="L1475" s="1" t="s">
        <v>22</v>
      </c>
      <c r="N1475" s="2">
        <v>-21360</v>
      </c>
      <c r="O1475" s="1" t="s">
        <v>22</v>
      </c>
      <c r="P1475" s="1" t="s">
        <v>760</v>
      </c>
      <c r="Q1475" s="1">
        <v>1</v>
      </c>
    </row>
    <row r="1476" spans="4:17" x14ac:dyDescent="0.2">
      <c r="D1476" s="1" t="s">
        <v>20</v>
      </c>
      <c r="E1476" s="1">
        <v>1400013699</v>
      </c>
      <c r="G1476" s="1" t="s">
        <v>182</v>
      </c>
      <c r="I1476" s="1" t="s">
        <v>182</v>
      </c>
      <c r="K1476" s="2">
        <v>-200000</v>
      </c>
      <c r="L1476" s="1" t="s">
        <v>22</v>
      </c>
      <c r="N1476" s="2">
        <v>-200000</v>
      </c>
      <c r="O1476" s="1" t="s">
        <v>22</v>
      </c>
      <c r="P1476" s="1" t="s">
        <v>761</v>
      </c>
      <c r="Q1476" s="1">
        <v>1</v>
      </c>
    </row>
    <row r="1477" spans="4:17" x14ac:dyDescent="0.2">
      <c r="D1477" s="1" t="s">
        <v>20</v>
      </c>
      <c r="E1477" s="1">
        <v>1400013885</v>
      </c>
      <c r="G1477" s="1" t="s">
        <v>66</v>
      </c>
      <c r="I1477" s="1" t="s">
        <v>66</v>
      </c>
      <c r="K1477" s="2">
        <v>-16003.91</v>
      </c>
      <c r="L1477" s="1" t="s">
        <v>22</v>
      </c>
      <c r="N1477" s="2">
        <v>-16003.91</v>
      </c>
      <c r="O1477" s="1" t="s">
        <v>22</v>
      </c>
      <c r="P1477" s="1" t="s">
        <v>762</v>
      </c>
      <c r="Q1477" s="1">
        <v>1</v>
      </c>
    </row>
    <row r="1478" spans="4:17" x14ac:dyDescent="0.2">
      <c r="D1478" s="1" t="s">
        <v>20</v>
      </c>
      <c r="E1478" s="1">
        <v>1400013885</v>
      </c>
      <c r="G1478" s="1" t="s">
        <v>66</v>
      </c>
      <c r="I1478" s="1" t="s">
        <v>66</v>
      </c>
      <c r="K1478" s="2">
        <v>-100000</v>
      </c>
      <c r="L1478" s="1" t="s">
        <v>22</v>
      </c>
      <c r="N1478" s="2">
        <v>-100000</v>
      </c>
      <c r="O1478" s="1" t="s">
        <v>22</v>
      </c>
      <c r="P1478" s="1" t="s">
        <v>763</v>
      </c>
      <c r="Q1478" s="1">
        <v>1</v>
      </c>
    </row>
    <row r="1479" spans="4:17" x14ac:dyDescent="0.2">
      <c r="D1479" s="1" t="s">
        <v>20</v>
      </c>
      <c r="E1479" s="1">
        <v>1400013885</v>
      </c>
      <c r="G1479" s="1" t="s">
        <v>66</v>
      </c>
      <c r="I1479" s="1" t="s">
        <v>66</v>
      </c>
      <c r="K1479" s="2">
        <v>-68219.37</v>
      </c>
      <c r="L1479" s="1" t="s">
        <v>22</v>
      </c>
      <c r="N1479" s="2">
        <v>-68219.37</v>
      </c>
      <c r="O1479" s="1" t="s">
        <v>22</v>
      </c>
      <c r="P1479" s="1" t="s">
        <v>764</v>
      </c>
      <c r="Q1479" s="1">
        <v>1</v>
      </c>
    </row>
    <row r="1480" spans="4:17" x14ac:dyDescent="0.2">
      <c r="D1480" s="1" t="s">
        <v>20</v>
      </c>
      <c r="E1480" s="1">
        <v>1400013885</v>
      </c>
      <c r="G1480" s="1" t="s">
        <v>66</v>
      </c>
      <c r="I1480" s="1" t="s">
        <v>66</v>
      </c>
      <c r="K1480" s="2">
        <v>-13187.3</v>
      </c>
      <c r="L1480" s="1" t="s">
        <v>22</v>
      </c>
      <c r="N1480" s="2">
        <v>-13187.3</v>
      </c>
      <c r="O1480" s="1" t="s">
        <v>22</v>
      </c>
      <c r="P1480" s="1" t="s">
        <v>765</v>
      </c>
      <c r="Q1480" s="1">
        <v>1</v>
      </c>
    </row>
    <row r="1481" spans="4:17" x14ac:dyDescent="0.2">
      <c r="D1481" s="1" t="s">
        <v>20</v>
      </c>
      <c r="E1481" s="1">
        <v>1400013885</v>
      </c>
      <c r="G1481" s="1" t="s">
        <v>66</v>
      </c>
      <c r="I1481" s="1" t="s">
        <v>66</v>
      </c>
      <c r="K1481" s="2">
        <v>-150000</v>
      </c>
      <c r="L1481" s="1" t="s">
        <v>22</v>
      </c>
      <c r="N1481" s="2">
        <v>-150000</v>
      </c>
      <c r="O1481" s="1" t="s">
        <v>22</v>
      </c>
      <c r="P1481" s="1" t="s">
        <v>766</v>
      </c>
      <c r="Q1481" s="1">
        <v>1</v>
      </c>
    </row>
    <row r="1482" spans="4:17" x14ac:dyDescent="0.2">
      <c r="D1482" s="1" t="s">
        <v>20</v>
      </c>
      <c r="E1482" s="1">
        <v>1400013885</v>
      </c>
      <c r="G1482" s="1" t="s">
        <v>66</v>
      </c>
      <c r="I1482" s="1" t="s">
        <v>66</v>
      </c>
      <c r="K1482" s="2">
        <v>-150000</v>
      </c>
      <c r="L1482" s="1" t="s">
        <v>22</v>
      </c>
      <c r="N1482" s="2">
        <v>-150000</v>
      </c>
      <c r="O1482" s="1" t="s">
        <v>22</v>
      </c>
      <c r="P1482" s="1" t="s">
        <v>767</v>
      </c>
      <c r="Q1482" s="1">
        <v>1</v>
      </c>
    </row>
    <row r="1483" spans="4:17" x14ac:dyDescent="0.2">
      <c r="D1483" s="1" t="s">
        <v>20</v>
      </c>
      <c r="E1483" s="1">
        <v>1400013885</v>
      </c>
      <c r="G1483" s="1" t="s">
        <v>66</v>
      </c>
      <c r="I1483" s="1" t="s">
        <v>66</v>
      </c>
      <c r="K1483" s="2">
        <v>-24857.9</v>
      </c>
      <c r="L1483" s="1" t="s">
        <v>22</v>
      </c>
      <c r="N1483" s="2">
        <v>-24857.9</v>
      </c>
      <c r="O1483" s="1" t="s">
        <v>22</v>
      </c>
      <c r="P1483" s="1" t="s">
        <v>768</v>
      </c>
      <c r="Q1483" s="1">
        <v>1</v>
      </c>
    </row>
    <row r="1484" spans="4:17" x14ac:dyDescent="0.2">
      <c r="D1484" s="1" t="s">
        <v>20</v>
      </c>
      <c r="E1484" s="1">
        <v>1400013885</v>
      </c>
      <c r="G1484" s="1" t="s">
        <v>66</v>
      </c>
      <c r="I1484" s="1" t="s">
        <v>66</v>
      </c>
      <c r="K1484" s="2">
        <v>-100000</v>
      </c>
      <c r="L1484" s="1" t="s">
        <v>22</v>
      </c>
      <c r="N1484" s="2">
        <v>-100000</v>
      </c>
      <c r="O1484" s="1" t="s">
        <v>22</v>
      </c>
      <c r="P1484" s="1" t="s">
        <v>769</v>
      </c>
      <c r="Q1484" s="1">
        <v>1</v>
      </c>
    </row>
    <row r="1485" spans="4:17" x14ac:dyDescent="0.2">
      <c r="D1485" s="1" t="s">
        <v>20</v>
      </c>
      <c r="E1485" s="1">
        <v>1400013885</v>
      </c>
      <c r="G1485" s="1" t="s">
        <v>66</v>
      </c>
      <c r="I1485" s="1" t="s">
        <v>66</v>
      </c>
      <c r="K1485" s="2">
        <v>-34987.5</v>
      </c>
      <c r="L1485" s="1" t="s">
        <v>22</v>
      </c>
      <c r="N1485" s="2">
        <v>-34987.5</v>
      </c>
      <c r="O1485" s="1" t="s">
        <v>22</v>
      </c>
      <c r="P1485" s="1" t="s">
        <v>770</v>
      </c>
      <c r="Q1485" s="1">
        <v>1</v>
      </c>
    </row>
    <row r="1486" spans="4:17" x14ac:dyDescent="0.2">
      <c r="D1486" s="1" t="s">
        <v>20</v>
      </c>
      <c r="E1486" s="1">
        <v>1400013885</v>
      </c>
      <c r="G1486" s="1" t="s">
        <v>66</v>
      </c>
      <c r="I1486" s="1" t="s">
        <v>66</v>
      </c>
      <c r="K1486" s="2">
        <v>-1257.3</v>
      </c>
      <c r="L1486" s="1" t="s">
        <v>22</v>
      </c>
      <c r="N1486" s="2">
        <v>-1257.3</v>
      </c>
      <c r="O1486" s="1" t="s">
        <v>22</v>
      </c>
      <c r="P1486" s="1" t="s">
        <v>757</v>
      </c>
      <c r="Q1486" s="1">
        <v>1</v>
      </c>
    </row>
    <row r="1487" spans="4:17" x14ac:dyDescent="0.2">
      <c r="D1487" s="1" t="s">
        <v>20</v>
      </c>
      <c r="E1487" s="1">
        <v>1400013885</v>
      </c>
      <c r="G1487" s="1" t="s">
        <v>66</v>
      </c>
      <c r="I1487" s="1" t="s">
        <v>66</v>
      </c>
      <c r="K1487" s="2">
        <v>-83000</v>
      </c>
      <c r="L1487" s="1" t="s">
        <v>22</v>
      </c>
      <c r="N1487" s="2">
        <v>-83000</v>
      </c>
      <c r="O1487" s="1" t="s">
        <v>22</v>
      </c>
      <c r="P1487" s="1" t="s">
        <v>771</v>
      </c>
      <c r="Q1487" s="1">
        <v>1</v>
      </c>
    </row>
    <row r="1488" spans="4:17" x14ac:dyDescent="0.2">
      <c r="D1488" s="1" t="s">
        <v>20</v>
      </c>
      <c r="E1488" s="1">
        <v>1400013885</v>
      </c>
      <c r="G1488" s="1" t="s">
        <v>66</v>
      </c>
      <c r="I1488" s="1" t="s">
        <v>66</v>
      </c>
      <c r="K1488" s="2">
        <v>-150000</v>
      </c>
      <c r="L1488" s="1" t="s">
        <v>22</v>
      </c>
      <c r="N1488" s="2">
        <v>-150000</v>
      </c>
      <c r="O1488" s="1" t="s">
        <v>22</v>
      </c>
      <c r="P1488" s="1" t="s">
        <v>772</v>
      </c>
      <c r="Q1488" s="1">
        <v>1</v>
      </c>
    </row>
    <row r="1489" spans="1:17" x14ac:dyDescent="0.2">
      <c r="D1489" s="1" t="s">
        <v>20</v>
      </c>
      <c r="E1489" s="1">
        <v>1400013885</v>
      </c>
      <c r="G1489" s="1" t="s">
        <v>66</v>
      </c>
      <c r="I1489" s="1" t="s">
        <v>66</v>
      </c>
      <c r="K1489" s="2">
        <v>-150000</v>
      </c>
      <c r="L1489" s="1" t="s">
        <v>22</v>
      </c>
      <c r="N1489" s="2">
        <v>-150000</v>
      </c>
      <c r="O1489" s="1" t="s">
        <v>22</v>
      </c>
      <c r="P1489" s="1" t="s">
        <v>773</v>
      </c>
      <c r="Q1489" s="1">
        <v>1</v>
      </c>
    </row>
    <row r="1490" spans="1:17" x14ac:dyDescent="0.2">
      <c r="D1490" s="1" t="s">
        <v>20</v>
      </c>
      <c r="E1490" s="1">
        <v>1400013885</v>
      </c>
      <c r="G1490" s="1" t="s">
        <v>66</v>
      </c>
      <c r="I1490" s="1" t="s">
        <v>66</v>
      </c>
      <c r="K1490" s="2">
        <v>-48441.919999999998</v>
      </c>
      <c r="L1490" s="1" t="s">
        <v>22</v>
      </c>
      <c r="N1490" s="2">
        <v>-48441.919999999998</v>
      </c>
      <c r="O1490" s="1" t="s">
        <v>22</v>
      </c>
      <c r="P1490" s="1" t="s">
        <v>774</v>
      </c>
      <c r="Q1490" s="1">
        <v>1</v>
      </c>
    </row>
    <row r="1491" spans="1:17" x14ac:dyDescent="0.2">
      <c r="D1491" s="1" t="s">
        <v>20</v>
      </c>
      <c r="E1491" s="1">
        <v>1400013885</v>
      </c>
      <c r="G1491" s="1" t="s">
        <v>66</v>
      </c>
      <c r="I1491" s="1" t="s">
        <v>66</v>
      </c>
      <c r="K1491" s="2">
        <v>-150000</v>
      </c>
      <c r="L1491" s="1" t="s">
        <v>22</v>
      </c>
      <c r="N1491" s="2">
        <v>-150000</v>
      </c>
      <c r="O1491" s="1" t="s">
        <v>22</v>
      </c>
      <c r="P1491" s="1" t="s">
        <v>775</v>
      </c>
      <c r="Q1491" s="1">
        <v>1</v>
      </c>
    </row>
    <row r="1492" spans="1:17" x14ac:dyDescent="0.2">
      <c r="D1492" s="1" t="s">
        <v>20</v>
      </c>
      <c r="E1492" s="1">
        <v>1400013885</v>
      </c>
      <c r="G1492" s="1" t="s">
        <v>66</v>
      </c>
      <c r="I1492" s="1" t="s">
        <v>66</v>
      </c>
      <c r="K1492" s="2">
        <v>-14065.28</v>
      </c>
      <c r="L1492" s="1" t="s">
        <v>22</v>
      </c>
      <c r="N1492" s="2">
        <v>-14065.28</v>
      </c>
      <c r="O1492" s="1" t="s">
        <v>22</v>
      </c>
      <c r="P1492" s="1" t="s">
        <v>776</v>
      </c>
      <c r="Q1492" s="1">
        <v>1</v>
      </c>
    </row>
    <row r="1494" spans="1:17" x14ac:dyDescent="0.2">
      <c r="B1494" s="1" t="s">
        <v>25</v>
      </c>
      <c r="K1494" s="2">
        <v>-1852123.18</v>
      </c>
      <c r="L1494" s="1" t="s">
        <v>22</v>
      </c>
      <c r="N1494" s="2">
        <v>-1852123.18</v>
      </c>
      <c r="O1494" s="1" t="s">
        <v>22</v>
      </c>
    </row>
    <row r="1496" spans="1:17" x14ac:dyDescent="0.2">
      <c r="A1496" s="3"/>
      <c r="B1496" s="3" t="s">
        <v>26</v>
      </c>
      <c r="C1496" s="3" t="s">
        <v>306</v>
      </c>
      <c r="D1496" s="3"/>
      <c r="E1496" s="3"/>
      <c r="F1496" s="3"/>
      <c r="G1496" s="3"/>
      <c r="H1496" s="3"/>
      <c r="I1496" s="3"/>
      <c r="J1496" s="3"/>
      <c r="K1496" s="4">
        <v>-1852123.18</v>
      </c>
      <c r="L1496" s="3" t="s">
        <v>22</v>
      </c>
      <c r="M1496" s="3"/>
      <c r="N1496" s="4">
        <v>-1852123.18</v>
      </c>
      <c r="O1496" s="3" t="s">
        <v>22</v>
      </c>
      <c r="P1496" s="3"/>
      <c r="Q1496" s="3"/>
    </row>
    <row r="1498" spans="1:17" x14ac:dyDescent="0.2">
      <c r="A1498" s="1" t="s">
        <v>0</v>
      </c>
      <c r="F1498" s="1">
        <v>501233</v>
      </c>
    </row>
    <row r="1499" spans="1:17" x14ac:dyDescent="0.2">
      <c r="A1499" s="1" t="s">
        <v>1</v>
      </c>
      <c r="F1499" s="1" t="s">
        <v>40</v>
      </c>
    </row>
    <row r="1501" spans="1:17" x14ac:dyDescent="0.2">
      <c r="A1501" s="1" t="s">
        <v>3</v>
      </c>
      <c r="F1501" s="1" t="s">
        <v>312</v>
      </c>
    </row>
    <row r="1502" spans="1:17" x14ac:dyDescent="0.2">
      <c r="A1502" s="1" t="s">
        <v>5</v>
      </c>
      <c r="F1502" s="1" t="s">
        <v>564</v>
      </c>
    </row>
    <row r="1505" spans="1:17" x14ac:dyDescent="0.2">
      <c r="C1505" s="1" t="s">
        <v>6</v>
      </c>
      <c r="D1505" s="1" t="s">
        <v>7</v>
      </c>
      <c r="E1505" s="1" t="s">
        <v>8</v>
      </c>
      <c r="G1505" s="1" t="s">
        <v>9</v>
      </c>
      <c r="H1505" s="1" t="s">
        <v>10</v>
      </c>
      <c r="I1505" s="1" t="s">
        <v>11</v>
      </c>
      <c r="J1505" s="1" t="s">
        <v>12</v>
      </c>
      <c r="K1505" s="1" t="s">
        <v>13</v>
      </c>
      <c r="L1505" s="1" t="s">
        <v>14</v>
      </c>
      <c r="M1505" s="1" t="s">
        <v>15</v>
      </c>
      <c r="N1505" s="1" t="s">
        <v>16</v>
      </c>
      <c r="O1505" s="1" t="s">
        <v>17</v>
      </c>
      <c r="P1505" s="1" t="s">
        <v>18</v>
      </c>
      <c r="Q1505" s="1" t="s">
        <v>19</v>
      </c>
    </row>
    <row r="1507" spans="1:17" x14ac:dyDescent="0.2">
      <c r="D1507" s="1" t="s">
        <v>20</v>
      </c>
      <c r="E1507" s="1">
        <v>1400013666</v>
      </c>
      <c r="G1507" s="1" t="s">
        <v>104</v>
      </c>
      <c r="I1507" s="1" t="s">
        <v>104</v>
      </c>
      <c r="K1507" s="2">
        <v>-38676.93</v>
      </c>
      <c r="L1507" s="1" t="s">
        <v>22</v>
      </c>
      <c r="N1507" s="2">
        <v>-38676.93</v>
      </c>
      <c r="O1507" s="1" t="s">
        <v>22</v>
      </c>
      <c r="P1507" s="1" t="s">
        <v>777</v>
      </c>
      <c r="Q1507" s="1">
        <v>1</v>
      </c>
    </row>
    <row r="1509" spans="1:17" x14ac:dyDescent="0.2">
      <c r="B1509" s="1" t="s">
        <v>25</v>
      </c>
      <c r="K1509" s="2">
        <v>-38676.93</v>
      </c>
      <c r="L1509" s="1" t="s">
        <v>22</v>
      </c>
      <c r="N1509" s="2">
        <v>-38676.93</v>
      </c>
      <c r="O1509" s="1" t="s">
        <v>22</v>
      </c>
    </row>
    <row r="1511" spans="1:17" x14ac:dyDescent="0.2">
      <c r="A1511" s="3"/>
      <c r="B1511" s="3" t="s">
        <v>26</v>
      </c>
      <c r="C1511" s="3" t="s">
        <v>778</v>
      </c>
      <c r="D1511" s="3"/>
      <c r="E1511" s="3"/>
      <c r="F1511" s="3"/>
      <c r="G1511" s="3"/>
      <c r="H1511" s="3"/>
      <c r="I1511" s="3"/>
      <c r="J1511" s="3"/>
      <c r="K1511" s="4">
        <v>-38676.93</v>
      </c>
      <c r="L1511" s="3" t="s">
        <v>22</v>
      </c>
      <c r="M1511" s="3"/>
      <c r="N1511" s="4">
        <v>-38676.93</v>
      </c>
      <c r="O1511" s="3" t="s">
        <v>22</v>
      </c>
      <c r="P1511" s="3"/>
      <c r="Q1511" s="3"/>
    </row>
    <row r="1513" spans="1:17" x14ac:dyDescent="0.2">
      <c r="A1513" s="1" t="s">
        <v>0</v>
      </c>
      <c r="F1513" s="1">
        <v>501234</v>
      </c>
    </row>
    <row r="1514" spans="1:17" x14ac:dyDescent="0.2">
      <c r="A1514" s="1" t="s">
        <v>1</v>
      </c>
      <c r="F1514" s="1" t="s">
        <v>40</v>
      </c>
    </row>
    <row r="1516" spans="1:17" x14ac:dyDescent="0.2">
      <c r="A1516" s="1" t="s">
        <v>3</v>
      </c>
      <c r="F1516" s="1" t="s">
        <v>312</v>
      </c>
    </row>
    <row r="1517" spans="1:17" x14ac:dyDescent="0.2">
      <c r="A1517" s="1" t="s">
        <v>5</v>
      </c>
      <c r="F1517" s="1" t="s">
        <v>313</v>
      </c>
    </row>
    <row r="1520" spans="1:17" x14ac:dyDescent="0.2">
      <c r="C1520" s="1" t="s">
        <v>6</v>
      </c>
      <c r="D1520" s="1" t="s">
        <v>7</v>
      </c>
      <c r="E1520" s="1" t="s">
        <v>8</v>
      </c>
      <c r="G1520" s="1" t="s">
        <v>9</v>
      </c>
      <c r="H1520" s="1" t="s">
        <v>10</v>
      </c>
      <c r="I1520" s="1" t="s">
        <v>11</v>
      </c>
      <c r="J1520" s="1" t="s">
        <v>12</v>
      </c>
      <c r="K1520" s="1" t="s">
        <v>13</v>
      </c>
      <c r="L1520" s="1" t="s">
        <v>14</v>
      </c>
      <c r="M1520" s="1" t="s">
        <v>15</v>
      </c>
      <c r="N1520" s="1" t="s">
        <v>16</v>
      </c>
      <c r="O1520" s="1" t="s">
        <v>17</v>
      </c>
      <c r="P1520" s="1" t="s">
        <v>18</v>
      </c>
      <c r="Q1520" s="1" t="s">
        <v>19</v>
      </c>
    </row>
    <row r="1522" spans="1:17" x14ac:dyDescent="0.2">
      <c r="D1522" s="1" t="s">
        <v>20</v>
      </c>
      <c r="E1522" s="1">
        <v>103327754</v>
      </c>
      <c r="G1522" s="1" t="s">
        <v>30</v>
      </c>
      <c r="I1522" s="1" t="s">
        <v>30</v>
      </c>
      <c r="K1522" s="2">
        <v>-791091.12</v>
      </c>
      <c r="L1522" s="1" t="s">
        <v>22</v>
      </c>
      <c r="N1522" s="2">
        <v>-791091.12</v>
      </c>
      <c r="O1522" s="1" t="s">
        <v>22</v>
      </c>
      <c r="P1522" s="1" t="s">
        <v>779</v>
      </c>
      <c r="Q1522" s="1">
        <v>1</v>
      </c>
    </row>
    <row r="1524" spans="1:17" x14ac:dyDescent="0.2">
      <c r="B1524" s="1" t="s">
        <v>25</v>
      </c>
      <c r="K1524" s="2">
        <v>-791091.12</v>
      </c>
      <c r="L1524" s="1" t="s">
        <v>22</v>
      </c>
      <c r="N1524" s="2">
        <v>-791091.12</v>
      </c>
      <c r="O1524" s="1" t="s">
        <v>22</v>
      </c>
    </row>
    <row r="1526" spans="1:17" x14ac:dyDescent="0.2">
      <c r="A1526" s="3"/>
      <c r="B1526" s="3" t="s">
        <v>26</v>
      </c>
      <c r="C1526" s="3" t="s">
        <v>315</v>
      </c>
      <c r="D1526" s="3"/>
      <c r="E1526" s="3"/>
      <c r="F1526" s="3"/>
      <c r="G1526" s="3"/>
      <c r="H1526" s="3"/>
      <c r="I1526" s="3"/>
      <c r="J1526" s="3"/>
      <c r="K1526" s="4">
        <v>-791091.12</v>
      </c>
      <c r="L1526" s="3" t="s">
        <v>22</v>
      </c>
      <c r="M1526" s="3"/>
      <c r="N1526" s="4">
        <v>-791091.12</v>
      </c>
      <c r="O1526" s="3" t="s">
        <v>22</v>
      </c>
      <c r="P1526" s="3"/>
      <c r="Q1526" s="3"/>
    </row>
    <row r="1528" spans="1:17" x14ac:dyDescent="0.2">
      <c r="A1528" s="1" t="s">
        <v>0</v>
      </c>
      <c r="F1528" s="1">
        <v>501241</v>
      </c>
    </row>
    <row r="1529" spans="1:17" x14ac:dyDescent="0.2">
      <c r="A1529" s="1" t="s">
        <v>1</v>
      </c>
      <c r="F1529" s="1" t="s">
        <v>40</v>
      </c>
    </row>
    <row r="1531" spans="1:17" x14ac:dyDescent="0.2">
      <c r="A1531" s="1" t="s">
        <v>3</v>
      </c>
      <c r="F1531" s="1" t="s">
        <v>28</v>
      </c>
    </row>
    <row r="1532" spans="1:17" x14ac:dyDescent="0.2">
      <c r="A1532" s="1" t="s">
        <v>5</v>
      </c>
      <c r="F1532" s="1" t="s">
        <v>321</v>
      </c>
    </row>
    <row r="1535" spans="1:17" x14ac:dyDescent="0.2">
      <c r="C1535" s="1" t="s">
        <v>6</v>
      </c>
      <c r="D1535" s="1" t="s">
        <v>7</v>
      </c>
      <c r="E1535" s="1" t="s">
        <v>8</v>
      </c>
      <c r="G1535" s="1" t="s">
        <v>9</v>
      </c>
      <c r="H1535" s="1" t="s">
        <v>10</v>
      </c>
      <c r="I1535" s="1" t="s">
        <v>11</v>
      </c>
      <c r="J1535" s="1" t="s">
        <v>12</v>
      </c>
      <c r="K1535" s="1" t="s">
        <v>13</v>
      </c>
      <c r="L1535" s="1" t="s">
        <v>14</v>
      </c>
      <c r="M1535" s="1" t="s">
        <v>15</v>
      </c>
      <c r="N1535" s="1" t="s">
        <v>16</v>
      </c>
      <c r="O1535" s="1" t="s">
        <v>17</v>
      </c>
      <c r="P1535" s="1" t="s">
        <v>18</v>
      </c>
      <c r="Q1535" s="1" t="s">
        <v>19</v>
      </c>
    </row>
    <row r="1537" spans="1:17" x14ac:dyDescent="0.2">
      <c r="D1537" s="1" t="s">
        <v>20</v>
      </c>
      <c r="E1537" s="1">
        <v>1400013744</v>
      </c>
      <c r="G1537" s="1" t="s">
        <v>48</v>
      </c>
      <c r="I1537" s="1" t="s">
        <v>48</v>
      </c>
      <c r="K1537" s="2">
        <v>-3742219.65</v>
      </c>
      <c r="L1537" s="1" t="s">
        <v>22</v>
      </c>
      <c r="N1537" s="2">
        <v>-914856.29</v>
      </c>
      <c r="O1537" s="1" t="s">
        <v>31</v>
      </c>
      <c r="P1537" s="1" t="s">
        <v>780</v>
      </c>
      <c r="Q1537" s="1">
        <v>4.0904999999999996</v>
      </c>
    </row>
    <row r="1538" spans="1:17" x14ac:dyDescent="0.2">
      <c r="D1538" s="1" t="s">
        <v>20</v>
      </c>
      <c r="E1538" s="1">
        <v>1400013744</v>
      </c>
      <c r="G1538" s="1" t="s">
        <v>48</v>
      </c>
      <c r="I1538" s="1" t="s">
        <v>48</v>
      </c>
      <c r="K1538" s="2">
        <v>-4119859.44</v>
      </c>
      <c r="L1538" s="1" t="s">
        <v>22</v>
      </c>
      <c r="N1538" s="2">
        <v>-1007177.47</v>
      </c>
      <c r="O1538" s="1" t="s">
        <v>31</v>
      </c>
      <c r="P1538" s="1" t="s">
        <v>781</v>
      </c>
      <c r="Q1538" s="1">
        <v>4.0904999999999996</v>
      </c>
    </row>
    <row r="1539" spans="1:17" x14ac:dyDescent="0.2">
      <c r="D1539" s="1" t="s">
        <v>20</v>
      </c>
      <c r="E1539" s="1">
        <v>1400013764</v>
      </c>
      <c r="G1539" s="1" t="s">
        <v>61</v>
      </c>
      <c r="I1539" s="1" t="s">
        <v>61</v>
      </c>
      <c r="K1539" s="2">
        <v>-4442542.38</v>
      </c>
      <c r="L1539" s="1" t="s">
        <v>22</v>
      </c>
      <c r="N1539" s="2">
        <v>-1086860.52</v>
      </c>
      <c r="O1539" s="1" t="s">
        <v>31</v>
      </c>
      <c r="P1539" s="1" t="s">
        <v>782</v>
      </c>
      <c r="Q1539" s="1">
        <v>4.0875000000000004</v>
      </c>
    </row>
    <row r="1541" spans="1:17" x14ac:dyDescent="0.2">
      <c r="B1541" s="1" t="s">
        <v>25</v>
      </c>
      <c r="K1541" s="2">
        <v>-12304621.470000001</v>
      </c>
      <c r="L1541" s="1" t="s">
        <v>22</v>
      </c>
      <c r="N1541" s="2">
        <v>-3008894.28</v>
      </c>
      <c r="O1541" s="1" t="s">
        <v>31</v>
      </c>
    </row>
    <row r="1543" spans="1:17" x14ac:dyDescent="0.2">
      <c r="A1543" s="3"/>
      <c r="B1543" s="3" t="s">
        <v>26</v>
      </c>
      <c r="C1543" s="3" t="s">
        <v>324</v>
      </c>
      <c r="D1543" s="3"/>
      <c r="E1543" s="3"/>
      <c r="F1543" s="3"/>
      <c r="G1543" s="3"/>
      <c r="H1543" s="3"/>
      <c r="I1543" s="3"/>
      <c r="J1543" s="3"/>
      <c r="K1543" s="4">
        <v>-12304621.470000001</v>
      </c>
      <c r="L1543" s="3" t="s">
        <v>22</v>
      </c>
      <c r="M1543" s="3"/>
      <c r="N1543" s="4">
        <v>-3008894.28</v>
      </c>
      <c r="O1543" s="3" t="s">
        <v>31</v>
      </c>
      <c r="P1543" s="3"/>
      <c r="Q1543" s="3"/>
    </row>
    <row r="1545" spans="1:17" x14ac:dyDescent="0.2">
      <c r="A1545" s="1" t="s">
        <v>0</v>
      </c>
      <c r="F1545" s="1">
        <v>501245</v>
      </c>
    </row>
    <row r="1546" spans="1:17" x14ac:dyDescent="0.2">
      <c r="A1546" s="1" t="s">
        <v>1</v>
      </c>
      <c r="F1546" s="1" t="s">
        <v>40</v>
      </c>
    </row>
    <row r="1548" spans="1:17" x14ac:dyDescent="0.2">
      <c r="A1548" s="1" t="s">
        <v>3</v>
      </c>
      <c r="F1548" s="1" t="s">
        <v>783</v>
      </c>
    </row>
    <row r="1549" spans="1:17" x14ac:dyDescent="0.2">
      <c r="A1549" s="1" t="s">
        <v>5</v>
      </c>
      <c r="F1549" s="1" t="s">
        <v>70</v>
      </c>
    </row>
    <row r="1552" spans="1:17" x14ac:dyDescent="0.2">
      <c r="C1552" s="1" t="s">
        <v>6</v>
      </c>
      <c r="D1552" s="1" t="s">
        <v>7</v>
      </c>
      <c r="E1552" s="1" t="s">
        <v>8</v>
      </c>
      <c r="G1552" s="1" t="s">
        <v>9</v>
      </c>
      <c r="H1552" s="1" t="s">
        <v>10</v>
      </c>
      <c r="I1552" s="1" t="s">
        <v>11</v>
      </c>
      <c r="J1552" s="1" t="s">
        <v>12</v>
      </c>
      <c r="K1552" s="1" t="s">
        <v>13</v>
      </c>
      <c r="L1552" s="1" t="s">
        <v>14</v>
      </c>
      <c r="M1552" s="1" t="s">
        <v>15</v>
      </c>
      <c r="N1552" s="1" t="s">
        <v>16</v>
      </c>
      <c r="O1552" s="1" t="s">
        <v>17</v>
      </c>
      <c r="P1552" s="1" t="s">
        <v>18</v>
      </c>
      <c r="Q1552" s="1" t="s">
        <v>19</v>
      </c>
    </row>
    <row r="1554" spans="1:17" x14ac:dyDescent="0.2">
      <c r="D1554" s="1" t="s">
        <v>20</v>
      </c>
      <c r="E1554" s="1">
        <v>1400013742</v>
      </c>
      <c r="G1554" s="1" t="s">
        <v>48</v>
      </c>
      <c r="I1554" s="1" t="s">
        <v>48</v>
      </c>
      <c r="K1554" s="2">
        <v>-920400</v>
      </c>
      <c r="L1554" s="1" t="s">
        <v>22</v>
      </c>
      <c r="N1554" s="2">
        <v>-920400</v>
      </c>
      <c r="O1554" s="1" t="s">
        <v>22</v>
      </c>
      <c r="P1554" s="1" t="s">
        <v>784</v>
      </c>
      <c r="Q1554" s="1">
        <v>1</v>
      </c>
    </row>
    <row r="1556" spans="1:17" x14ac:dyDescent="0.2">
      <c r="B1556" s="1" t="s">
        <v>25</v>
      </c>
      <c r="K1556" s="2">
        <v>-920400</v>
      </c>
      <c r="L1556" s="1" t="s">
        <v>22</v>
      </c>
      <c r="N1556" s="2">
        <v>-920400</v>
      </c>
      <c r="O1556" s="1" t="s">
        <v>22</v>
      </c>
    </row>
    <row r="1558" spans="1:17" x14ac:dyDescent="0.2">
      <c r="A1558" s="3"/>
      <c r="B1558" s="3" t="s">
        <v>26</v>
      </c>
      <c r="C1558" s="3" t="s">
        <v>785</v>
      </c>
      <c r="D1558" s="3"/>
      <c r="E1558" s="3"/>
      <c r="F1558" s="3"/>
      <c r="G1558" s="3"/>
      <c r="H1558" s="3"/>
      <c r="I1558" s="3"/>
      <c r="J1558" s="3"/>
      <c r="K1558" s="4">
        <v>-920400</v>
      </c>
      <c r="L1558" s="3" t="s">
        <v>22</v>
      </c>
      <c r="M1558" s="3"/>
      <c r="N1558" s="4">
        <v>-920400</v>
      </c>
      <c r="O1558" s="3" t="s">
        <v>22</v>
      </c>
      <c r="P1558" s="3"/>
      <c r="Q1558" s="3"/>
    </row>
    <row r="1560" spans="1:17" x14ac:dyDescent="0.2">
      <c r="A1560" s="1" t="s">
        <v>0</v>
      </c>
      <c r="F1560" s="1">
        <v>501248</v>
      </c>
    </row>
    <row r="1561" spans="1:17" x14ac:dyDescent="0.2">
      <c r="A1561" s="1" t="s">
        <v>1</v>
      </c>
      <c r="F1561" s="1" t="s">
        <v>40</v>
      </c>
    </row>
    <row r="1563" spans="1:17" x14ac:dyDescent="0.2">
      <c r="A1563" s="1" t="s">
        <v>3</v>
      </c>
      <c r="F1563" s="1" t="s">
        <v>786</v>
      </c>
    </row>
    <row r="1564" spans="1:17" x14ac:dyDescent="0.2">
      <c r="A1564" s="1" t="s">
        <v>5</v>
      </c>
      <c r="F1564" s="1" t="s">
        <v>684</v>
      </c>
    </row>
    <row r="1567" spans="1:17" x14ac:dyDescent="0.2">
      <c r="C1567" s="1" t="s">
        <v>6</v>
      </c>
      <c r="D1567" s="1" t="s">
        <v>7</v>
      </c>
      <c r="E1567" s="1" t="s">
        <v>8</v>
      </c>
      <c r="G1567" s="1" t="s">
        <v>9</v>
      </c>
      <c r="H1567" s="1" t="s">
        <v>10</v>
      </c>
      <c r="I1567" s="1" t="s">
        <v>11</v>
      </c>
      <c r="J1567" s="1" t="s">
        <v>12</v>
      </c>
      <c r="K1567" s="1" t="s">
        <v>13</v>
      </c>
      <c r="L1567" s="1" t="s">
        <v>14</v>
      </c>
      <c r="M1567" s="1" t="s">
        <v>15</v>
      </c>
      <c r="N1567" s="1" t="s">
        <v>16</v>
      </c>
      <c r="O1567" s="1" t="s">
        <v>17</v>
      </c>
      <c r="P1567" s="1" t="s">
        <v>18</v>
      </c>
      <c r="Q1567" s="1" t="s">
        <v>19</v>
      </c>
    </row>
    <row r="1569" spans="1:17" x14ac:dyDescent="0.2">
      <c r="D1569" s="1" t="s">
        <v>20</v>
      </c>
      <c r="E1569" s="1">
        <v>103342802</v>
      </c>
      <c r="G1569" s="1" t="s">
        <v>66</v>
      </c>
      <c r="I1569" s="1" t="s">
        <v>66</v>
      </c>
      <c r="K1569" s="2">
        <v>-6885.14</v>
      </c>
      <c r="L1569" s="1" t="s">
        <v>22</v>
      </c>
      <c r="N1569" s="2">
        <v>-2537.46</v>
      </c>
      <c r="O1569" s="1" t="s">
        <v>630</v>
      </c>
      <c r="P1569" s="1" t="s">
        <v>787</v>
      </c>
      <c r="Q1569" s="1">
        <v>2.7134</v>
      </c>
    </row>
    <row r="1571" spans="1:17" x14ac:dyDescent="0.2">
      <c r="B1571" s="1" t="s">
        <v>25</v>
      </c>
      <c r="K1571" s="2">
        <v>-6885.14</v>
      </c>
      <c r="L1571" s="1" t="s">
        <v>22</v>
      </c>
      <c r="N1571" s="2">
        <v>-2537.46</v>
      </c>
      <c r="O1571" s="1" t="s">
        <v>630</v>
      </c>
    </row>
    <row r="1573" spans="1:17" x14ac:dyDescent="0.2">
      <c r="A1573" s="3"/>
      <c r="B1573" s="3" t="s">
        <v>26</v>
      </c>
      <c r="C1573" s="3" t="s">
        <v>788</v>
      </c>
      <c r="D1573" s="3"/>
      <c r="E1573" s="3"/>
      <c r="F1573" s="3"/>
      <c r="G1573" s="3"/>
      <c r="H1573" s="3"/>
      <c r="I1573" s="3"/>
      <c r="J1573" s="3"/>
      <c r="K1573" s="4">
        <v>-6885.14</v>
      </c>
      <c r="L1573" s="3" t="s">
        <v>22</v>
      </c>
      <c r="M1573" s="3"/>
      <c r="N1573" s="4">
        <v>-2537.46</v>
      </c>
      <c r="O1573" s="3" t="s">
        <v>630</v>
      </c>
      <c r="P1573" s="3"/>
      <c r="Q1573" s="3"/>
    </row>
    <row r="1575" spans="1:17" x14ac:dyDescent="0.2">
      <c r="A1575" s="1" t="s">
        <v>0</v>
      </c>
      <c r="F1575" s="1">
        <v>501249</v>
      </c>
    </row>
    <row r="1576" spans="1:17" x14ac:dyDescent="0.2">
      <c r="A1576" s="1" t="s">
        <v>1</v>
      </c>
      <c r="F1576" s="1" t="s">
        <v>40</v>
      </c>
    </row>
    <row r="1578" spans="1:17" x14ac:dyDescent="0.2">
      <c r="A1578" s="1" t="s">
        <v>3</v>
      </c>
      <c r="F1578" s="1" t="s">
        <v>786</v>
      </c>
    </row>
    <row r="1579" spans="1:17" x14ac:dyDescent="0.2">
      <c r="A1579" s="1" t="s">
        <v>5</v>
      </c>
      <c r="F1579" s="1" t="s">
        <v>384</v>
      </c>
    </row>
    <row r="1582" spans="1:17" x14ac:dyDescent="0.2">
      <c r="C1582" s="1" t="s">
        <v>6</v>
      </c>
      <c r="D1582" s="1" t="s">
        <v>7</v>
      </c>
      <c r="E1582" s="1" t="s">
        <v>8</v>
      </c>
      <c r="G1582" s="1" t="s">
        <v>9</v>
      </c>
      <c r="H1582" s="1" t="s">
        <v>10</v>
      </c>
      <c r="I1582" s="1" t="s">
        <v>11</v>
      </c>
      <c r="J1582" s="1" t="s">
        <v>12</v>
      </c>
      <c r="K1582" s="1" t="s">
        <v>13</v>
      </c>
      <c r="L1582" s="1" t="s">
        <v>14</v>
      </c>
      <c r="M1582" s="1" t="s">
        <v>15</v>
      </c>
      <c r="N1582" s="1" t="s">
        <v>16</v>
      </c>
      <c r="O1582" s="1" t="s">
        <v>17</v>
      </c>
      <c r="P1582" s="1" t="s">
        <v>18</v>
      </c>
      <c r="Q1582" s="1" t="s">
        <v>19</v>
      </c>
    </row>
    <row r="1584" spans="1:17" x14ac:dyDescent="0.2">
      <c r="D1584" s="1" t="s">
        <v>20</v>
      </c>
      <c r="E1584" s="1">
        <v>103342802</v>
      </c>
      <c r="G1584" s="1" t="s">
        <v>66</v>
      </c>
      <c r="I1584" s="1" t="s">
        <v>66</v>
      </c>
      <c r="K1584" s="2">
        <v>-4590.1000000000004</v>
      </c>
      <c r="L1584" s="1" t="s">
        <v>22</v>
      </c>
      <c r="N1584" s="2">
        <v>-1691.64</v>
      </c>
      <c r="O1584" s="1" t="s">
        <v>630</v>
      </c>
      <c r="P1584" s="1" t="s">
        <v>789</v>
      </c>
      <c r="Q1584" s="1">
        <v>2.7134</v>
      </c>
    </row>
    <row r="1586" spans="1:17" x14ac:dyDescent="0.2">
      <c r="B1586" s="1" t="s">
        <v>25</v>
      </c>
      <c r="K1586" s="2">
        <v>-4590.1000000000004</v>
      </c>
      <c r="L1586" s="1" t="s">
        <v>22</v>
      </c>
      <c r="N1586" s="2">
        <v>-1691.64</v>
      </c>
      <c r="O1586" s="1" t="s">
        <v>630</v>
      </c>
    </row>
    <row r="1588" spans="1:17" x14ac:dyDescent="0.2">
      <c r="A1588" s="3"/>
      <c r="B1588" s="3" t="s">
        <v>26</v>
      </c>
      <c r="C1588" s="3" t="s">
        <v>790</v>
      </c>
      <c r="D1588" s="3"/>
      <c r="E1588" s="3"/>
      <c r="F1588" s="3"/>
      <c r="G1588" s="3"/>
      <c r="H1588" s="3"/>
      <c r="I1588" s="3"/>
      <c r="J1588" s="3"/>
      <c r="K1588" s="4">
        <v>-4590.1000000000004</v>
      </c>
      <c r="L1588" s="3" t="s">
        <v>22</v>
      </c>
      <c r="M1588" s="3"/>
      <c r="N1588" s="4">
        <v>-1691.64</v>
      </c>
      <c r="O1588" s="3" t="s">
        <v>630</v>
      </c>
      <c r="P1588" s="3"/>
      <c r="Q1588" s="3"/>
    </row>
    <row r="1590" spans="1:17" x14ac:dyDescent="0.2">
      <c r="A1590" s="1" t="s">
        <v>0</v>
      </c>
      <c r="F1590" s="1">
        <v>501250</v>
      </c>
    </row>
    <row r="1591" spans="1:17" x14ac:dyDescent="0.2">
      <c r="A1591" s="1" t="s">
        <v>1</v>
      </c>
      <c r="F1591" s="1" t="s">
        <v>40</v>
      </c>
    </row>
    <row r="1593" spans="1:17" x14ac:dyDescent="0.2">
      <c r="A1593" s="1" t="s">
        <v>3</v>
      </c>
      <c r="F1593" s="1" t="s">
        <v>786</v>
      </c>
    </row>
    <row r="1594" spans="1:17" x14ac:dyDescent="0.2">
      <c r="A1594" s="1" t="s">
        <v>5</v>
      </c>
      <c r="F1594" s="1" t="s">
        <v>791</v>
      </c>
    </row>
    <row r="1597" spans="1:17" x14ac:dyDescent="0.2">
      <c r="C1597" s="1" t="s">
        <v>6</v>
      </c>
      <c r="D1597" s="1" t="s">
        <v>7</v>
      </c>
      <c r="E1597" s="1" t="s">
        <v>8</v>
      </c>
      <c r="G1597" s="1" t="s">
        <v>9</v>
      </c>
      <c r="H1597" s="1" t="s">
        <v>10</v>
      </c>
      <c r="I1597" s="1" t="s">
        <v>11</v>
      </c>
      <c r="J1597" s="1" t="s">
        <v>12</v>
      </c>
      <c r="K1597" s="1" t="s">
        <v>13</v>
      </c>
      <c r="L1597" s="1" t="s">
        <v>14</v>
      </c>
      <c r="M1597" s="1" t="s">
        <v>15</v>
      </c>
      <c r="N1597" s="1" t="s">
        <v>16</v>
      </c>
      <c r="O1597" s="1" t="s">
        <v>17</v>
      </c>
      <c r="P1597" s="1" t="s">
        <v>18</v>
      </c>
      <c r="Q1597" s="1" t="s">
        <v>19</v>
      </c>
    </row>
    <row r="1599" spans="1:17" x14ac:dyDescent="0.2">
      <c r="D1599" s="1" t="s">
        <v>20</v>
      </c>
      <c r="E1599" s="1">
        <v>103342802</v>
      </c>
      <c r="G1599" s="1" t="s">
        <v>66</v>
      </c>
      <c r="I1599" s="1" t="s">
        <v>66</v>
      </c>
      <c r="K1599" s="2">
        <v>-15067.51</v>
      </c>
      <c r="L1599" s="1" t="s">
        <v>22</v>
      </c>
      <c r="N1599" s="2">
        <v>-5553</v>
      </c>
      <c r="O1599" s="1" t="s">
        <v>630</v>
      </c>
      <c r="P1599" s="1" t="s">
        <v>792</v>
      </c>
      <c r="Q1599" s="1">
        <v>2.7134</v>
      </c>
    </row>
    <row r="1601" spans="1:17" x14ac:dyDescent="0.2">
      <c r="B1601" s="1" t="s">
        <v>25</v>
      </c>
      <c r="K1601" s="2">
        <v>-15067.51</v>
      </c>
      <c r="L1601" s="1" t="s">
        <v>22</v>
      </c>
      <c r="N1601" s="2">
        <v>-5553</v>
      </c>
      <c r="O1601" s="1" t="s">
        <v>630</v>
      </c>
    </row>
    <row r="1603" spans="1:17" x14ac:dyDescent="0.2">
      <c r="A1603" s="3"/>
      <c r="B1603" s="3" t="s">
        <v>26</v>
      </c>
      <c r="C1603" s="3" t="s">
        <v>793</v>
      </c>
      <c r="D1603" s="3"/>
      <c r="E1603" s="3"/>
      <c r="F1603" s="3"/>
      <c r="G1603" s="3"/>
      <c r="H1603" s="3"/>
      <c r="I1603" s="3"/>
      <c r="J1603" s="3"/>
      <c r="K1603" s="4">
        <v>-15067.51</v>
      </c>
      <c r="L1603" s="3" t="s">
        <v>22</v>
      </c>
      <c r="M1603" s="3"/>
      <c r="N1603" s="4">
        <v>-5553</v>
      </c>
      <c r="O1603" s="3" t="s">
        <v>630</v>
      </c>
      <c r="P1603" s="3"/>
      <c r="Q1603" s="3"/>
    </row>
    <row r="1605" spans="1:17" x14ac:dyDescent="0.2">
      <c r="A1605" s="1" t="s">
        <v>0</v>
      </c>
      <c r="F1605" s="1">
        <v>501251</v>
      </c>
    </row>
    <row r="1606" spans="1:17" x14ac:dyDescent="0.2">
      <c r="A1606" s="1" t="s">
        <v>1</v>
      </c>
      <c r="F1606" s="1" t="s">
        <v>40</v>
      </c>
    </row>
    <row r="1608" spans="1:17" x14ac:dyDescent="0.2">
      <c r="A1608" s="1" t="s">
        <v>3</v>
      </c>
      <c r="F1608" s="1" t="s">
        <v>794</v>
      </c>
    </row>
    <row r="1609" spans="1:17" x14ac:dyDescent="0.2">
      <c r="A1609" s="1" t="s">
        <v>5</v>
      </c>
      <c r="F1609" s="1" t="s">
        <v>564</v>
      </c>
    </row>
    <row r="1612" spans="1:17" x14ac:dyDescent="0.2">
      <c r="C1612" s="1" t="s">
        <v>6</v>
      </c>
      <c r="D1612" s="1" t="s">
        <v>7</v>
      </c>
      <c r="E1612" s="1" t="s">
        <v>8</v>
      </c>
      <c r="G1612" s="1" t="s">
        <v>9</v>
      </c>
      <c r="H1612" s="1" t="s">
        <v>10</v>
      </c>
      <c r="I1612" s="1" t="s">
        <v>11</v>
      </c>
      <c r="J1612" s="1" t="s">
        <v>12</v>
      </c>
      <c r="K1612" s="1" t="s">
        <v>13</v>
      </c>
      <c r="L1612" s="1" t="s">
        <v>14</v>
      </c>
      <c r="M1612" s="1" t="s">
        <v>15</v>
      </c>
      <c r="N1612" s="1" t="s">
        <v>16</v>
      </c>
      <c r="O1612" s="1" t="s">
        <v>17</v>
      </c>
      <c r="P1612" s="1" t="s">
        <v>18</v>
      </c>
      <c r="Q1612" s="1" t="s">
        <v>19</v>
      </c>
    </row>
    <row r="1614" spans="1:17" x14ac:dyDescent="0.2">
      <c r="D1614" s="1" t="s">
        <v>20</v>
      </c>
      <c r="E1614" s="1">
        <v>103342803</v>
      </c>
      <c r="G1614" s="1" t="s">
        <v>66</v>
      </c>
      <c r="I1614" s="1" t="s">
        <v>66</v>
      </c>
      <c r="K1614" s="2">
        <v>-12423.28</v>
      </c>
      <c r="L1614" s="1" t="s">
        <v>22</v>
      </c>
      <c r="N1614" s="2">
        <v>-4578.49</v>
      </c>
      <c r="O1614" s="1" t="s">
        <v>630</v>
      </c>
      <c r="P1614" s="1" t="s">
        <v>795</v>
      </c>
      <c r="Q1614" s="1">
        <v>2.7134</v>
      </c>
    </row>
    <row r="1616" spans="1:17" x14ac:dyDescent="0.2">
      <c r="B1616" s="1" t="s">
        <v>25</v>
      </c>
      <c r="K1616" s="2">
        <v>-12423.28</v>
      </c>
      <c r="L1616" s="1" t="s">
        <v>22</v>
      </c>
      <c r="N1616" s="2">
        <v>-4578.49</v>
      </c>
      <c r="O1616" s="1" t="s">
        <v>630</v>
      </c>
    </row>
    <row r="1618" spans="1:17" x14ac:dyDescent="0.2">
      <c r="A1618" s="3"/>
      <c r="B1618" s="3" t="s">
        <v>26</v>
      </c>
      <c r="C1618" s="3" t="s">
        <v>796</v>
      </c>
      <c r="D1618" s="3"/>
      <c r="E1618" s="3"/>
      <c r="F1618" s="3"/>
      <c r="G1618" s="3"/>
      <c r="H1618" s="3"/>
      <c r="I1618" s="3"/>
      <c r="J1618" s="3"/>
      <c r="K1618" s="4">
        <v>-12423.28</v>
      </c>
      <c r="L1618" s="3" t="s">
        <v>22</v>
      </c>
      <c r="M1618" s="3"/>
      <c r="N1618" s="4">
        <v>-4578.49</v>
      </c>
      <c r="O1618" s="3" t="s">
        <v>630</v>
      </c>
      <c r="P1618" s="3"/>
      <c r="Q1618" s="3"/>
    </row>
    <row r="1620" spans="1:17" x14ac:dyDescent="0.2">
      <c r="A1620" s="1" t="s">
        <v>0</v>
      </c>
      <c r="F1620" s="1">
        <v>501252</v>
      </c>
    </row>
    <row r="1621" spans="1:17" x14ac:dyDescent="0.2">
      <c r="A1621" s="1" t="s">
        <v>1</v>
      </c>
      <c r="F1621" s="1" t="s">
        <v>40</v>
      </c>
    </row>
    <row r="1623" spans="1:17" x14ac:dyDescent="0.2">
      <c r="A1623" s="1" t="s">
        <v>3</v>
      </c>
      <c r="F1623" s="1" t="s">
        <v>797</v>
      </c>
    </row>
    <row r="1624" spans="1:17" x14ac:dyDescent="0.2">
      <c r="A1624" s="1" t="s">
        <v>5</v>
      </c>
      <c r="F1624" s="1" t="s">
        <v>282</v>
      </c>
    </row>
    <row r="1627" spans="1:17" x14ac:dyDescent="0.2">
      <c r="C1627" s="1" t="s">
        <v>6</v>
      </c>
      <c r="D1627" s="1" t="s">
        <v>7</v>
      </c>
      <c r="E1627" s="1" t="s">
        <v>8</v>
      </c>
      <c r="G1627" s="1" t="s">
        <v>9</v>
      </c>
      <c r="H1627" s="1" t="s">
        <v>10</v>
      </c>
      <c r="I1627" s="1" t="s">
        <v>11</v>
      </c>
      <c r="J1627" s="1" t="s">
        <v>12</v>
      </c>
      <c r="K1627" s="1" t="s">
        <v>13</v>
      </c>
      <c r="L1627" s="1" t="s">
        <v>14</v>
      </c>
      <c r="M1627" s="1" t="s">
        <v>15</v>
      </c>
      <c r="N1627" s="1" t="s">
        <v>16</v>
      </c>
      <c r="O1627" s="1" t="s">
        <v>17</v>
      </c>
      <c r="P1627" s="1" t="s">
        <v>18</v>
      </c>
      <c r="Q1627" s="1" t="s">
        <v>19</v>
      </c>
    </row>
    <row r="1629" spans="1:17" x14ac:dyDescent="0.2">
      <c r="D1629" s="1" t="s">
        <v>20</v>
      </c>
      <c r="E1629" s="1">
        <v>103342804</v>
      </c>
      <c r="G1629" s="1" t="s">
        <v>66</v>
      </c>
      <c r="I1629" s="1" t="s">
        <v>66</v>
      </c>
      <c r="K1629" s="2">
        <v>-17160.22</v>
      </c>
      <c r="L1629" s="1" t="s">
        <v>22</v>
      </c>
      <c r="N1629" s="2">
        <v>-6324.25</v>
      </c>
      <c r="O1629" s="1" t="s">
        <v>630</v>
      </c>
      <c r="P1629" s="1" t="s">
        <v>798</v>
      </c>
      <c r="Q1629" s="1">
        <v>2.7134</v>
      </c>
    </row>
    <row r="1631" spans="1:17" x14ac:dyDescent="0.2">
      <c r="B1631" s="1" t="s">
        <v>25</v>
      </c>
      <c r="K1631" s="2">
        <v>-17160.22</v>
      </c>
      <c r="L1631" s="1" t="s">
        <v>22</v>
      </c>
      <c r="N1631" s="2">
        <v>-6324.25</v>
      </c>
      <c r="O1631" s="1" t="s">
        <v>630</v>
      </c>
    </row>
    <row r="1633" spans="1:17" x14ac:dyDescent="0.2">
      <c r="A1633" s="3"/>
      <c r="B1633" s="3" t="s">
        <v>26</v>
      </c>
      <c r="C1633" s="3" t="s">
        <v>799</v>
      </c>
      <c r="D1633" s="3"/>
      <c r="E1633" s="3"/>
      <c r="F1633" s="3"/>
      <c r="G1633" s="3"/>
      <c r="H1633" s="3"/>
      <c r="I1633" s="3"/>
      <c r="J1633" s="3"/>
      <c r="K1633" s="4">
        <v>-17160.22</v>
      </c>
      <c r="L1633" s="3" t="s">
        <v>22</v>
      </c>
      <c r="M1633" s="3"/>
      <c r="N1633" s="4">
        <v>-6324.25</v>
      </c>
      <c r="O1633" s="3" t="s">
        <v>630</v>
      </c>
      <c r="P1633" s="3"/>
      <c r="Q1633" s="3"/>
    </row>
    <row r="1635" spans="1:17" x14ac:dyDescent="0.2">
      <c r="A1635" s="1" t="s">
        <v>0</v>
      </c>
      <c r="F1635" s="1">
        <v>501253</v>
      </c>
    </row>
    <row r="1636" spans="1:17" x14ac:dyDescent="0.2">
      <c r="A1636" s="1" t="s">
        <v>1</v>
      </c>
      <c r="F1636" s="1" t="s">
        <v>40</v>
      </c>
    </row>
    <row r="1638" spans="1:17" x14ac:dyDescent="0.2">
      <c r="A1638" s="1" t="s">
        <v>3</v>
      </c>
      <c r="F1638" s="1" t="s">
        <v>800</v>
      </c>
    </row>
    <row r="1639" spans="1:17" x14ac:dyDescent="0.2">
      <c r="A1639" s="1" t="s">
        <v>5</v>
      </c>
      <c r="F1639" s="1" t="s">
        <v>282</v>
      </c>
    </row>
    <row r="1642" spans="1:17" x14ac:dyDescent="0.2">
      <c r="C1642" s="1" t="s">
        <v>6</v>
      </c>
      <c r="D1642" s="1" t="s">
        <v>7</v>
      </c>
      <c r="E1642" s="1" t="s">
        <v>8</v>
      </c>
      <c r="G1642" s="1" t="s">
        <v>9</v>
      </c>
      <c r="H1642" s="1" t="s">
        <v>10</v>
      </c>
      <c r="I1642" s="1" t="s">
        <v>11</v>
      </c>
      <c r="J1642" s="1" t="s">
        <v>12</v>
      </c>
      <c r="K1642" s="1" t="s">
        <v>13</v>
      </c>
      <c r="L1642" s="1" t="s">
        <v>14</v>
      </c>
      <c r="M1642" s="1" t="s">
        <v>15</v>
      </c>
      <c r="N1642" s="1" t="s">
        <v>16</v>
      </c>
      <c r="O1642" s="1" t="s">
        <v>17</v>
      </c>
      <c r="P1642" s="1" t="s">
        <v>18</v>
      </c>
      <c r="Q1642" s="1" t="s">
        <v>19</v>
      </c>
    </row>
    <row r="1644" spans="1:17" x14ac:dyDescent="0.2">
      <c r="D1644" s="1" t="s">
        <v>20</v>
      </c>
      <c r="E1644" s="1">
        <v>103342805</v>
      </c>
      <c r="G1644" s="1" t="s">
        <v>66</v>
      </c>
      <c r="I1644" s="1" t="s">
        <v>66</v>
      </c>
      <c r="K1644" s="2">
        <v>-16089.62</v>
      </c>
      <c r="L1644" s="1" t="s">
        <v>22</v>
      </c>
      <c r="N1644" s="2">
        <v>-5929.69</v>
      </c>
      <c r="O1644" s="1" t="s">
        <v>630</v>
      </c>
      <c r="P1644" s="1" t="s">
        <v>801</v>
      </c>
      <c r="Q1644" s="1">
        <v>2.7134</v>
      </c>
    </row>
    <row r="1646" spans="1:17" x14ac:dyDescent="0.2">
      <c r="B1646" s="1" t="s">
        <v>25</v>
      </c>
      <c r="K1646" s="2">
        <v>-16089.62</v>
      </c>
      <c r="L1646" s="1" t="s">
        <v>22</v>
      </c>
      <c r="N1646" s="2">
        <v>-5929.69</v>
      </c>
      <c r="O1646" s="1" t="s">
        <v>630</v>
      </c>
    </row>
    <row r="1648" spans="1:17" x14ac:dyDescent="0.2">
      <c r="A1648" s="3"/>
      <c r="B1648" s="3" t="s">
        <v>26</v>
      </c>
      <c r="C1648" s="3" t="s">
        <v>802</v>
      </c>
      <c r="D1648" s="3"/>
      <c r="E1648" s="3"/>
      <c r="F1648" s="3"/>
      <c r="G1648" s="3"/>
      <c r="H1648" s="3"/>
      <c r="I1648" s="3"/>
      <c r="J1648" s="3"/>
      <c r="K1648" s="4">
        <v>-16089.62</v>
      </c>
      <c r="L1648" s="3" t="s">
        <v>22</v>
      </c>
      <c r="M1648" s="3"/>
      <c r="N1648" s="4">
        <v>-5929.69</v>
      </c>
      <c r="O1648" s="3" t="s">
        <v>630</v>
      </c>
      <c r="P1648" s="3"/>
      <c r="Q1648" s="3"/>
    </row>
    <row r="1650" spans="1:17" x14ac:dyDescent="0.2">
      <c r="A1650" s="1" t="s">
        <v>0</v>
      </c>
      <c r="F1650" s="1">
        <v>501255</v>
      </c>
    </row>
    <row r="1651" spans="1:17" x14ac:dyDescent="0.2">
      <c r="A1651" s="1" t="s">
        <v>1</v>
      </c>
      <c r="F1651" s="1" t="s">
        <v>40</v>
      </c>
    </row>
    <row r="1653" spans="1:17" x14ac:dyDescent="0.2">
      <c r="A1653" s="1" t="s">
        <v>3</v>
      </c>
      <c r="F1653" s="1" t="s">
        <v>329</v>
      </c>
    </row>
    <row r="1654" spans="1:17" x14ac:dyDescent="0.2">
      <c r="A1654" s="1" t="s">
        <v>5</v>
      </c>
      <c r="F1654" s="1" t="s">
        <v>330</v>
      </c>
    </row>
    <row r="1657" spans="1:17" x14ac:dyDescent="0.2">
      <c r="C1657" s="1" t="s">
        <v>6</v>
      </c>
      <c r="D1657" s="1" t="s">
        <v>7</v>
      </c>
      <c r="E1657" s="1" t="s">
        <v>8</v>
      </c>
      <c r="G1657" s="1" t="s">
        <v>9</v>
      </c>
      <c r="H1657" s="1" t="s">
        <v>10</v>
      </c>
      <c r="I1657" s="1" t="s">
        <v>11</v>
      </c>
      <c r="J1657" s="1" t="s">
        <v>12</v>
      </c>
      <c r="K1657" s="1" t="s">
        <v>13</v>
      </c>
      <c r="L1657" s="1" t="s">
        <v>14</v>
      </c>
      <c r="M1657" s="1" t="s">
        <v>15</v>
      </c>
      <c r="N1657" s="1" t="s">
        <v>16</v>
      </c>
      <c r="O1657" s="1" t="s">
        <v>17</v>
      </c>
      <c r="P1657" s="1" t="s">
        <v>18</v>
      </c>
      <c r="Q1657" s="1" t="s">
        <v>19</v>
      </c>
    </row>
    <row r="1659" spans="1:17" x14ac:dyDescent="0.2">
      <c r="D1659" s="1" t="s">
        <v>20</v>
      </c>
      <c r="E1659" s="1">
        <v>1400013702</v>
      </c>
      <c r="G1659" s="1" t="s">
        <v>182</v>
      </c>
      <c r="I1659" s="1" t="s">
        <v>182</v>
      </c>
      <c r="K1659" s="2">
        <v>-4750.0200000000004</v>
      </c>
      <c r="L1659" s="1" t="s">
        <v>22</v>
      </c>
      <c r="N1659" s="2">
        <v>-4750.0200000000004</v>
      </c>
      <c r="O1659" s="1" t="s">
        <v>22</v>
      </c>
      <c r="P1659" s="1" t="s">
        <v>803</v>
      </c>
      <c r="Q1659" s="1">
        <v>1</v>
      </c>
    </row>
    <row r="1660" spans="1:17" x14ac:dyDescent="0.2">
      <c r="D1660" s="1" t="s">
        <v>20</v>
      </c>
      <c r="E1660" s="1">
        <v>1400013702</v>
      </c>
      <c r="G1660" s="1" t="s">
        <v>182</v>
      </c>
      <c r="I1660" s="1" t="s">
        <v>182</v>
      </c>
      <c r="K1660" s="2">
        <v>-425000</v>
      </c>
      <c r="L1660" s="1" t="s">
        <v>22</v>
      </c>
      <c r="N1660" s="2">
        <v>-425000</v>
      </c>
      <c r="O1660" s="1" t="s">
        <v>22</v>
      </c>
      <c r="P1660" s="1" t="s">
        <v>804</v>
      </c>
      <c r="Q1660" s="1">
        <v>1</v>
      </c>
    </row>
    <row r="1662" spans="1:17" x14ac:dyDescent="0.2">
      <c r="B1662" s="1" t="s">
        <v>25</v>
      </c>
      <c r="K1662" s="2">
        <v>-429750.02</v>
      </c>
      <c r="L1662" s="1" t="s">
        <v>22</v>
      </c>
      <c r="N1662" s="2">
        <v>-429750.02</v>
      </c>
      <c r="O1662" s="1" t="s">
        <v>22</v>
      </c>
    </row>
    <row r="1664" spans="1:17" x14ac:dyDescent="0.2">
      <c r="A1664" s="3"/>
      <c r="B1664" s="3" t="s">
        <v>26</v>
      </c>
      <c r="C1664" s="3" t="s">
        <v>333</v>
      </c>
      <c r="D1664" s="3"/>
      <c r="E1664" s="3"/>
      <c r="F1664" s="3"/>
      <c r="G1664" s="3"/>
      <c r="H1664" s="3"/>
      <c r="I1664" s="3"/>
      <c r="J1664" s="3"/>
      <c r="K1664" s="4">
        <v>-429750.02</v>
      </c>
      <c r="L1664" s="3" t="s">
        <v>22</v>
      </c>
      <c r="M1664" s="3"/>
      <c r="N1664" s="4">
        <v>-429750.02</v>
      </c>
      <c r="O1664" s="3" t="s">
        <v>22</v>
      </c>
      <c r="P1664" s="3"/>
      <c r="Q1664" s="3"/>
    </row>
    <row r="1666" spans="1:17" x14ac:dyDescent="0.2">
      <c r="A1666" s="1" t="s">
        <v>0</v>
      </c>
      <c r="F1666" s="1">
        <v>501256</v>
      </c>
    </row>
    <row r="1667" spans="1:17" x14ac:dyDescent="0.2">
      <c r="A1667" s="1" t="s">
        <v>1</v>
      </c>
      <c r="F1667" s="1" t="s">
        <v>40</v>
      </c>
    </row>
    <row r="1669" spans="1:17" x14ac:dyDescent="0.2">
      <c r="A1669" s="1" t="s">
        <v>3</v>
      </c>
      <c r="F1669" s="1" t="s">
        <v>805</v>
      </c>
    </row>
    <row r="1670" spans="1:17" x14ac:dyDescent="0.2">
      <c r="A1670" s="1" t="s">
        <v>5</v>
      </c>
      <c r="F1670" s="1" t="s">
        <v>282</v>
      </c>
    </row>
    <row r="1673" spans="1:17" x14ac:dyDescent="0.2">
      <c r="C1673" s="1" t="s">
        <v>6</v>
      </c>
      <c r="D1673" s="1" t="s">
        <v>7</v>
      </c>
      <c r="E1673" s="1" t="s">
        <v>8</v>
      </c>
      <c r="G1673" s="1" t="s">
        <v>9</v>
      </c>
      <c r="H1673" s="1" t="s">
        <v>10</v>
      </c>
      <c r="I1673" s="1" t="s">
        <v>11</v>
      </c>
      <c r="J1673" s="1" t="s">
        <v>12</v>
      </c>
      <c r="K1673" s="1" t="s">
        <v>13</v>
      </c>
      <c r="L1673" s="1" t="s">
        <v>14</v>
      </c>
      <c r="M1673" s="1" t="s">
        <v>15</v>
      </c>
      <c r="N1673" s="1" t="s">
        <v>16</v>
      </c>
      <c r="O1673" s="1" t="s">
        <v>17</v>
      </c>
      <c r="P1673" s="1" t="s">
        <v>18</v>
      </c>
      <c r="Q1673" s="1" t="s">
        <v>19</v>
      </c>
    </row>
    <row r="1675" spans="1:17" x14ac:dyDescent="0.2">
      <c r="D1675" s="1" t="s">
        <v>20</v>
      </c>
      <c r="E1675" s="1">
        <v>103353813</v>
      </c>
      <c r="G1675" s="1" t="s">
        <v>806</v>
      </c>
      <c r="I1675" s="1" t="s">
        <v>806</v>
      </c>
      <c r="K1675" s="2">
        <v>-25608.91</v>
      </c>
      <c r="L1675" s="1" t="s">
        <v>22</v>
      </c>
      <c r="N1675" s="2">
        <v>-25608.91</v>
      </c>
      <c r="O1675" s="1" t="s">
        <v>22</v>
      </c>
      <c r="P1675" s="1" t="s">
        <v>807</v>
      </c>
      <c r="Q1675" s="1">
        <v>1</v>
      </c>
    </row>
    <row r="1677" spans="1:17" x14ac:dyDescent="0.2">
      <c r="B1677" s="1" t="s">
        <v>25</v>
      </c>
      <c r="K1677" s="2">
        <v>-25608.91</v>
      </c>
      <c r="L1677" s="1" t="s">
        <v>22</v>
      </c>
      <c r="N1677" s="2">
        <v>-25608.91</v>
      </c>
      <c r="O1677" s="1" t="s">
        <v>22</v>
      </c>
    </row>
    <row r="1679" spans="1:17" x14ac:dyDescent="0.2">
      <c r="A1679" s="3"/>
      <c r="B1679" s="3" t="s">
        <v>26</v>
      </c>
      <c r="C1679" s="3" t="s">
        <v>808</v>
      </c>
      <c r="D1679" s="3"/>
      <c r="E1679" s="3"/>
      <c r="F1679" s="3"/>
      <c r="G1679" s="3"/>
      <c r="H1679" s="3"/>
      <c r="I1679" s="3"/>
      <c r="J1679" s="3"/>
      <c r="K1679" s="4">
        <v>-25608.91</v>
      </c>
      <c r="L1679" s="3" t="s">
        <v>22</v>
      </c>
      <c r="M1679" s="3"/>
      <c r="N1679" s="4">
        <v>-25608.91</v>
      </c>
      <c r="O1679" s="3" t="s">
        <v>22</v>
      </c>
      <c r="P1679" s="3"/>
      <c r="Q1679" s="3"/>
    </row>
    <row r="1681" spans="1:17" x14ac:dyDescent="0.2">
      <c r="A1681" s="1" t="s">
        <v>0</v>
      </c>
      <c r="F1681" s="1">
        <v>501259</v>
      </c>
    </row>
    <row r="1682" spans="1:17" x14ac:dyDescent="0.2">
      <c r="A1682" s="1" t="s">
        <v>1</v>
      </c>
      <c r="F1682" s="1" t="s">
        <v>40</v>
      </c>
    </row>
    <row r="1684" spans="1:17" x14ac:dyDescent="0.2">
      <c r="A1684" s="1" t="s">
        <v>3</v>
      </c>
      <c r="F1684" s="1" t="s">
        <v>334</v>
      </c>
    </row>
    <row r="1685" spans="1:17" x14ac:dyDescent="0.2">
      <c r="A1685" s="1" t="s">
        <v>5</v>
      </c>
      <c r="F1685" s="1" t="s">
        <v>204</v>
      </c>
    </row>
    <row r="1688" spans="1:17" x14ac:dyDescent="0.2">
      <c r="C1688" s="1" t="s">
        <v>6</v>
      </c>
      <c r="D1688" s="1" t="s">
        <v>7</v>
      </c>
      <c r="E1688" s="1" t="s">
        <v>8</v>
      </c>
      <c r="G1688" s="1" t="s">
        <v>9</v>
      </c>
      <c r="H1688" s="1" t="s">
        <v>10</v>
      </c>
      <c r="I1688" s="1" t="s">
        <v>11</v>
      </c>
      <c r="J1688" s="1" t="s">
        <v>12</v>
      </c>
      <c r="K1688" s="1" t="s">
        <v>13</v>
      </c>
      <c r="L1688" s="1" t="s">
        <v>14</v>
      </c>
      <c r="M1688" s="1" t="s">
        <v>15</v>
      </c>
      <c r="N1688" s="1" t="s">
        <v>16</v>
      </c>
      <c r="O1688" s="1" t="s">
        <v>17</v>
      </c>
      <c r="P1688" s="1" t="s">
        <v>18</v>
      </c>
      <c r="Q1688" s="1" t="s">
        <v>19</v>
      </c>
    </row>
    <row r="1690" spans="1:17" x14ac:dyDescent="0.2">
      <c r="D1690" s="1" t="s">
        <v>20</v>
      </c>
      <c r="E1690" s="1">
        <v>1400013821</v>
      </c>
      <c r="G1690" s="1" t="s">
        <v>50</v>
      </c>
      <c r="I1690" s="1" t="s">
        <v>50</v>
      </c>
      <c r="K1690" s="2">
        <v>-8176000</v>
      </c>
      <c r="L1690" s="1" t="s">
        <v>22</v>
      </c>
      <c r="N1690" s="2">
        <v>-2000000</v>
      </c>
      <c r="O1690" s="1" t="s">
        <v>31</v>
      </c>
      <c r="P1690" s="1" t="s">
        <v>809</v>
      </c>
      <c r="Q1690" s="1">
        <v>4.0880000000000001</v>
      </c>
    </row>
    <row r="1692" spans="1:17" x14ac:dyDescent="0.2">
      <c r="B1692" s="1" t="s">
        <v>25</v>
      </c>
      <c r="K1692" s="2">
        <v>-8176000</v>
      </c>
      <c r="L1692" s="1" t="s">
        <v>22</v>
      </c>
      <c r="N1692" s="2">
        <v>-2000000</v>
      </c>
      <c r="O1692" s="1" t="s">
        <v>31</v>
      </c>
    </row>
    <row r="1694" spans="1:17" x14ac:dyDescent="0.2">
      <c r="A1694" s="3"/>
      <c r="B1694" s="3" t="s">
        <v>26</v>
      </c>
      <c r="C1694" s="3" t="s">
        <v>338</v>
      </c>
      <c r="D1694" s="3"/>
      <c r="E1694" s="3"/>
      <c r="F1694" s="3"/>
      <c r="G1694" s="3"/>
      <c r="H1694" s="3"/>
      <c r="I1694" s="3"/>
      <c r="J1694" s="3"/>
      <c r="K1694" s="4">
        <v>-8176000</v>
      </c>
      <c r="L1694" s="3" t="s">
        <v>22</v>
      </c>
      <c r="M1694" s="3"/>
      <c r="N1694" s="4">
        <v>-2000000</v>
      </c>
      <c r="O1694" s="3" t="s">
        <v>31</v>
      </c>
      <c r="P1694" s="3"/>
      <c r="Q1694" s="3"/>
    </row>
    <row r="1696" spans="1:17" x14ac:dyDescent="0.2">
      <c r="A1696" s="1" t="s">
        <v>0</v>
      </c>
      <c r="F1696" s="1">
        <v>501262</v>
      </c>
    </row>
    <row r="1697" spans="1:17" x14ac:dyDescent="0.2">
      <c r="A1697" s="1" t="s">
        <v>1</v>
      </c>
      <c r="F1697" s="1" t="s">
        <v>40</v>
      </c>
    </row>
    <row r="1699" spans="1:17" x14ac:dyDescent="0.2">
      <c r="A1699" s="1" t="s">
        <v>3</v>
      </c>
      <c r="F1699" s="1" t="s">
        <v>810</v>
      </c>
    </row>
    <row r="1700" spans="1:17" x14ac:dyDescent="0.2">
      <c r="A1700" s="1" t="s">
        <v>5</v>
      </c>
      <c r="F1700" s="1" t="s">
        <v>479</v>
      </c>
    </row>
    <row r="1703" spans="1:17" x14ac:dyDescent="0.2">
      <c r="C1703" s="1" t="s">
        <v>6</v>
      </c>
      <c r="D1703" s="1" t="s">
        <v>7</v>
      </c>
      <c r="E1703" s="1" t="s">
        <v>8</v>
      </c>
      <c r="G1703" s="1" t="s">
        <v>9</v>
      </c>
      <c r="H1703" s="1" t="s">
        <v>10</v>
      </c>
      <c r="I1703" s="1" t="s">
        <v>11</v>
      </c>
      <c r="J1703" s="1" t="s">
        <v>12</v>
      </c>
      <c r="K1703" s="1" t="s">
        <v>13</v>
      </c>
      <c r="L1703" s="1" t="s">
        <v>14</v>
      </c>
      <c r="M1703" s="1" t="s">
        <v>15</v>
      </c>
      <c r="N1703" s="1" t="s">
        <v>16</v>
      </c>
      <c r="O1703" s="1" t="s">
        <v>17</v>
      </c>
      <c r="P1703" s="1" t="s">
        <v>18</v>
      </c>
      <c r="Q1703" s="1" t="s">
        <v>19</v>
      </c>
    </row>
    <row r="1705" spans="1:17" x14ac:dyDescent="0.2">
      <c r="D1705" s="1" t="s">
        <v>20</v>
      </c>
      <c r="E1705" s="1">
        <v>103327759</v>
      </c>
      <c r="G1705" s="1" t="s">
        <v>90</v>
      </c>
      <c r="I1705" s="1" t="s">
        <v>90</v>
      </c>
      <c r="K1705" s="2">
        <v>-193607.29</v>
      </c>
      <c r="L1705" s="1" t="s">
        <v>22</v>
      </c>
      <c r="N1705" s="2">
        <v>-71205.33</v>
      </c>
      <c r="O1705" s="1" t="s">
        <v>630</v>
      </c>
      <c r="P1705" s="1" t="s">
        <v>811</v>
      </c>
      <c r="Q1705" s="1">
        <v>2.7189999999999999</v>
      </c>
    </row>
    <row r="1707" spans="1:17" x14ac:dyDescent="0.2">
      <c r="B1707" s="1" t="s">
        <v>25</v>
      </c>
      <c r="K1707" s="2">
        <v>-193607.29</v>
      </c>
      <c r="L1707" s="1" t="s">
        <v>22</v>
      </c>
      <c r="N1707" s="2">
        <v>-71205.33</v>
      </c>
      <c r="O1707" s="1" t="s">
        <v>630</v>
      </c>
    </row>
    <row r="1709" spans="1:17" x14ac:dyDescent="0.2">
      <c r="A1709" s="3"/>
      <c r="B1709" s="3" t="s">
        <v>26</v>
      </c>
      <c r="C1709" s="3" t="s">
        <v>812</v>
      </c>
      <c r="D1709" s="3"/>
      <c r="E1709" s="3"/>
      <c r="F1709" s="3"/>
      <c r="G1709" s="3"/>
      <c r="H1709" s="3"/>
      <c r="I1709" s="3"/>
      <c r="J1709" s="3"/>
      <c r="K1709" s="4">
        <v>-193607.29</v>
      </c>
      <c r="L1709" s="3" t="s">
        <v>22</v>
      </c>
      <c r="M1709" s="3"/>
      <c r="N1709" s="4">
        <v>-71205.33</v>
      </c>
      <c r="O1709" s="3" t="s">
        <v>630</v>
      </c>
      <c r="P1709" s="3"/>
      <c r="Q1709" s="3"/>
    </row>
    <row r="1711" spans="1:17" x14ac:dyDescent="0.2">
      <c r="A1711" s="1" t="s">
        <v>0</v>
      </c>
      <c r="F1711" s="1">
        <v>501263</v>
      </c>
    </row>
    <row r="1712" spans="1:17" x14ac:dyDescent="0.2">
      <c r="A1712" s="1" t="s">
        <v>1</v>
      </c>
      <c r="F1712" s="1" t="s">
        <v>40</v>
      </c>
    </row>
    <row r="1714" spans="1:17" x14ac:dyDescent="0.2">
      <c r="A1714" s="1" t="s">
        <v>3</v>
      </c>
      <c r="F1714" s="1" t="s">
        <v>342</v>
      </c>
    </row>
    <row r="1715" spans="1:17" x14ac:dyDescent="0.2">
      <c r="A1715" s="1" t="s">
        <v>5</v>
      </c>
      <c r="F1715" s="1" t="s">
        <v>70</v>
      </c>
    </row>
    <row r="1718" spans="1:17" x14ac:dyDescent="0.2">
      <c r="C1718" s="1" t="s">
        <v>6</v>
      </c>
      <c r="D1718" s="1" t="s">
        <v>7</v>
      </c>
      <c r="E1718" s="1" t="s">
        <v>8</v>
      </c>
      <c r="G1718" s="1" t="s">
        <v>9</v>
      </c>
      <c r="H1718" s="1" t="s">
        <v>10</v>
      </c>
      <c r="I1718" s="1" t="s">
        <v>11</v>
      </c>
      <c r="J1718" s="1" t="s">
        <v>12</v>
      </c>
      <c r="K1718" s="1" t="s">
        <v>13</v>
      </c>
      <c r="L1718" s="1" t="s">
        <v>14</v>
      </c>
      <c r="M1718" s="1" t="s">
        <v>15</v>
      </c>
      <c r="N1718" s="1" t="s">
        <v>16</v>
      </c>
      <c r="O1718" s="1" t="s">
        <v>17</v>
      </c>
      <c r="P1718" s="1" t="s">
        <v>18</v>
      </c>
      <c r="Q1718" s="1" t="s">
        <v>19</v>
      </c>
    </row>
    <row r="1720" spans="1:17" x14ac:dyDescent="0.2">
      <c r="D1720" s="1" t="s">
        <v>20</v>
      </c>
      <c r="E1720" s="1">
        <v>103343004</v>
      </c>
      <c r="G1720" s="1" t="s">
        <v>30</v>
      </c>
      <c r="I1720" s="1" t="s">
        <v>30</v>
      </c>
      <c r="K1720" s="2">
        <v>-80890000</v>
      </c>
      <c r="L1720" s="1" t="s">
        <v>22</v>
      </c>
      <c r="N1720" s="2">
        <v>-20000000</v>
      </c>
      <c r="O1720" s="1" t="s">
        <v>31</v>
      </c>
      <c r="P1720" s="1" t="s">
        <v>813</v>
      </c>
      <c r="Q1720" s="1">
        <v>4.0445000000000002</v>
      </c>
    </row>
    <row r="1722" spans="1:17" x14ac:dyDescent="0.2">
      <c r="B1722" s="1" t="s">
        <v>25</v>
      </c>
      <c r="K1722" s="2">
        <v>-80890000</v>
      </c>
      <c r="L1722" s="1" t="s">
        <v>22</v>
      </c>
      <c r="N1722" s="2">
        <v>-20000000</v>
      </c>
      <c r="O1722" s="1" t="s">
        <v>31</v>
      </c>
    </row>
    <row r="1724" spans="1:17" x14ac:dyDescent="0.2">
      <c r="A1724" s="3"/>
      <c r="B1724" s="3" t="s">
        <v>26</v>
      </c>
      <c r="C1724" s="3" t="s">
        <v>344</v>
      </c>
      <c r="D1724" s="3"/>
      <c r="E1724" s="3"/>
      <c r="F1724" s="3"/>
      <c r="G1724" s="3"/>
      <c r="H1724" s="3"/>
      <c r="I1724" s="3"/>
      <c r="J1724" s="3"/>
      <c r="K1724" s="4">
        <v>-80890000</v>
      </c>
      <c r="L1724" s="3" t="s">
        <v>22</v>
      </c>
      <c r="M1724" s="3"/>
      <c r="N1724" s="4">
        <v>-20000000</v>
      </c>
      <c r="O1724" s="3" t="s">
        <v>31</v>
      </c>
      <c r="P1724" s="3"/>
      <c r="Q1724" s="3"/>
    </row>
    <row r="1726" spans="1:17" x14ac:dyDescent="0.2">
      <c r="A1726" s="1" t="s">
        <v>0</v>
      </c>
      <c r="F1726" s="1">
        <v>501270</v>
      </c>
    </row>
    <row r="1727" spans="1:17" x14ac:dyDescent="0.2">
      <c r="A1727" s="1" t="s">
        <v>1</v>
      </c>
      <c r="F1727" s="1" t="s">
        <v>40</v>
      </c>
    </row>
    <row r="1729" spans="1:17" x14ac:dyDescent="0.2">
      <c r="A1729" s="1" t="s">
        <v>3</v>
      </c>
      <c r="F1729" s="1" t="s">
        <v>345</v>
      </c>
    </row>
    <row r="1730" spans="1:17" x14ac:dyDescent="0.2">
      <c r="A1730" s="1" t="s">
        <v>5</v>
      </c>
      <c r="F1730" s="1" t="s">
        <v>70</v>
      </c>
    </row>
    <row r="1733" spans="1:17" x14ac:dyDescent="0.2">
      <c r="C1733" s="1" t="s">
        <v>6</v>
      </c>
      <c r="D1733" s="1" t="s">
        <v>7</v>
      </c>
      <c r="E1733" s="1" t="s">
        <v>8</v>
      </c>
      <c r="G1733" s="1" t="s">
        <v>9</v>
      </c>
      <c r="H1733" s="1" t="s">
        <v>10</v>
      </c>
      <c r="I1733" s="1" t="s">
        <v>11</v>
      </c>
      <c r="J1733" s="1" t="s">
        <v>12</v>
      </c>
      <c r="K1733" s="1" t="s">
        <v>13</v>
      </c>
      <c r="L1733" s="1" t="s">
        <v>14</v>
      </c>
      <c r="M1733" s="1" t="s">
        <v>15</v>
      </c>
      <c r="N1733" s="1" t="s">
        <v>16</v>
      </c>
      <c r="O1733" s="1" t="s">
        <v>17</v>
      </c>
      <c r="P1733" s="1" t="s">
        <v>18</v>
      </c>
      <c r="Q1733" s="1" t="s">
        <v>19</v>
      </c>
    </row>
    <row r="1735" spans="1:17" x14ac:dyDescent="0.2">
      <c r="D1735" s="1" t="s">
        <v>20</v>
      </c>
      <c r="E1735" s="1">
        <v>1400013696</v>
      </c>
      <c r="G1735" s="1" t="s">
        <v>123</v>
      </c>
      <c r="I1735" s="1" t="s">
        <v>123</v>
      </c>
      <c r="K1735" s="2">
        <v>-206499.66</v>
      </c>
      <c r="L1735" s="1" t="s">
        <v>22</v>
      </c>
      <c r="N1735" s="2">
        <v>-206499.66</v>
      </c>
      <c r="O1735" s="1" t="s">
        <v>22</v>
      </c>
      <c r="P1735" s="1" t="s">
        <v>814</v>
      </c>
      <c r="Q1735" s="1">
        <v>1</v>
      </c>
    </row>
    <row r="1736" spans="1:17" x14ac:dyDescent="0.2">
      <c r="D1736" s="1" t="s">
        <v>20</v>
      </c>
      <c r="E1736" s="1">
        <v>1400013714</v>
      </c>
      <c r="G1736" s="1" t="s">
        <v>54</v>
      </c>
      <c r="I1736" s="1" t="s">
        <v>54</v>
      </c>
      <c r="K1736" s="2">
        <v>-21632.84</v>
      </c>
      <c r="L1736" s="1" t="s">
        <v>22</v>
      </c>
      <c r="N1736" s="2">
        <v>-21632.84</v>
      </c>
      <c r="O1736" s="1" t="s">
        <v>22</v>
      </c>
      <c r="P1736" s="1" t="s">
        <v>815</v>
      </c>
      <c r="Q1736" s="1">
        <v>1</v>
      </c>
    </row>
    <row r="1737" spans="1:17" x14ac:dyDescent="0.2">
      <c r="D1737" s="1" t="s">
        <v>20</v>
      </c>
      <c r="E1737" s="1">
        <v>1400013714</v>
      </c>
      <c r="G1737" s="1" t="s">
        <v>54</v>
      </c>
      <c r="I1737" s="1" t="s">
        <v>54</v>
      </c>
      <c r="K1737" s="2">
        <v>-20000</v>
      </c>
      <c r="L1737" s="1" t="s">
        <v>22</v>
      </c>
      <c r="N1737" s="2">
        <v>-20000</v>
      </c>
      <c r="O1737" s="1" t="s">
        <v>22</v>
      </c>
      <c r="P1737" s="1" t="s">
        <v>814</v>
      </c>
      <c r="Q1737" s="1">
        <v>1</v>
      </c>
    </row>
    <row r="1739" spans="1:17" x14ac:dyDescent="0.2">
      <c r="B1739" s="1" t="s">
        <v>25</v>
      </c>
      <c r="K1739" s="2">
        <v>-248132.5</v>
      </c>
      <c r="L1739" s="1" t="s">
        <v>22</v>
      </c>
      <c r="N1739" s="2">
        <v>-248132.5</v>
      </c>
      <c r="O1739" s="1" t="s">
        <v>22</v>
      </c>
    </row>
    <row r="1741" spans="1:17" x14ac:dyDescent="0.2">
      <c r="A1741" s="3"/>
      <c r="B1741" s="3" t="s">
        <v>26</v>
      </c>
      <c r="C1741" s="3" t="s">
        <v>350</v>
      </c>
      <c r="D1741" s="3"/>
      <c r="E1741" s="3"/>
      <c r="F1741" s="3"/>
      <c r="G1741" s="3"/>
      <c r="H1741" s="3"/>
      <c r="I1741" s="3"/>
      <c r="J1741" s="3"/>
      <c r="K1741" s="4">
        <v>-248132.5</v>
      </c>
      <c r="L1741" s="3" t="s">
        <v>22</v>
      </c>
      <c r="M1741" s="3"/>
      <c r="N1741" s="4">
        <v>-248132.5</v>
      </c>
      <c r="O1741" s="3" t="s">
        <v>22</v>
      </c>
      <c r="P1741" s="3"/>
      <c r="Q1741" s="3"/>
    </row>
    <row r="1743" spans="1:17" x14ac:dyDescent="0.2">
      <c r="A1743" s="1" t="s">
        <v>0</v>
      </c>
      <c r="F1743" s="1">
        <v>501271</v>
      </c>
    </row>
    <row r="1744" spans="1:17" x14ac:dyDescent="0.2">
      <c r="A1744" s="1" t="s">
        <v>1</v>
      </c>
      <c r="F1744" s="1" t="s">
        <v>40</v>
      </c>
    </row>
    <row r="1746" spans="1:17" x14ac:dyDescent="0.2">
      <c r="A1746" s="1" t="s">
        <v>3</v>
      </c>
      <c r="F1746" s="1" t="s">
        <v>786</v>
      </c>
    </row>
    <row r="1747" spans="1:17" x14ac:dyDescent="0.2">
      <c r="A1747" s="1" t="s">
        <v>5</v>
      </c>
      <c r="F1747" s="1" t="s">
        <v>816</v>
      </c>
    </row>
    <row r="1750" spans="1:17" x14ac:dyDescent="0.2">
      <c r="C1750" s="1" t="s">
        <v>6</v>
      </c>
      <c r="D1750" s="1" t="s">
        <v>7</v>
      </c>
      <c r="E1750" s="1" t="s">
        <v>8</v>
      </c>
      <c r="G1750" s="1" t="s">
        <v>9</v>
      </c>
      <c r="H1750" s="1" t="s">
        <v>10</v>
      </c>
      <c r="I1750" s="1" t="s">
        <v>11</v>
      </c>
      <c r="J1750" s="1" t="s">
        <v>12</v>
      </c>
      <c r="K1750" s="1" t="s">
        <v>13</v>
      </c>
      <c r="L1750" s="1" t="s">
        <v>14</v>
      </c>
      <c r="M1750" s="1" t="s">
        <v>15</v>
      </c>
      <c r="N1750" s="1" t="s">
        <v>16</v>
      </c>
      <c r="O1750" s="1" t="s">
        <v>17</v>
      </c>
      <c r="P1750" s="1" t="s">
        <v>18</v>
      </c>
      <c r="Q1750" s="1" t="s">
        <v>19</v>
      </c>
    </row>
    <row r="1752" spans="1:17" x14ac:dyDescent="0.2">
      <c r="D1752" s="1" t="s">
        <v>20</v>
      </c>
      <c r="E1752" s="1">
        <v>103342802</v>
      </c>
      <c r="G1752" s="1" t="s">
        <v>66</v>
      </c>
      <c r="I1752" s="1" t="s">
        <v>66</v>
      </c>
      <c r="K1752" s="2">
        <v>-13746.68</v>
      </c>
      <c r="L1752" s="1" t="s">
        <v>22</v>
      </c>
      <c r="N1752" s="2">
        <v>-5066.22</v>
      </c>
      <c r="O1752" s="1" t="s">
        <v>630</v>
      </c>
      <c r="P1752" s="1" t="s">
        <v>817</v>
      </c>
      <c r="Q1752" s="1">
        <v>2.7134</v>
      </c>
    </row>
    <row r="1754" spans="1:17" x14ac:dyDescent="0.2">
      <c r="B1754" s="1" t="s">
        <v>25</v>
      </c>
      <c r="K1754" s="2">
        <v>-13746.68</v>
      </c>
      <c r="L1754" s="1" t="s">
        <v>22</v>
      </c>
      <c r="N1754" s="2">
        <v>-5066.22</v>
      </c>
      <c r="O1754" s="1" t="s">
        <v>630</v>
      </c>
    </row>
    <row r="1756" spans="1:17" x14ac:dyDescent="0.2">
      <c r="A1756" s="3"/>
      <c r="B1756" s="3" t="s">
        <v>26</v>
      </c>
      <c r="C1756" s="3" t="s">
        <v>818</v>
      </c>
      <c r="D1756" s="3"/>
      <c r="E1756" s="3"/>
      <c r="F1756" s="3"/>
      <c r="G1756" s="3"/>
      <c r="H1756" s="3"/>
      <c r="I1756" s="3"/>
      <c r="J1756" s="3"/>
      <c r="K1756" s="4">
        <v>-13746.68</v>
      </c>
      <c r="L1756" s="3" t="s">
        <v>22</v>
      </c>
      <c r="M1756" s="3"/>
      <c r="N1756" s="4">
        <v>-5066.22</v>
      </c>
      <c r="O1756" s="3" t="s">
        <v>630</v>
      </c>
      <c r="P1756" s="3"/>
      <c r="Q1756" s="3"/>
    </row>
    <row r="1758" spans="1:17" x14ac:dyDescent="0.2">
      <c r="A1758" s="1" t="s">
        <v>0</v>
      </c>
      <c r="F1758" s="1">
        <v>501272</v>
      </c>
    </row>
    <row r="1759" spans="1:17" x14ac:dyDescent="0.2">
      <c r="A1759" s="1" t="s">
        <v>1</v>
      </c>
      <c r="F1759" s="1" t="s">
        <v>40</v>
      </c>
    </row>
    <row r="1761" spans="1:17" x14ac:dyDescent="0.2">
      <c r="A1761" s="1" t="s">
        <v>3</v>
      </c>
      <c r="F1761" s="1" t="s">
        <v>786</v>
      </c>
    </row>
    <row r="1762" spans="1:17" x14ac:dyDescent="0.2">
      <c r="A1762" s="1" t="s">
        <v>5</v>
      </c>
      <c r="F1762" s="1" t="s">
        <v>819</v>
      </c>
    </row>
    <row r="1765" spans="1:17" x14ac:dyDescent="0.2">
      <c r="C1765" s="1" t="s">
        <v>6</v>
      </c>
      <c r="D1765" s="1" t="s">
        <v>7</v>
      </c>
      <c r="E1765" s="1" t="s">
        <v>8</v>
      </c>
      <c r="G1765" s="1" t="s">
        <v>9</v>
      </c>
      <c r="H1765" s="1" t="s">
        <v>10</v>
      </c>
      <c r="I1765" s="1" t="s">
        <v>11</v>
      </c>
      <c r="J1765" s="1" t="s">
        <v>12</v>
      </c>
      <c r="K1765" s="1" t="s">
        <v>13</v>
      </c>
      <c r="L1765" s="1" t="s">
        <v>14</v>
      </c>
      <c r="M1765" s="1" t="s">
        <v>15</v>
      </c>
      <c r="N1765" s="1" t="s">
        <v>16</v>
      </c>
      <c r="O1765" s="1" t="s">
        <v>17</v>
      </c>
      <c r="P1765" s="1" t="s">
        <v>18</v>
      </c>
      <c r="Q1765" s="1" t="s">
        <v>19</v>
      </c>
    </row>
    <row r="1767" spans="1:17" x14ac:dyDescent="0.2">
      <c r="D1767" s="1" t="s">
        <v>20</v>
      </c>
      <c r="E1767" s="1">
        <v>103342802</v>
      </c>
      <c r="G1767" s="1" t="s">
        <v>66</v>
      </c>
      <c r="I1767" s="1" t="s">
        <v>66</v>
      </c>
      <c r="K1767" s="2">
        <v>-15067.51</v>
      </c>
      <c r="L1767" s="1" t="s">
        <v>22</v>
      </c>
      <c r="N1767" s="2">
        <v>-5553</v>
      </c>
      <c r="O1767" s="1" t="s">
        <v>630</v>
      </c>
      <c r="P1767" s="1" t="s">
        <v>820</v>
      </c>
      <c r="Q1767" s="1">
        <v>2.7134</v>
      </c>
    </row>
    <row r="1769" spans="1:17" x14ac:dyDescent="0.2">
      <c r="B1769" s="1" t="s">
        <v>25</v>
      </c>
      <c r="K1769" s="2">
        <v>-15067.51</v>
      </c>
      <c r="L1769" s="1" t="s">
        <v>22</v>
      </c>
      <c r="N1769" s="2">
        <v>-5553</v>
      </c>
      <c r="O1769" s="1" t="s">
        <v>630</v>
      </c>
    </row>
    <row r="1771" spans="1:17" x14ac:dyDescent="0.2">
      <c r="A1771" s="3"/>
      <c r="B1771" s="3" t="s">
        <v>26</v>
      </c>
      <c r="C1771" s="3" t="s">
        <v>821</v>
      </c>
      <c r="D1771" s="3"/>
      <c r="E1771" s="3"/>
      <c r="F1771" s="3"/>
      <c r="G1771" s="3"/>
      <c r="H1771" s="3"/>
      <c r="I1771" s="3"/>
      <c r="J1771" s="3"/>
      <c r="K1771" s="4">
        <v>-15067.51</v>
      </c>
      <c r="L1771" s="3" t="s">
        <v>22</v>
      </c>
      <c r="M1771" s="3"/>
      <c r="N1771" s="4">
        <v>-5553</v>
      </c>
      <c r="O1771" s="3" t="s">
        <v>630</v>
      </c>
      <c r="P1771" s="3"/>
      <c r="Q1771" s="3"/>
    </row>
    <row r="1773" spans="1:17" x14ac:dyDescent="0.2">
      <c r="A1773" s="1" t="s">
        <v>0</v>
      </c>
      <c r="F1773" s="1">
        <v>501273</v>
      </c>
    </row>
    <row r="1774" spans="1:17" x14ac:dyDescent="0.2">
      <c r="A1774" s="1" t="s">
        <v>1</v>
      </c>
      <c r="F1774" s="1" t="s">
        <v>40</v>
      </c>
    </row>
    <row r="1776" spans="1:17" x14ac:dyDescent="0.2">
      <c r="A1776" s="1" t="s">
        <v>3</v>
      </c>
      <c r="F1776" s="1" t="s">
        <v>786</v>
      </c>
    </row>
    <row r="1777" spans="1:17" x14ac:dyDescent="0.2">
      <c r="A1777" s="1" t="s">
        <v>5</v>
      </c>
      <c r="F1777" s="1" t="s">
        <v>822</v>
      </c>
    </row>
    <row r="1780" spans="1:17" x14ac:dyDescent="0.2">
      <c r="C1780" s="1" t="s">
        <v>6</v>
      </c>
      <c r="D1780" s="1" t="s">
        <v>7</v>
      </c>
      <c r="E1780" s="1" t="s">
        <v>8</v>
      </c>
      <c r="G1780" s="1" t="s">
        <v>9</v>
      </c>
      <c r="H1780" s="1" t="s">
        <v>10</v>
      </c>
      <c r="I1780" s="1" t="s">
        <v>11</v>
      </c>
      <c r="J1780" s="1" t="s">
        <v>12</v>
      </c>
      <c r="K1780" s="1" t="s">
        <v>13</v>
      </c>
      <c r="L1780" s="1" t="s">
        <v>14</v>
      </c>
      <c r="M1780" s="1" t="s">
        <v>15</v>
      </c>
      <c r="N1780" s="1" t="s">
        <v>16</v>
      </c>
      <c r="O1780" s="1" t="s">
        <v>17</v>
      </c>
      <c r="P1780" s="1" t="s">
        <v>18</v>
      </c>
      <c r="Q1780" s="1" t="s">
        <v>19</v>
      </c>
    </row>
    <row r="1782" spans="1:17" x14ac:dyDescent="0.2">
      <c r="D1782" s="1" t="s">
        <v>20</v>
      </c>
      <c r="E1782" s="1">
        <v>103342802</v>
      </c>
      <c r="G1782" s="1" t="s">
        <v>66</v>
      </c>
      <c r="I1782" s="1" t="s">
        <v>66</v>
      </c>
      <c r="K1782" s="2">
        <v>-15067.51</v>
      </c>
      <c r="L1782" s="1" t="s">
        <v>22</v>
      </c>
      <c r="N1782" s="2">
        <v>-5553</v>
      </c>
      <c r="O1782" s="1" t="s">
        <v>630</v>
      </c>
      <c r="P1782" s="1" t="s">
        <v>823</v>
      </c>
      <c r="Q1782" s="1">
        <v>2.7134</v>
      </c>
    </row>
    <row r="1784" spans="1:17" x14ac:dyDescent="0.2">
      <c r="B1784" s="1" t="s">
        <v>25</v>
      </c>
      <c r="K1784" s="2">
        <v>-15067.51</v>
      </c>
      <c r="L1784" s="1" t="s">
        <v>22</v>
      </c>
      <c r="N1784" s="2">
        <v>-5553</v>
      </c>
      <c r="O1784" s="1" t="s">
        <v>630</v>
      </c>
    </row>
    <row r="1786" spans="1:17" x14ac:dyDescent="0.2">
      <c r="A1786" s="3"/>
      <c r="B1786" s="3" t="s">
        <v>26</v>
      </c>
      <c r="C1786" s="3" t="s">
        <v>824</v>
      </c>
      <c r="D1786" s="3"/>
      <c r="E1786" s="3"/>
      <c r="F1786" s="3"/>
      <c r="G1786" s="3"/>
      <c r="H1786" s="3"/>
      <c r="I1786" s="3"/>
      <c r="J1786" s="3"/>
      <c r="K1786" s="4">
        <v>-15067.51</v>
      </c>
      <c r="L1786" s="3" t="s">
        <v>22</v>
      </c>
      <c r="M1786" s="3"/>
      <c r="N1786" s="4">
        <v>-5553</v>
      </c>
      <c r="O1786" s="3" t="s">
        <v>630</v>
      </c>
      <c r="P1786" s="3"/>
      <c r="Q1786" s="3"/>
    </row>
    <row r="1788" spans="1:17" x14ac:dyDescent="0.2">
      <c r="A1788" s="1" t="s">
        <v>0</v>
      </c>
      <c r="F1788" s="1">
        <v>501274</v>
      </c>
    </row>
    <row r="1789" spans="1:17" x14ac:dyDescent="0.2">
      <c r="A1789" s="1" t="s">
        <v>1</v>
      </c>
      <c r="F1789" s="1" t="s">
        <v>40</v>
      </c>
    </row>
    <row r="1791" spans="1:17" x14ac:dyDescent="0.2">
      <c r="A1791" s="1" t="s">
        <v>3</v>
      </c>
      <c r="F1791" s="1" t="s">
        <v>786</v>
      </c>
    </row>
    <row r="1792" spans="1:17" x14ac:dyDescent="0.2">
      <c r="A1792" s="1" t="s">
        <v>5</v>
      </c>
      <c r="F1792" s="1" t="s">
        <v>825</v>
      </c>
    </row>
    <row r="1795" spans="1:17" x14ac:dyDescent="0.2">
      <c r="C1795" s="1" t="s">
        <v>6</v>
      </c>
      <c r="D1795" s="1" t="s">
        <v>7</v>
      </c>
      <c r="E1795" s="1" t="s">
        <v>8</v>
      </c>
      <c r="G1795" s="1" t="s">
        <v>9</v>
      </c>
      <c r="H1795" s="1" t="s">
        <v>10</v>
      </c>
      <c r="I1795" s="1" t="s">
        <v>11</v>
      </c>
      <c r="J1795" s="1" t="s">
        <v>12</v>
      </c>
      <c r="K1795" s="1" t="s">
        <v>13</v>
      </c>
      <c r="L1795" s="1" t="s">
        <v>14</v>
      </c>
      <c r="M1795" s="1" t="s">
        <v>15</v>
      </c>
      <c r="N1795" s="1" t="s">
        <v>16</v>
      </c>
      <c r="O1795" s="1" t="s">
        <v>17</v>
      </c>
      <c r="P1795" s="1" t="s">
        <v>18</v>
      </c>
      <c r="Q1795" s="1" t="s">
        <v>19</v>
      </c>
    </row>
    <row r="1797" spans="1:17" x14ac:dyDescent="0.2">
      <c r="D1797" s="1" t="s">
        <v>20</v>
      </c>
      <c r="E1797" s="1">
        <v>103342802</v>
      </c>
      <c r="G1797" s="1" t="s">
        <v>66</v>
      </c>
      <c r="I1797" s="1" t="s">
        <v>66</v>
      </c>
      <c r="K1797" s="2">
        <v>-11691.96</v>
      </c>
      <c r="L1797" s="1" t="s">
        <v>22</v>
      </c>
      <c r="N1797" s="2">
        <v>-4308.97</v>
      </c>
      <c r="O1797" s="1" t="s">
        <v>630</v>
      </c>
      <c r="P1797" s="1" t="s">
        <v>826</v>
      </c>
      <c r="Q1797" s="1">
        <v>2.7134</v>
      </c>
    </row>
    <row r="1799" spans="1:17" x14ac:dyDescent="0.2">
      <c r="B1799" s="1" t="s">
        <v>25</v>
      </c>
      <c r="K1799" s="2">
        <v>-11691.96</v>
      </c>
      <c r="L1799" s="1" t="s">
        <v>22</v>
      </c>
      <c r="N1799" s="2">
        <v>-4308.97</v>
      </c>
      <c r="O1799" s="1" t="s">
        <v>630</v>
      </c>
    </row>
    <row r="1801" spans="1:17" x14ac:dyDescent="0.2">
      <c r="A1801" s="3"/>
      <c r="B1801" s="3" t="s">
        <v>26</v>
      </c>
      <c r="C1801" s="3" t="s">
        <v>827</v>
      </c>
      <c r="D1801" s="3"/>
      <c r="E1801" s="3"/>
      <c r="F1801" s="3"/>
      <c r="G1801" s="3"/>
      <c r="H1801" s="3"/>
      <c r="I1801" s="3"/>
      <c r="J1801" s="3"/>
      <c r="K1801" s="4">
        <v>-11691.96</v>
      </c>
      <c r="L1801" s="3" t="s">
        <v>22</v>
      </c>
      <c r="M1801" s="3"/>
      <c r="N1801" s="4">
        <v>-4308.97</v>
      </c>
      <c r="O1801" s="3" t="s">
        <v>630</v>
      </c>
      <c r="P1801" s="3"/>
      <c r="Q1801" s="3"/>
    </row>
    <row r="1803" spans="1:17" x14ac:dyDescent="0.2">
      <c r="A1803" s="1" t="s">
        <v>0</v>
      </c>
      <c r="F1803" s="1">
        <v>501288</v>
      </c>
    </row>
    <row r="1804" spans="1:17" x14ac:dyDescent="0.2">
      <c r="A1804" s="1" t="s">
        <v>1</v>
      </c>
      <c r="F1804" s="1" t="s">
        <v>40</v>
      </c>
    </row>
    <row r="1806" spans="1:17" x14ac:dyDescent="0.2">
      <c r="A1806" s="1" t="s">
        <v>3</v>
      </c>
      <c r="F1806" s="1" t="s">
        <v>365</v>
      </c>
    </row>
    <row r="1807" spans="1:17" x14ac:dyDescent="0.2">
      <c r="A1807" s="1" t="s">
        <v>5</v>
      </c>
      <c r="F1807" s="1" t="s">
        <v>366</v>
      </c>
    </row>
    <row r="1810" spans="1:17" x14ac:dyDescent="0.2">
      <c r="C1810" s="1" t="s">
        <v>6</v>
      </c>
      <c r="D1810" s="1" t="s">
        <v>7</v>
      </c>
      <c r="E1810" s="1" t="s">
        <v>8</v>
      </c>
      <c r="G1810" s="1" t="s">
        <v>9</v>
      </c>
      <c r="H1810" s="1" t="s">
        <v>10</v>
      </c>
      <c r="I1810" s="1" t="s">
        <v>11</v>
      </c>
      <c r="J1810" s="1" t="s">
        <v>12</v>
      </c>
      <c r="K1810" s="1" t="s">
        <v>13</v>
      </c>
      <c r="L1810" s="1" t="s">
        <v>14</v>
      </c>
      <c r="M1810" s="1" t="s">
        <v>15</v>
      </c>
      <c r="N1810" s="1" t="s">
        <v>16</v>
      </c>
      <c r="O1810" s="1" t="s">
        <v>17</v>
      </c>
      <c r="P1810" s="1" t="s">
        <v>18</v>
      </c>
      <c r="Q1810" s="1" t="s">
        <v>19</v>
      </c>
    </row>
    <row r="1812" spans="1:17" x14ac:dyDescent="0.2">
      <c r="D1812" s="1" t="s">
        <v>20</v>
      </c>
      <c r="E1812" s="1">
        <v>1400013736</v>
      </c>
      <c r="G1812" s="1" t="s">
        <v>828</v>
      </c>
      <c r="I1812" s="1" t="s">
        <v>828</v>
      </c>
      <c r="K1812" s="2">
        <v>-12649.7</v>
      </c>
      <c r="L1812" s="1" t="s">
        <v>22</v>
      </c>
      <c r="N1812" s="2">
        <v>-12649.7</v>
      </c>
      <c r="O1812" s="1" t="s">
        <v>22</v>
      </c>
      <c r="P1812" s="1" t="s">
        <v>829</v>
      </c>
      <c r="Q1812" s="1">
        <v>1</v>
      </c>
    </row>
    <row r="1814" spans="1:17" x14ac:dyDescent="0.2">
      <c r="B1814" s="1" t="s">
        <v>25</v>
      </c>
      <c r="K1814" s="2">
        <v>-12649.7</v>
      </c>
      <c r="L1814" s="1" t="s">
        <v>22</v>
      </c>
      <c r="N1814" s="2">
        <v>-12649.7</v>
      </c>
      <c r="O1814" s="1" t="s">
        <v>22</v>
      </c>
    </row>
    <row r="1816" spans="1:17" x14ac:dyDescent="0.2">
      <c r="A1816" s="3"/>
      <c r="B1816" s="3" t="s">
        <v>26</v>
      </c>
      <c r="C1816" s="3" t="s">
        <v>368</v>
      </c>
      <c r="D1816" s="3"/>
      <c r="E1816" s="3"/>
      <c r="F1816" s="3"/>
      <c r="G1816" s="3"/>
      <c r="H1816" s="3"/>
      <c r="I1816" s="3"/>
      <c r="J1816" s="3"/>
      <c r="K1816" s="4">
        <v>-12649.7</v>
      </c>
      <c r="L1816" s="3" t="s">
        <v>22</v>
      </c>
      <c r="M1816" s="3"/>
      <c r="N1816" s="4">
        <v>-12649.7</v>
      </c>
      <c r="O1816" s="3" t="s">
        <v>22</v>
      </c>
      <c r="P1816" s="3"/>
      <c r="Q1816" s="3"/>
    </row>
    <row r="1818" spans="1:17" x14ac:dyDescent="0.2">
      <c r="A1818" s="1" t="s">
        <v>0</v>
      </c>
      <c r="F1818" s="1">
        <v>501299</v>
      </c>
    </row>
    <row r="1819" spans="1:17" x14ac:dyDescent="0.2">
      <c r="A1819" s="1" t="s">
        <v>1</v>
      </c>
      <c r="F1819" s="1" t="s">
        <v>40</v>
      </c>
    </row>
    <row r="1821" spans="1:17" x14ac:dyDescent="0.2">
      <c r="A1821" s="1" t="s">
        <v>3</v>
      </c>
      <c r="F1821" s="1" t="s">
        <v>810</v>
      </c>
    </row>
    <row r="1822" spans="1:17" x14ac:dyDescent="0.2">
      <c r="A1822" s="1" t="s">
        <v>5</v>
      </c>
      <c r="F1822" s="1" t="s">
        <v>392</v>
      </c>
    </row>
    <row r="1825" spans="1:17" x14ac:dyDescent="0.2">
      <c r="C1825" s="1" t="s">
        <v>6</v>
      </c>
      <c r="D1825" s="1" t="s">
        <v>7</v>
      </c>
      <c r="E1825" s="1" t="s">
        <v>8</v>
      </c>
      <c r="G1825" s="1" t="s">
        <v>9</v>
      </c>
      <c r="H1825" s="1" t="s">
        <v>10</v>
      </c>
      <c r="I1825" s="1" t="s">
        <v>11</v>
      </c>
      <c r="J1825" s="1" t="s">
        <v>12</v>
      </c>
      <c r="K1825" s="1" t="s">
        <v>13</v>
      </c>
      <c r="L1825" s="1" t="s">
        <v>14</v>
      </c>
      <c r="M1825" s="1" t="s">
        <v>15</v>
      </c>
      <c r="N1825" s="1" t="s">
        <v>16</v>
      </c>
      <c r="O1825" s="1" t="s">
        <v>17</v>
      </c>
      <c r="P1825" s="1" t="s">
        <v>18</v>
      </c>
      <c r="Q1825" s="1" t="s">
        <v>19</v>
      </c>
    </row>
    <row r="1827" spans="1:17" x14ac:dyDescent="0.2">
      <c r="D1827" s="1" t="s">
        <v>20</v>
      </c>
      <c r="E1827" s="1">
        <v>103327759</v>
      </c>
      <c r="G1827" s="1" t="s">
        <v>90</v>
      </c>
      <c r="I1827" s="1" t="s">
        <v>90</v>
      </c>
      <c r="K1827" s="2">
        <v>-61629.73</v>
      </c>
      <c r="L1827" s="1" t="s">
        <v>22</v>
      </c>
      <c r="N1827" s="2">
        <v>-22666.32</v>
      </c>
      <c r="O1827" s="1" t="s">
        <v>630</v>
      </c>
      <c r="P1827" s="1" t="s">
        <v>830</v>
      </c>
      <c r="Q1827" s="1">
        <v>2.7189999999999999</v>
      </c>
    </row>
    <row r="1829" spans="1:17" x14ac:dyDescent="0.2">
      <c r="B1829" s="1" t="s">
        <v>25</v>
      </c>
      <c r="K1829" s="2">
        <v>-61629.73</v>
      </c>
      <c r="L1829" s="1" t="s">
        <v>22</v>
      </c>
      <c r="N1829" s="2">
        <v>-22666.32</v>
      </c>
      <c r="O1829" s="1" t="s">
        <v>630</v>
      </c>
    </row>
    <row r="1831" spans="1:17" x14ac:dyDescent="0.2">
      <c r="A1831" s="3"/>
      <c r="B1831" s="3" t="s">
        <v>26</v>
      </c>
      <c r="C1831" s="3" t="s">
        <v>831</v>
      </c>
      <c r="D1831" s="3"/>
      <c r="E1831" s="3"/>
      <c r="F1831" s="3"/>
      <c r="G1831" s="3"/>
      <c r="H1831" s="3"/>
      <c r="I1831" s="3"/>
      <c r="J1831" s="3"/>
      <c r="K1831" s="4">
        <v>-61629.73</v>
      </c>
      <c r="L1831" s="3" t="s">
        <v>22</v>
      </c>
      <c r="M1831" s="3"/>
      <c r="N1831" s="4">
        <v>-22666.32</v>
      </c>
      <c r="O1831" s="3" t="s">
        <v>630</v>
      </c>
      <c r="P1831" s="3"/>
      <c r="Q1831" s="3"/>
    </row>
    <row r="1833" spans="1:17" x14ac:dyDescent="0.2">
      <c r="A1833" s="1" t="s">
        <v>0</v>
      </c>
      <c r="F1833" s="1">
        <v>501307</v>
      </c>
    </row>
    <row r="1834" spans="1:17" x14ac:dyDescent="0.2">
      <c r="A1834" s="1" t="s">
        <v>1</v>
      </c>
      <c r="F1834" s="1" t="s">
        <v>40</v>
      </c>
    </row>
    <row r="1836" spans="1:17" x14ac:dyDescent="0.2">
      <c r="A1836" s="1" t="s">
        <v>3</v>
      </c>
      <c r="F1836" s="1" t="s">
        <v>832</v>
      </c>
    </row>
    <row r="1837" spans="1:17" x14ac:dyDescent="0.2">
      <c r="A1837" s="1" t="s">
        <v>5</v>
      </c>
      <c r="F1837" s="1" t="s">
        <v>684</v>
      </c>
    </row>
    <row r="1840" spans="1:17" x14ac:dyDescent="0.2">
      <c r="C1840" s="1" t="s">
        <v>6</v>
      </c>
      <c r="D1840" s="1" t="s">
        <v>7</v>
      </c>
      <c r="E1840" s="1" t="s">
        <v>8</v>
      </c>
      <c r="G1840" s="1" t="s">
        <v>9</v>
      </c>
      <c r="H1840" s="1" t="s">
        <v>10</v>
      </c>
      <c r="I1840" s="1" t="s">
        <v>11</v>
      </c>
      <c r="J1840" s="1" t="s">
        <v>12</v>
      </c>
      <c r="K1840" s="1" t="s">
        <v>13</v>
      </c>
      <c r="L1840" s="1" t="s">
        <v>14</v>
      </c>
      <c r="M1840" s="1" t="s">
        <v>15</v>
      </c>
      <c r="N1840" s="1" t="s">
        <v>16</v>
      </c>
      <c r="O1840" s="1" t="s">
        <v>17</v>
      </c>
      <c r="P1840" s="1" t="s">
        <v>18</v>
      </c>
      <c r="Q1840" s="1" t="s">
        <v>19</v>
      </c>
    </row>
    <row r="1842" spans="1:17" x14ac:dyDescent="0.2">
      <c r="D1842" s="1" t="s">
        <v>20</v>
      </c>
      <c r="E1842" s="1">
        <v>1400013834</v>
      </c>
      <c r="G1842" s="1" t="s">
        <v>61</v>
      </c>
      <c r="I1842" s="1" t="s">
        <v>61</v>
      </c>
      <c r="K1842" s="2">
        <v>-127110.95</v>
      </c>
      <c r="L1842" s="1" t="s">
        <v>22</v>
      </c>
      <c r="N1842" s="2">
        <v>-127110.95</v>
      </c>
      <c r="O1842" s="1" t="s">
        <v>22</v>
      </c>
      <c r="P1842" s="1" t="s">
        <v>833</v>
      </c>
      <c r="Q1842" s="1">
        <v>1</v>
      </c>
    </row>
    <row r="1844" spans="1:17" x14ac:dyDescent="0.2">
      <c r="B1844" s="1" t="s">
        <v>25</v>
      </c>
      <c r="K1844" s="2">
        <v>-127110.95</v>
      </c>
      <c r="L1844" s="1" t="s">
        <v>22</v>
      </c>
      <c r="N1844" s="2">
        <v>-127110.95</v>
      </c>
      <c r="O1844" s="1" t="s">
        <v>22</v>
      </c>
    </row>
    <row r="1846" spans="1:17" x14ac:dyDescent="0.2">
      <c r="A1846" s="3"/>
      <c r="B1846" s="3" t="s">
        <v>26</v>
      </c>
      <c r="C1846" s="3" t="s">
        <v>834</v>
      </c>
      <c r="D1846" s="3"/>
      <c r="E1846" s="3"/>
      <c r="F1846" s="3"/>
      <c r="G1846" s="3"/>
      <c r="H1846" s="3"/>
      <c r="I1846" s="3"/>
      <c r="J1846" s="3"/>
      <c r="K1846" s="4">
        <v>-127110.95</v>
      </c>
      <c r="L1846" s="3" t="s">
        <v>22</v>
      </c>
      <c r="M1846" s="3"/>
      <c r="N1846" s="4">
        <v>-127110.95</v>
      </c>
      <c r="O1846" s="3" t="s">
        <v>22</v>
      </c>
      <c r="P1846" s="3"/>
      <c r="Q1846" s="3"/>
    </row>
    <row r="1848" spans="1:17" x14ac:dyDescent="0.2">
      <c r="A1848" s="1" t="s">
        <v>0</v>
      </c>
      <c r="F1848" s="1" t="s">
        <v>25</v>
      </c>
    </row>
    <row r="1849" spans="1:17" x14ac:dyDescent="0.2">
      <c r="A1849" s="1" t="s">
        <v>1</v>
      </c>
      <c r="F1849" s="1" t="s">
        <v>25</v>
      </c>
    </row>
    <row r="1851" spans="1:17" x14ac:dyDescent="0.2">
      <c r="A1851" s="1" t="s">
        <v>3</v>
      </c>
      <c r="F1851" s="1" t="s">
        <v>25</v>
      </c>
    </row>
    <row r="1852" spans="1:17" x14ac:dyDescent="0.2">
      <c r="A1852" s="1" t="s">
        <v>5</v>
      </c>
      <c r="F1852" s="1" t="s">
        <v>25</v>
      </c>
    </row>
    <row r="1855" spans="1:17" x14ac:dyDescent="0.2">
      <c r="C1855" s="1" t="s">
        <v>6</v>
      </c>
      <c r="D1855" s="1" t="s">
        <v>7</v>
      </c>
      <c r="E1855" s="1" t="s">
        <v>8</v>
      </c>
      <c r="G1855" s="1" t="s">
        <v>9</v>
      </c>
      <c r="H1855" s="1" t="s">
        <v>10</v>
      </c>
      <c r="I1855" s="1" t="s">
        <v>11</v>
      </c>
      <c r="J1855" s="1" t="s">
        <v>12</v>
      </c>
      <c r="K1855" s="1" t="s">
        <v>13</v>
      </c>
      <c r="L1855" s="1" t="s">
        <v>14</v>
      </c>
      <c r="M1855" s="1" t="s">
        <v>15</v>
      </c>
      <c r="N1855" s="1" t="s">
        <v>16</v>
      </c>
      <c r="O1855" s="1" t="s">
        <v>17</v>
      </c>
      <c r="P1855" s="1" t="s">
        <v>18</v>
      </c>
      <c r="Q1855" s="1" t="s">
        <v>19</v>
      </c>
    </row>
    <row r="1857" spans="2:15" x14ac:dyDescent="0.2">
      <c r="B1857" s="1" t="s">
        <v>39</v>
      </c>
      <c r="K1857" s="2">
        <v>-639177343.73000002</v>
      </c>
      <c r="L1857" s="1" t="s">
        <v>22</v>
      </c>
      <c r="N1857" s="2">
        <v>-163056.29999999999</v>
      </c>
      <c r="O1857" s="1" t="s">
        <v>630</v>
      </c>
    </row>
    <row r="1858" spans="2:15" x14ac:dyDescent="0.2">
      <c r="N1858" s="2">
        <v>-497109082.45999998</v>
      </c>
      <c r="O1858" s="1" t="s">
        <v>22</v>
      </c>
    </row>
    <row r="1859" spans="2:15" x14ac:dyDescent="0.2">
      <c r="N1859" s="2">
        <v>-34829398.259999998</v>
      </c>
      <c r="O1859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B696-C287-4FA0-9F2B-95AEF473CA09}">
  <dimension ref="A2:Q9"/>
  <sheetViews>
    <sheetView workbookViewId="0">
      <selection activeCell="A11" sqref="A11"/>
    </sheetView>
  </sheetViews>
  <sheetFormatPr defaultRowHeight="11.4" x14ac:dyDescent="0.2"/>
  <cols>
    <col min="1" max="1" width="13" style="1" bestFit="1" customWidth="1"/>
    <col min="2" max="2" width="23.33203125" style="1" bestFit="1" customWidth="1"/>
    <col min="3" max="3" width="2.33203125" style="1" bestFit="1" customWidth="1"/>
    <col min="4" max="4" width="9.21875" style="1" bestFit="1" customWidth="1"/>
    <col min="5" max="5" width="10.5546875" style="1" bestFit="1" customWidth="1"/>
    <col min="6" max="6" width="1.5546875" style="1" bestFit="1" customWidth="1"/>
    <col min="7" max="7" width="8" style="1" bestFit="1" customWidth="1"/>
    <col min="8" max="8" width="1.77734375" style="1" bestFit="1" customWidth="1"/>
    <col min="9" max="9" width="8.88671875" style="1"/>
    <col min="10" max="10" width="3" style="1" bestFit="1" customWidth="1"/>
    <col min="11" max="11" width="12.5546875" style="1" bestFit="1" customWidth="1"/>
    <col min="12" max="12" width="4.77734375" style="1" bestFit="1" customWidth="1"/>
    <col min="13" max="13" width="8.33203125" style="1" bestFit="1" customWidth="1"/>
    <col min="14" max="14" width="13.6640625" style="1" bestFit="1" customWidth="1"/>
    <col min="15" max="15" width="4.33203125" style="1" bestFit="1" customWidth="1"/>
    <col min="16" max="16" width="4" style="1" bestFit="1" customWidth="1"/>
    <col min="17" max="17" width="8.6640625" style="1" bestFit="1" customWidth="1"/>
    <col min="18" max="16384" width="8.88671875" style="1"/>
  </cols>
  <sheetData>
    <row r="2" spans="1:17" x14ac:dyDescent="0.2">
      <c r="A2" s="1" t="s">
        <v>0</v>
      </c>
      <c r="F2" s="1" t="s">
        <v>25</v>
      </c>
    </row>
    <row r="3" spans="1:17" x14ac:dyDescent="0.2">
      <c r="A3" s="1" t="s">
        <v>1</v>
      </c>
      <c r="F3" s="1" t="s">
        <v>25</v>
      </c>
    </row>
    <row r="5" spans="1:17" x14ac:dyDescent="0.2">
      <c r="A5" s="1" t="s">
        <v>3</v>
      </c>
      <c r="F5" s="1" t="s">
        <v>25</v>
      </c>
    </row>
    <row r="6" spans="1:17" x14ac:dyDescent="0.2">
      <c r="A6" s="1" t="s">
        <v>5</v>
      </c>
      <c r="F6" s="1" t="s">
        <v>25</v>
      </c>
    </row>
    <row r="9" spans="1:17" x14ac:dyDescent="0.2">
      <c r="C9" s="1" t="s">
        <v>6</v>
      </c>
      <c r="D9" s="1" t="s">
        <v>7</v>
      </c>
      <c r="E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3C70-1D1A-4A96-BD9B-595FBFB81C5B}">
  <dimension ref="A2:Q57"/>
  <sheetViews>
    <sheetView topLeftCell="A39" workbookViewId="0">
      <selection activeCell="K56" sqref="K56"/>
    </sheetView>
  </sheetViews>
  <sheetFormatPr defaultRowHeight="11.4" x14ac:dyDescent="0.2"/>
  <cols>
    <col min="1" max="4" width="8.88671875" style="1"/>
    <col min="5" max="5" width="12.109375" style="1" bestFit="1" customWidth="1"/>
    <col min="6" max="6" width="9" style="1" bestFit="1" customWidth="1"/>
    <col min="7" max="10" width="8.88671875" style="1"/>
    <col min="11" max="11" width="14.77734375" style="1" bestFit="1" customWidth="1"/>
    <col min="12" max="12" width="8.88671875" style="1"/>
    <col min="13" max="13" width="11" style="1" bestFit="1" customWidth="1"/>
    <col min="14" max="14" width="14.77734375" style="1" bestFit="1" customWidth="1"/>
    <col min="15" max="16" width="8.88671875" style="1"/>
    <col min="17" max="17" width="9" style="1" bestFit="1" customWidth="1"/>
    <col min="18" max="16384" width="8.88671875" style="1"/>
  </cols>
  <sheetData>
    <row r="2" spans="1:17" x14ac:dyDescent="0.2">
      <c r="A2" s="1" t="s">
        <v>0</v>
      </c>
      <c r="F2" s="1">
        <v>500749</v>
      </c>
    </row>
    <row r="3" spans="1:17" x14ac:dyDescent="0.2">
      <c r="A3" s="1" t="s">
        <v>1</v>
      </c>
      <c r="F3" s="1" t="s">
        <v>2</v>
      </c>
    </row>
    <row r="5" spans="1:17" x14ac:dyDescent="0.2">
      <c r="A5" s="1" t="s">
        <v>3</v>
      </c>
      <c r="F5" s="1" t="s">
        <v>4</v>
      </c>
    </row>
    <row r="6" spans="1:17" x14ac:dyDescent="0.2">
      <c r="A6" s="1" t="s">
        <v>5</v>
      </c>
    </row>
    <row r="9" spans="1:17" x14ac:dyDescent="0.2">
      <c r="C9" s="1" t="s">
        <v>6</v>
      </c>
      <c r="D9" s="1" t="s">
        <v>7</v>
      </c>
      <c r="E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</row>
    <row r="11" spans="1:17" x14ac:dyDescent="0.2">
      <c r="D11" s="1" t="s">
        <v>20</v>
      </c>
      <c r="E11" s="1">
        <v>1400033662</v>
      </c>
      <c r="G11" s="1" t="s">
        <v>21</v>
      </c>
      <c r="I11" s="1" t="s">
        <v>21</v>
      </c>
      <c r="K11" s="2">
        <v>-88755600</v>
      </c>
      <c r="L11" s="1" t="s">
        <v>22</v>
      </c>
      <c r="M11" s="1">
        <v>105595697</v>
      </c>
      <c r="N11" s="2">
        <v>-18500000</v>
      </c>
      <c r="O11" s="1" t="s">
        <v>23</v>
      </c>
      <c r="P11" s="1" t="s">
        <v>24</v>
      </c>
      <c r="Q11" s="1">
        <v>4.7976000000000001</v>
      </c>
    </row>
    <row r="13" spans="1:17" x14ac:dyDescent="0.2">
      <c r="B13" s="1" t="s">
        <v>25</v>
      </c>
      <c r="K13" s="2">
        <v>-88755600</v>
      </c>
      <c r="L13" s="1" t="s">
        <v>22</v>
      </c>
      <c r="N13" s="2">
        <v>-18500000</v>
      </c>
      <c r="O13" s="1" t="s">
        <v>23</v>
      </c>
    </row>
    <row r="15" spans="1:17" x14ac:dyDescent="0.2">
      <c r="A15" s="3"/>
      <c r="B15" s="3" t="s">
        <v>26</v>
      </c>
      <c r="C15" s="3" t="s">
        <v>27</v>
      </c>
      <c r="D15" s="3"/>
      <c r="E15" s="3"/>
      <c r="F15" s="3"/>
      <c r="G15" s="3"/>
      <c r="H15" s="3"/>
      <c r="I15" s="3"/>
      <c r="J15" s="3"/>
      <c r="K15" s="4">
        <v>-88755600</v>
      </c>
      <c r="L15" s="3" t="s">
        <v>22</v>
      </c>
      <c r="M15" s="3"/>
      <c r="N15" s="4">
        <v>-18500000</v>
      </c>
      <c r="O15" s="3" t="s">
        <v>23</v>
      </c>
      <c r="P15" s="3"/>
      <c r="Q15" s="3"/>
    </row>
    <row r="17" spans="1:17" x14ac:dyDescent="0.2">
      <c r="A17" s="1" t="s">
        <v>0</v>
      </c>
      <c r="F17" s="1">
        <v>501230</v>
      </c>
    </row>
    <row r="18" spans="1:17" x14ac:dyDescent="0.2">
      <c r="A18" s="1" t="s">
        <v>1</v>
      </c>
      <c r="F18" s="1" t="s">
        <v>2</v>
      </c>
    </row>
    <row r="20" spans="1:17" x14ac:dyDescent="0.2">
      <c r="A20" s="1" t="s">
        <v>3</v>
      </c>
      <c r="F20" s="1" t="s">
        <v>28</v>
      </c>
    </row>
    <row r="21" spans="1:17" x14ac:dyDescent="0.2">
      <c r="A21" s="1" t="s">
        <v>5</v>
      </c>
      <c r="F21" s="1" t="s">
        <v>29</v>
      </c>
    </row>
    <row r="24" spans="1:17" x14ac:dyDescent="0.2">
      <c r="C24" s="1" t="s">
        <v>6</v>
      </c>
      <c r="D24" s="1" t="s">
        <v>7</v>
      </c>
      <c r="E24" s="1" t="s">
        <v>8</v>
      </c>
      <c r="G24" s="1" t="s">
        <v>9</v>
      </c>
      <c r="H24" s="1" t="s">
        <v>10</v>
      </c>
      <c r="I24" s="1" t="s">
        <v>11</v>
      </c>
      <c r="J24" s="1" t="s">
        <v>12</v>
      </c>
      <c r="K24" s="1" t="s">
        <v>13</v>
      </c>
      <c r="L24" s="1" t="s">
        <v>14</v>
      </c>
      <c r="M24" s="1" t="s">
        <v>15</v>
      </c>
      <c r="N24" s="1" t="s">
        <v>16</v>
      </c>
      <c r="O24" s="1" t="s">
        <v>17</v>
      </c>
      <c r="P24" s="1" t="s">
        <v>18</v>
      </c>
      <c r="Q24" s="1" t="s">
        <v>19</v>
      </c>
    </row>
    <row r="26" spans="1:17" x14ac:dyDescent="0.2">
      <c r="D26" s="1" t="s">
        <v>20</v>
      </c>
      <c r="E26" s="1">
        <v>1400033670</v>
      </c>
      <c r="G26" s="1" t="s">
        <v>30</v>
      </c>
      <c r="I26" s="1" t="s">
        <v>30</v>
      </c>
      <c r="K26" s="2">
        <v>-8847343.75</v>
      </c>
      <c r="L26" s="1" t="s">
        <v>22</v>
      </c>
      <c r="N26" s="2">
        <v>-2187500</v>
      </c>
      <c r="O26" s="1" t="s">
        <v>31</v>
      </c>
      <c r="P26" s="1" t="s">
        <v>32</v>
      </c>
      <c r="Q26" s="1">
        <v>4.0445000000000002</v>
      </c>
    </row>
    <row r="28" spans="1:17" x14ac:dyDescent="0.2">
      <c r="B28" s="1" t="s">
        <v>25</v>
      </c>
      <c r="K28" s="2">
        <v>-8847343.75</v>
      </c>
      <c r="L28" s="1" t="s">
        <v>22</v>
      </c>
      <c r="N28" s="2">
        <v>-2187500</v>
      </c>
      <c r="O28" s="1" t="s">
        <v>31</v>
      </c>
    </row>
    <row r="30" spans="1:17" x14ac:dyDescent="0.2">
      <c r="A30" s="3"/>
      <c r="B30" s="3" t="s">
        <v>26</v>
      </c>
      <c r="C30" s="3" t="s">
        <v>33</v>
      </c>
      <c r="D30" s="3"/>
      <c r="E30" s="3"/>
      <c r="F30" s="3"/>
      <c r="G30" s="3"/>
      <c r="H30" s="3"/>
      <c r="I30" s="3"/>
      <c r="J30" s="3"/>
      <c r="K30" s="4">
        <v>-8847343.75</v>
      </c>
      <c r="L30" s="3" t="s">
        <v>22</v>
      </c>
      <c r="M30" s="3"/>
      <c r="N30" s="4">
        <v>-2187500</v>
      </c>
      <c r="O30" s="3" t="s">
        <v>31</v>
      </c>
      <c r="P30" s="3"/>
      <c r="Q30" s="3"/>
    </row>
    <row r="32" spans="1:17" x14ac:dyDescent="0.2">
      <c r="A32" s="1" t="s">
        <v>0</v>
      </c>
      <c r="F32" s="1">
        <v>501296</v>
      </c>
    </row>
    <row r="33" spans="1:17" x14ac:dyDescent="0.2">
      <c r="A33" s="1" t="s">
        <v>1</v>
      </c>
      <c r="F33" s="1" t="s">
        <v>2</v>
      </c>
    </row>
    <row r="35" spans="1:17" x14ac:dyDescent="0.2">
      <c r="A35" s="1" t="s">
        <v>3</v>
      </c>
      <c r="F35" s="1" t="s">
        <v>34</v>
      </c>
    </row>
    <row r="36" spans="1:17" x14ac:dyDescent="0.2">
      <c r="A36" s="1" t="s">
        <v>5</v>
      </c>
      <c r="F36" s="1" t="s">
        <v>35</v>
      </c>
    </row>
    <row r="39" spans="1:17" x14ac:dyDescent="0.2">
      <c r="C39" s="1" t="s">
        <v>6</v>
      </c>
      <c r="D39" s="1" t="s">
        <v>7</v>
      </c>
      <c r="E39" s="1" t="s">
        <v>8</v>
      </c>
      <c r="G39" s="1" t="s">
        <v>9</v>
      </c>
      <c r="H39" s="1" t="s">
        <v>10</v>
      </c>
      <c r="I39" s="1" t="s">
        <v>11</v>
      </c>
      <c r="J39" s="1" t="s">
        <v>12</v>
      </c>
      <c r="K39" s="1" t="s">
        <v>13</v>
      </c>
      <c r="L39" s="1" t="s">
        <v>14</v>
      </c>
      <c r="M39" s="1" t="s">
        <v>15</v>
      </c>
      <c r="N39" s="1" t="s">
        <v>16</v>
      </c>
      <c r="O39" s="1" t="s">
        <v>17</v>
      </c>
      <c r="P39" s="1" t="s">
        <v>18</v>
      </c>
      <c r="Q39" s="1" t="s">
        <v>19</v>
      </c>
    </row>
    <row r="41" spans="1:17" x14ac:dyDescent="0.2">
      <c r="D41" s="1" t="s">
        <v>20</v>
      </c>
      <c r="E41" s="1">
        <v>1400033681</v>
      </c>
      <c r="G41" s="1" t="s">
        <v>36</v>
      </c>
      <c r="I41" s="1" t="s">
        <v>36</v>
      </c>
      <c r="K41" s="2">
        <v>-679405.23</v>
      </c>
      <c r="L41" s="1" t="s">
        <v>22</v>
      </c>
      <c r="M41" s="1">
        <v>105595789</v>
      </c>
      <c r="N41" s="2">
        <v>-167837.26</v>
      </c>
      <c r="O41" s="1" t="s">
        <v>31</v>
      </c>
      <c r="P41" s="1" t="s">
        <v>37</v>
      </c>
      <c r="Q41" s="1">
        <v>4.048</v>
      </c>
    </row>
    <row r="43" spans="1:17" x14ac:dyDescent="0.2">
      <c r="B43" s="1" t="s">
        <v>25</v>
      </c>
      <c r="K43" s="2">
        <v>-679405.23</v>
      </c>
      <c r="L43" s="1" t="s">
        <v>22</v>
      </c>
      <c r="N43" s="2">
        <v>-167837.26</v>
      </c>
      <c r="O43" s="1" t="s">
        <v>31</v>
      </c>
    </row>
    <row r="45" spans="1:17" x14ac:dyDescent="0.2">
      <c r="A45" s="3"/>
      <c r="B45" s="3" t="s">
        <v>26</v>
      </c>
      <c r="C45" s="3" t="s">
        <v>38</v>
      </c>
      <c r="D45" s="3"/>
      <c r="E45" s="3"/>
      <c r="F45" s="3"/>
      <c r="G45" s="3"/>
      <c r="H45" s="3"/>
      <c r="I45" s="3"/>
      <c r="J45" s="3"/>
      <c r="K45" s="4">
        <v>-679405.23</v>
      </c>
      <c r="L45" s="3" t="s">
        <v>22</v>
      </c>
      <c r="M45" s="3"/>
      <c r="N45" s="4">
        <v>-167837.26</v>
      </c>
      <c r="O45" s="3" t="s">
        <v>31</v>
      </c>
      <c r="P45" s="3"/>
      <c r="Q45" s="3"/>
    </row>
    <row r="47" spans="1:17" x14ac:dyDescent="0.2">
      <c r="A47" s="1" t="s">
        <v>0</v>
      </c>
      <c r="F47" s="1" t="s">
        <v>25</v>
      </c>
    </row>
    <row r="48" spans="1:17" x14ac:dyDescent="0.2">
      <c r="A48" s="1" t="s">
        <v>1</v>
      </c>
      <c r="F48" s="1" t="s">
        <v>25</v>
      </c>
    </row>
    <row r="50" spans="1:17" x14ac:dyDescent="0.2">
      <c r="A50" s="1" t="s">
        <v>3</v>
      </c>
      <c r="F50" s="1" t="s">
        <v>25</v>
      </c>
    </row>
    <row r="51" spans="1:17" x14ac:dyDescent="0.2">
      <c r="A51" s="1" t="s">
        <v>5</v>
      </c>
      <c r="F51" s="1" t="s">
        <v>25</v>
      </c>
    </row>
    <row r="54" spans="1:17" x14ac:dyDescent="0.2">
      <c r="C54" s="1" t="s">
        <v>6</v>
      </c>
      <c r="D54" s="1" t="s">
        <v>7</v>
      </c>
      <c r="E54" s="1" t="s">
        <v>8</v>
      </c>
      <c r="G54" s="1" t="s">
        <v>9</v>
      </c>
      <c r="H54" s="1" t="s">
        <v>10</v>
      </c>
      <c r="I54" s="1" t="s">
        <v>11</v>
      </c>
      <c r="J54" s="1" t="s">
        <v>12</v>
      </c>
      <c r="K54" s="1" t="s">
        <v>13</v>
      </c>
      <c r="L54" s="1" t="s">
        <v>14</v>
      </c>
      <c r="M54" s="1" t="s">
        <v>15</v>
      </c>
      <c r="N54" s="1" t="s">
        <v>16</v>
      </c>
      <c r="O54" s="1" t="s">
        <v>17</v>
      </c>
      <c r="P54" s="1" t="s">
        <v>18</v>
      </c>
      <c r="Q54" s="1" t="s">
        <v>19</v>
      </c>
    </row>
    <row r="56" spans="1:17" x14ac:dyDescent="0.2">
      <c r="B56" s="1" t="s">
        <v>39</v>
      </c>
      <c r="K56" s="5">
        <v>-98282348.980000004</v>
      </c>
      <c r="L56" s="1" t="s">
        <v>22</v>
      </c>
      <c r="N56" s="2">
        <v>-18500000</v>
      </c>
      <c r="O56" s="1" t="s">
        <v>23</v>
      </c>
    </row>
    <row r="57" spans="1:17" x14ac:dyDescent="0.2">
      <c r="N57" s="2">
        <v>-2355337.2599999998</v>
      </c>
      <c r="O57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C0FF-63D3-42D9-9943-054E2123B161}">
  <dimension ref="A4:B134"/>
  <sheetViews>
    <sheetView topLeftCell="A3" workbookViewId="0">
      <selection activeCell="B122" sqref="B122"/>
    </sheetView>
  </sheetViews>
  <sheetFormatPr defaultRowHeight="14.4" x14ac:dyDescent="0.3"/>
  <cols>
    <col min="1" max="1" width="41.88671875" bestFit="1" customWidth="1"/>
    <col min="2" max="2" width="15.109375" style="6" bestFit="1" customWidth="1"/>
  </cols>
  <sheetData>
    <row r="4" spans="1:2" x14ac:dyDescent="0.3">
      <c r="A4" s="7" t="s">
        <v>852</v>
      </c>
    </row>
    <row r="5" spans="1:2" x14ac:dyDescent="0.3">
      <c r="A5" t="s">
        <v>836</v>
      </c>
      <c r="B5" s="6">
        <f>'Disbursement Islamic'!K1141</f>
        <v>775791686.33000004</v>
      </c>
    </row>
    <row r="6" spans="1:2" x14ac:dyDescent="0.3">
      <c r="A6" t="s">
        <v>837</v>
      </c>
      <c r="B6" s="6">
        <f>'Repayment Islamic'!K1857</f>
        <v>-639177343.73000002</v>
      </c>
    </row>
    <row r="8" spans="1:2" x14ac:dyDescent="0.3">
      <c r="A8" t="s">
        <v>838</v>
      </c>
      <c r="B8" s="6">
        <v>0</v>
      </c>
    </row>
    <row r="9" spans="1:2" x14ac:dyDescent="0.3">
      <c r="A9" t="s">
        <v>839</v>
      </c>
      <c r="B9" s="6">
        <f>'Repayment Conventional'!K56</f>
        <v>-98282348.980000004</v>
      </c>
    </row>
    <row r="11" spans="1:2" x14ac:dyDescent="0.3">
      <c r="A11" t="s">
        <v>840</v>
      </c>
      <c r="B11" s="6">
        <f>B5</f>
        <v>775791686.33000004</v>
      </c>
    </row>
    <row r="12" spans="1:2" x14ac:dyDescent="0.3">
      <c r="A12" t="s">
        <v>841</v>
      </c>
      <c r="B12" s="6">
        <f>B6+B9</f>
        <v>-737459692.71000004</v>
      </c>
    </row>
    <row r="13" spans="1:2" x14ac:dyDescent="0.3">
      <c r="B13" s="6">
        <f>SUM(B11:B12)</f>
        <v>38331993.620000005</v>
      </c>
    </row>
    <row r="15" spans="1:2" x14ac:dyDescent="0.3">
      <c r="A15" s="8" t="s">
        <v>835</v>
      </c>
    </row>
    <row r="16" spans="1:2" x14ac:dyDescent="0.3">
      <c r="A16" t="s">
        <v>836</v>
      </c>
      <c r="B16" s="6">
        <v>346298752.54000002</v>
      </c>
    </row>
    <row r="17" spans="1:2" x14ac:dyDescent="0.3">
      <c r="A17" t="s">
        <v>837</v>
      </c>
      <c r="B17" s="6">
        <v>-467068416.62</v>
      </c>
    </row>
    <row r="19" spans="1:2" x14ac:dyDescent="0.3">
      <c r="A19" t="s">
        <v>838</v>
      </c>
      <c r="B19" s="6">
        <v>11605310.310000001</v>
      </c>
    </row>
    <row r="20" spans="1:2" x14ac:dyDescent="0.3">
      <c r="A20" t="s">
        <v>839</v>
      </c>
      <c r="B20" s="6">
        <v>-20050391.41</v>
      </c>
    </row>
    <row r="22" spans="1:2" x14ac:dyDescent="0.3">
      <c r="A22" t="s">
        <v>840</v>
      </c>
      <c r="B22" s="6">
        <v>357904062.85000002</v>
      </c>
    </row>
    <row r="23" spans="1:2" x14ac:dyDescent="0.3">
      <c r="A23" t="s">
        <v>841</v>
      </c>
      <c r="B23" s="6">
        <v>-487118808.03000003</v>
      </c>
    </row>
    <row r="24" spans="1:2" x14ac:dyDescent="0.3">
      <c r="B24" s="6">
        <v>-129214745.18000001</v>
      </c>
    </row>
    <row r="26" spans="1:2" x14ac:dyDescent="0.3">
      <c r="A26" s="8" t="s">
        <v>842</v>
      </c>
      <c r="B26" s="6" t="s">
        <v>22</v>
      </c>
    </row>
    <row r="27" spans="1:2" x14ac:dyDescent="0.3">
      <c r="A27" t="s">
        <v>836</v>
      </c>
      <c r="B27" s="6">
        <v>380177943.12</v>
      </c>
    </row>
    <row r="28" spans="1:2" x14ac:dyDescent="0.3">
      <c r="A28" t="s">
        <v>837</v>
      </c>
      <c r="B28" s="6">
        <v>-323289322.14999998</v>
      </c>
    </row>
    <row r="30" spans="1:2" x14ac:dyDescent="0.3">
      <c r="A30" t="s">
        <v>838</v>
      </c>
      <c r="B30" s="6">
        <v>53542212.609999999</v>
      </c>
    </row>
    <row r="31" spans="1:2" x14ac:dyDescent="0.3">
      <c r="A31" t="s">
        <v>839</v>
      </c>
      <c r="B31" s="6">
        <v>-95757843.25</v>
      </c>
    </row>
    <row r="33" spans="1:2" x14ac:dyDescent="0.3">
      <c r="A33" t="s">
        <v>840</v>
      </c>
      <c r="B33" s="6">
        <v>433720155.73000002</v>
      </c>
    </row>
    <row r="34" spans="1:2" x14ac:dyDescent="0.3">
      <c r="A34" t="s">
        <v>841</v>
      </c>
      <c r="B34" s="6">
        <v>-419047165.39999998</v>
      </c>
    </row>
    <row r="35" spans="1:2" x14ac:dyDescent="0.3">
      <c r="B35" s="6">
        <v>14672990.330000043</v>
      </c>
    </row>
    <row r="37" spans="1:2" x14ac:dyDescent="0.3">
      <c r="A37" s="8" t="s">
        <v>843</v>
      </c>
      <c r="B37" s="6" t="s">
        <v>22</v>
      </c>
    </row>
    <row r="38" spans="1:2" x14ac:dyDescent="0.3">
      <c r="A38" t="s">
        <v>836</v>
      </c>
      <c r="B38" s="6">
        <v>436054173.52000004</v>
      </c>
    </row>
    <row r="39" spans="1:2" x14ac:dyDescent="0.3">
      <c r="A39" t="s">
        <v>837</v>
      </c>
      <c r="B39" s="6">
        <v>-532354991.81</v>
      </c>
    </row>
    <row r="41" spans="1:2" x14ac:dyDescent="0.3">
      <c r="A41" t="s">
        <v>838</v>
      </c>
      <c r="B41" s="6">
        <v>0</v>
      </c>
    </row>
    <row r="42" spans="1:2" x14ac:dyDescent="0.3">
      <c r="A42" t="s">
        <v>839</v>
      </c>
      <c r="B42" s="6">
        <v>-69085115.650000006</v>
      </c>
    </row>
    <row r="44" spans="1:2" x14ac:dyDescent="0.3">
      <c r="A44" t="s">
        <v>840</v>
      </c>
      <c r="B44" s="6">
        <v>436054173.52000004</v>
      </c>
    </row>
    <row r="45" spans="1:2" x14ac:dyDescent="0.3">
      <c r="A45" t="s">
        <v>841</v>
      </c>
      <c r="B45" s="6">
        <v>-601440107.46000004</v>
      </c>
    </row>
    <row r="46" spans="1:2" x14ac:dyDescent="0.3">
      <c r="B46" s="6">
        <v>-165385933.94</v>
      </c>
    </row>
    <row r="48" spans="1:2" x14ac:dyDescent="0.3">
      <c r="A48" s="8" t="s">
        <v>844</v>
      </c>
      <c r="B48" s="6" t="s">
        <v>22</v>
      </c>
    </row>
    <row r="49" spans="1:2" x14ac:dyDescent="0.3">
      <c r="A49" t="s">
        <v>836</v>
      </c>
      <c r="B49" s="6">
        <v>646855304.30999994</v>
      </c>
    </row>
    <row r="50" spans="1:2" x14ac:dyDescent="0.3">
      <c r="A50" t="s">
        <v>837</v>
      </c>
      <c r="B50" s="6">
        <v>-653319388.47000003</v>
      </c>
    </row>
    <row r="52" spans="1:2" x14ac:dyDescent="0.3">
      <c r="A52" t="s">
        <v>838</v>
      </c>
      <c r="B52" s="6">
        <v>0</v>
      </c>
    </row>
    <row r="53" spans="1:2" x14ac:dyDescent="0.3">
      <c r="A53" t="s">
        <v>839</v>
      </c>
      <c r="B53" s="6">
        <v>-8836373.6899999995</v>
      </c>
    </row>
    <row r="55" spans="1:2" x14ac:dyDescent="0.3">
      <c r="A55" t="s">
        <v>840</v>
      </c>
      <c r="B55" s="6">
        <v>646855304.30999994</v>
      </c>
    </row>
    <row r="56" spans="1:2" x14ac:dyDescent="0.3">
      <c r="A56" t="s">
        <v>841</v>
      </c>
      <c r="B56" s="6">
        <v>-662155762.16000009</v>
      </c>
    </row>
    <row r="57" spans="1:2" x14ac:dyDescent="0.3">
      <c r="B57" s="6">
        <v>-15300457.850000143</v>
      </c>
    </row>
    <row r="59" spans="1:2" x14ac:dyDescent="0.3">
      <c r="A59" s="8" t="s">
        <v>845</v>
      </c>
      <c r="B59" s="6" t="s">
        <v>22</v>
      </c>
    </row>
    <row r="60" spans="1:2" x14ac:dyDescent="0.3">
      <c r="A60" t="s">
        <v>836</v>
      </c>
      <c r="B60" s="6">
        <v>822965283.83000004</v>
      </c>
    </row>
    <row r="61" spans="1:2" x14ac:dyDescent="0.3">
      <c r="A61" t="s">
        <v>837</v>
      </c>
      <c r="B61" s="6">
        <v>-648421954.71000004</v>
      </c>
    </row>
    <row r="63" spans="1:2" x14ac:dyDescent="0.3">
      <c r="A63" t="s">
        <v>838</v>
      </c>
      <c r="B63" s="6">
        <v>0</v>
      </c>
    </row>
    <row r="64" spans="1:2" x14ac:dyDescent="0.3">
      <c r="A64" t="s">
        <v>839</v>
      </c>
      <c r="B64" s="6">
        <v>-16890903.579999998</v>
      </c>
    </row>
    <row r="66" spans="1:2" x14ac:dyDescent="0.3">
      <c r="A66" t="s">
        <v>840</v>
      </c>
      <c r="B66" s="6">
        <v>822965283.83000004</v>
      </c>
    </row>
    <row r="67" spans="1:2" x14ac:dyDescent="0.3">
      <c r="A67" t="s">
        <v>841</v>
      </c>
      <c r="B67" s="6">
        <v>-665312858.29000008</v>
      </c>
    </row>
    <row r="68" spans="1:2" x14ac:dyDescent="0.3">
      <c r="B68" s="6">
        <v>157652425.53999996</v>
      </c>
    </row>
    <row r="70" spans="1:2" x14ac:dyDescent="0.3">
      <c r="A70" s="8" t="s">
        <v>846</v>
      </c>
      <c r="B70" s="6" t="s">
        <v>22</v>
      </c>
    </row>
    <row r="71" spans="1:2" x14ac:dyDescent="0.3">
      <c r="A71" t="s">
        <v>836</v>
      </c>
      <c r="B71" s="6">
        <v>602633884.15999997</v>
      </c>
    </row>
    <row r="72" spans="1:2" x14ac:dyDescent="0.3">
      <c r="A72" t="s">
        <v>837</v>
      </c>
      <c r="B72" s="6">
        <v>-321192348.5</v>
      </c>
    </row>
    <row r="74" spans="1:2" x14ac:dyDescent="0.3">
      <c r="A74" t="s">
        <v>838</v>
      </c>
      <c r="B74" s="6">
        <v>243800.49</v>
      </c>
    </row>
    <row r="75" spans="1:2" x14ac:dyDescent="0.3">
      <c r="A75" t="s">
        <v>839</v>
      </c>
      <c r="B75" s="6">
        <v>-26872964.629999999</v>
      </c>
    </row>
    <row r="77" spans="1:2" x14ac:dyDescent="0.3">
      <c r="A77" t="s">
        <v>840</v>
      </c>
      <c r="B77" s="6">
        <v>602877684.64999998</v>
      </c>
    </row>
    <row r="78" spans="1:2" x14ac:dyDescent="0.3">
      <c r="A78" t="s">
        <v>841</v>
      </c>
      <c r="B78" s="6">
        <v>-348065313.13</v>
      </c>
    </row>
    <row r="79" spans="1:2" x14ac:dyDescent="0.3">
      <c r="B79" s="6">
        <v>254812371.51999998</v>
      </c>
    </row>
    <row r="81" spans="1:2" x14ac:dyDescent="0.3">
      <c r="A81" s="8" t="s">
        <v>847</v>
      </c>
      <c r="B81" s="6" t="s">
        <v>22</v>
      </c>
    </row>
    <row r="82" spans="1:2" x14ac:dyDescent="0.3">
      <c r="A82" t="s">
        <v>836</v>
      </c>
      <c r="B82" s="6">
        <v>226376917.44999999</v>
      </c>
    </row>
    <row r="83" spans="1:2" x14ac:dyDescent="0.3">
      <c r="A83" t="s">
        <v>837</v>
      </c>
      <c r="B83" s="6">
        <v>-143854414.61000001</v>
      </c>
    </row>
    <row r="85" spans="1:2" x14ac:dyDescent="0.3">
      <c r="A85" t="s">
        <v>838</v>
      </c>
      <c r="B85" s="6">
        <v>279500.84999999998</v>
      </c>
    </row>
    <row r="86" spans="1:2" x14ac:dyDescent="0.3">
      <c r="A86" t="s">
        <v>839</v>
      </c>
      <c r="B86" s="6">
        <v>-8996727.0999999996</v>
      </c>
    </row>
    <row r="88" spans="1:2" x14ac:dyDescent="0.3">
      <c r="A88" t="s">
        <v>840</v>
      </c>
      <c r="B88" s="6">
        <v>226656418.29999998</v>
      </c>
    </row>
    <row r="89" spans="1:2" x14ac:dyDescent="0.3">
      <c r="A89" t="s">
        <v>841</v>
      </c>
      <c r="B89" s="6">
        <v>-152851141.71000001</v>
      </c>
    </row>
    <row r="90" spans="1:2" x14ac:dyDescent="0.3">
      <c r="B90" s="6">
        <v>73805276.589999974</v>
      </c>
    </row>
    <row r="92" spans="1:2" x14ac:dyDescent="0.3">
      <c r="A92" s="8" t="s">
        <v>848</v>
      </c>
      <c r="B92" s="6" t="s">
        <v>22</v>
      </c>
    </row>
    <row r="93" spans="1:2" x14ac:dyDescent="0.3">
      <c r="A93" t="s">
        <v>836</v>
      </c>
      <c r="B93" s="6">
        <v>176226443.91</v>
      </c>
    </row>
    <row r="94" spans="1:2" x14ac:dyDescent="0.3">
      <c r="A94" t="s">
        <v>837</v>
      </c>
      <c r="B94" s="6">
        <v>-204084774.02000001</v>
      </c>
    </row>
    <row r="96" spans="1:2" x14ac:dyDescent="0.3">
      <c r="A96" t="s">
        <v>838</v>
      </c>
      <c r="B96" s="6">
        <v>397345.88</v>
      </c>
    </row>
    <row r="97" spans="1:2" x14ac:dyDescent="0.3">
      <c r="A97" t="s">
        <v>839</v>
      </c>
      <c r="B97" s="6">
        <v>-72212282.849999994</v>
      </c>
    </row>
    <row r="99" spans="1:2" x14ac:dyDescent="0.3">
      <c r="A99" t="s">
        <v>840</v>
      </c>
      <c r="B99" s="6">
        <v>176623789.78999999</v>
      </c>
    </row>
    <row r="100" spans="1:2" x14ac:dyDescent="0.3">
      <c r="A100" t="s">
        <v>841</v>
      </c>
      <c r="B100" s="6">
        <v>-276297056.87</v>
      </c>
    </row>
    <row r="101" spans="1:2" x14ac:dyDescent="0.3">
      <c r="B101" s="6">
        <v>-99673267.080000013</v>
      </c>
    </row>
    <row r="103" spans="1:2" x14ac:dyDescent="0.3">
      <c r="A103" s="8" t="s">
        <v>849</v>
      </c>
      <c r="B103" s="6" t="s">
        <v>22</v>
      </c>
    </row>
    <row r="104" spans="1:2" x14ac:dyDescent="0.3">
      <c r="A104" t="s">
        <v>836</v>
      </c>
      <c r="B104" s="6">
        <v>161463551.73000002</v>
      </c>
    </row>
    <row r="105" spans="1:2" x14ac:dyDescent="0.3">
      <c r="A105" t="s">
        <v>837</v>
      </c>
      <c r="B105" s="6">
        <v>-113034308.06999999</v>
      </c>
    </row>
    <row r="107" spans="1:2" x14ac:dyDescent="0.3">
      <c r="A107" t="s">
        <v>838</v>
      </c>
      <c r="B107" s="6">
        <v>158074713.53999999</v>
      </c>
    </row>
    <row r="108" spans="1:2" x14ac:dyDescent="0.3">
      <c r="A108" t="s">
        <v>839</v>
      </c>
      <c r="B108" s="6">
        <v>-159835222.88</v>
      </c>
    </row>
    <row r="110" spans="1:2" x14ac:dyDescent="0.3">
      <c r="A110" t="s">
        <v>840</v>
      </c>
      <c r="B110" s="6">
        <v>319538265.26999998</v>
      </c>
    </row>
    <row r="111" spans="1:2" x14ac:dyDescent="0.3">
      <c r="A111" t="s">
        <v>841</v>
      </c>
      <c r="B111" s="6">
        <v>-272869530.94999999</v>
      </c>
    </row>
    <row r="112" spans="1:2" x14ac:dyDescent="0.3">
      <c r="B112" s="6">
        <v>46668734.319999993</v>
      </c>
    </row>
    <row r="114" spans="1:2" x14ac:dyDescent="0.3">
      <c r="A114" s="8" t="s">
        <v>850</v>
      </c>
      <c r="B114" s="6" t="s">
        <v>22</v>
      </c>
    </row>
    <row r="115" spans="1:2" x14ac:dyDescent="0.3">
      <c r="A115" t="s">
        <v>836</v>
      </c>
      <c r="B115" s="6">
        <v>285255905.44999999</v>
      </c>
    </row>
    <row r="116" spans="1:2" x14ac:dyDescent="0.3">
      <c r="A116" t="s">
        <v>837</v>
      </c>
      <c r="B116" s="6">
        <v>-172512094.97</v>
      </c>
    </row>
    <row r="118" spans="1:2" x14ac:dyDescent="0.3">
      <c r="A118" t="s">
        <v>838</v>
      </c>
      <c r="B118" s="6">
        <v>11000132.550000001</v>
      </c>
    </row>
    <row r="119" spans="1:2" x14ac:dyDescent="0.3">
      <c r="A119" t="s">
        <v>839</v>
      </c>
      <c r="B119" s="6">
        <v>-42175840.869999997</v>
      </c>
    </row>
    <row r="121" spans="1:2" x14ac:dyDescent="0.3">
      <c r="A121" t="s">
        <v>840</v>
      </c>
      <c r="B121" s="6">
        <v>296256038</v>
      </c>
    </row>
    <row r="122" spans="1:2" x14ac:dyDescent="0.3">
      <c r="A122" t="s">
        <v>841</v>
      </c>
      <c r="B122" s="6">
        <v>-214687935.84</v>
      </c>
    </row>
    <row r="123" spans="1:2" x14ac:dyDescent="0.3">
      <c r="B123" s="6">
        <v>81568102.159999996</v>
      </c>
    </row>
    <row r="125" spans="1:2" x14ac:dyDescent="0.3">
      <c r="A125" s="8" t="s">
        <v>851</v>
      </c>
      <c r="B125" s="6" t="s">
        <v>22</v>
      </c>
    </row>
    <row r="126" spans="1:2" x14ac:dyDescent="0.3">
      <c r="A126" t="s">
        <v>836</v>
      </c>
      <c r="B126" s="6">
        <v>204542781.21000001</v>
      </c>
    </row>
    <row r="127" spans="1:2" x14ac:dyDescent="0.3">
      <c r="A127" t="s">
        <v>837</v>
      </c>
      <c r="B127" s="6">
        <v>-435240878.88999999</v>
      </c>
    </row>
    <row r="129" spans="1:2" x14ac:dyDescent="0.3">
      <c r="A129" t="s">
        <v>838</v>
      </c>
      <c r="B129" s="6">
        <v>26284624.309999999</v>
      </c>
    </row>
    <row r="130" spans="1:2" x14ac:dyDescent="0.3">
      <c r="A130" t="s">
        <v>839</v>
      </c>
      <c r="B130" s="6">
        <v>-28385700.460000001</v>
      </c>
    </row>
    <row r="132" spans="1:2" x14ac:dyDescent="0.3">
      <c r="A132" t="s">
        <v>840</v>
      </c>
      <c r="B132" s="6">
        <v>230827405.52000001</v>
      </c>
    </row>
    <row r="133" spans="1:2" x14ac:dyDescent="0.3">
      <c r="A133" t="s">
        <v>841</v>
      </c>
      <c r="B133" s="6">
        <v>-463626579.34999996</v>
      </c>
    </row>
    <row r="134" spans="1:2" x14ac:dyDescent="0.3">
      <c r="B134" s="6">
        <v>-232799173.82999995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Disbursement Islamic</vt:lpstr>
      <vt:lpstr>Repayment Islamic</vt:lpstr>
      <vt:lpstr>Disbursement Conventional</vt:lpstr>
      <vt:lpstr>Repayment Conventional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Eidil Eidham Razali</dc:creator>
  <cp:lastModifiedBy>Mohd Eidil Eidham Razali</cp:lastModifiedBy>
  <dcterms:created xsi:type="dcterms:W3CDTF">2026-01-05T01:56:52Z</dcterms:created>
  <dcterms:modified xsi:type="dcterms:W3CDTF">2026-01-05T08:44:43Z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2026-01-05T01:56:52Z</vt:lpwstr>
  </property>
  <property fmtid="{D5CDD505-2E9C-101B-9397-08002B2CF9AE}" pid="4" name="MSIP_Label_de3e0bd1-8a42-4fca-bd15-c152a08a9459_Method">
    <vt:lpwstr>Standard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062b73c4-dd6f-46c0-b7b0-d0cbf17e1a98</vt:lpwstr>
  </property>
  <property fmtid="{D5CDD505-2E9C-101B-9397-08002B2CF9AE}" pid="8" name="MSIP_Label_de3e0bd1-8a42-4fca-bd15-c152a08a9459_ContentBits">
    <vt:lpwstr>0</vt:lpwstr>
  </property>
</Properties>
</file>