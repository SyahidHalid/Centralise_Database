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dil\Documents\Disbursement &amp; Repayment (MIS)\2026\8. Aug\"/>
    </mc:Choice>
  </mc:AlternateContent>
  <xr:revisionPtr revIDLastSave="0" documentId="13_ncr:9_{BE30AFAD-CBB4-47EB-BA73-9C3E85B99189}" xr6:coauthVersionLast="47" xr6:coauthVersionMax="47" xr10:uidLastSave="{00000000-0000-0000-0000-000000000000}"/>
  <bookViews>
    <workbookView xWindow="-108" yWindow="-108" windowWidth="23256" windowHeight="12456" tabRatio="677" activeTab="3" xr2:uid="{2E8FE627-E374-4784-92AA-83A895DA891E}"/>
  </bookViews>
  <sheets>
    <sheet name="Disbursement Islamic" sheetId="1" r:id="rId1"/>
    <sheet name="Repayment Islamic" sheetId="2" r:id="rId2"/>
    <sheet name="Disbursement Conventional" sheetId="3" r:id="rId3"/>
    <sheet name="Repayment Conventional" sheetId="4" r:id="rId4"/>
    <sheet name="Sheet4" sheetId="5" r:id="rId5"/>
  </sheets>
  <definedNames>
    <definedName name="_xlnm._FilterDatabase" localSheetId="0" hidden="1">'Disbursement Islamic'!$A$2:$Q$1147</definedName>
    <definedName name="_xlnm._FilterDatabase" localSheetId="3" hidden="1">'Repayment Conventional'!$A$2:$Q$72</definedName>
    <definedName name="_xlnm._FilterDatabase" localSheetId="1" hidden="1">'Repayment Islamic'!$A$2:$Q$1828</definedName>
  </definedNames>
  <calcPr calcId="0"/>
</workbook>
</file>

<file path=xl/calcChain.xml><?xml version="1.0" encoding="utf-8"?>
<calcChain xmlns="http://schemas.openxmlformats.org/spreadsheetml/2006/main">
  <c r="C10" i="5" l="1"/>
  <c r="C9" i="5"/>
  <c r="C8" i="5"/>
  <c r="C6" i="5"/>
  <c r="C4" i="5"/>
  <c r="C3" i="5"/>
</calcChain>
</file>

<file path=xl/sharedStrings.xml><?xml version="1.0" encoding="utf-8"?>
<sst xmlns="http://schemas.openxmlformats.org/spreadsheetml/2006/main" count="8805" uniqueCount="931">
  <si>
    <t xml:space="preserve"> Customer</t>
  </si>
  <si>
    <t xml:space="preserve"> Company Code</t>
  </si>
  <si>
    <t>EXIB</t>
  </si>
  <si>
    <t xml:space="preserve"> Name</t>
  </si>
  <si>
    <t>Whitex Garments Sdn Bhd</t>
  </si>
  <si>
    <t xml:space="preserve"> City</t>
  </si>
  <si>
    <t>SFi - 1</t>
  </si>
  <si>
    <t>St</t>
  </si>
  <si>
    <t>Assignment</t>
  </si>
  <si>
    <t>DocumentNo</t>
  </si>
  <si>
    <t>Doc. Date</t>
  </si>
  <si>
    <t>S</t>
  </si>
  <si>
    <t>Pstng Date</t>
  </si>
  <si>
    <t>DD</t>
  </si>
  <si>
    <t xml:space="preserve">   Amt in loc.cur.</t>
  </si>
  <si>
    <t>LCurr</t>
  </si>
  <si>
    <t>Clrng doc.</t>
  </si>
  <si>
    <t xml:space="preserve">      Amount in DC</t>
  </si>
  <si>
    <t>Curr.</t>
  </si>
  <si>
    <t>Text</t>
  </si>
  <si>
    <t xml:space="preserve"> Eff.ex.rate</t>
  </si>
  <si>
    <t>Disburseme</t>
  </si>
  <si>
    <t>06.08.2026</t>
  </si>
  <si>
    <t>MYR</t>
  </si>
  <si>
    <t>USD</t>
  </si>
  <si>
    <t>WHITEX 0744 - Disbursement Aug'26</t>
  </si>
  <si>
    <t>07.08.2026</t>
  </si>
  <si>
    <t>WHITEX 0745 - Disbursement Aug'26</t>
  </si>
  <si>
    <t>20.08.2026</t>
  </si>
  <si>
    <t>WHITEX 0746 - Disbursement Aug'26</t>
  </si>
  <si>
    <t>28.08.2026</t>
  </si>
  <si>
    <t>WHITEX 0747 - Disbursement Aug'26</t>
  </si>
  <si>
    <t>*</t>
  </si>
  <si>
    <t>**</t>
  </si>
  <si>
    <t>Account 500605</t>
  </si>
  <si>
    <t>Mewaholeo Industries Sdn Bhd</t>
  </si>
  <si>
    <t>04.08.2026</t>
  </si>
  <si>
    <t>MEWAHO 1019 - Disbursement Aug'26</t>
  </si>
  <si>
    <t>MEWAHO 1020 - Disbursement Aug'26</t>
  </si>
  <si>
    <t>05.08.2026</t>
  </si>
  <si>
    <t>MEWAHO 1021 - Disbursement Aug'26</t>
  </si>
  <si>
    <t>MEWAHO 1022 - Disbursement Aug'26</t>
  </si>
  <si>
    <t>12.08.2026</t>
  </si>
  <si>
    <t>MEWAHO 1023 - Disbursement Aug'26</t>
  </si>
  <si>
    <t>17.08.2026</t>
  </si>
  <si>
    <t>MEWAHO 1024 - Disbursement Aug'26</t>
  </si>
  <si>
    <t>18.08.2026</t>
  </si>
  <si>
    <t>MEWAHO 1025 - Disbursement Aug'26</t>
  </si>
  <si>
    <t>24.08.2026</t>
  </si>
  <si>
    <t>MEWAHO 1026 - Disbursement Aug'26</t>
  </si>
  <si>
    <t>27.08.2026</t>
  </si>
  <si>
    <t>MEWAHO 1027 - Disbursement Aug'26</t>
  </si>
  <si>
    <t>MEWAHO 1028 - Disbursement Aug'26</t>
  </si>
  <si>
    <t>Account 500783</t>
  </si>
  <si>
    <t>Felda Global Ventures Capital</t>
  </si>
  <si>
    <t>SF-i</t>
  </si>
  <si>
    <t>FGV 0364 - Disbursement Aug'26</t>
  </si>
  <si>
    <t>FGV 0365 - Disbursement Aug'26</t>
  </si>
  <si>
    <t>26.08.2026</t>
  </si>
  <si>
    <t>FGV 0366 - Disbursement Aug'26</t>
  </si>
  <si>
    <t>Account 500784</t>
  </si>
  <si>
    <t>Mewah-Oils Sdn Bhd</t>
  </si>
  <si>
    <t>MEWOIL 0921 - Disbursement Aug'26</t>
  </si>
  <si>
    <t>MEWOIL 0922 - Disbursement Aug'26</t>
  </si>
  <si>
    <t>14.08.2026</t>
  </si>
  <si>
    <t>MEWOIL 0923 - Disbursement Aug'26</t>
  </si>
  <si>
    <t>MEWOIL 0924 - Disbursement Aug'26</t>
  </si>
  <si>
    <t>21.08.2026</t>
  </si>
  <si>
    <t>MEWOIL 0925 - Disbursement Aug'26</t>
  </si>
  <si>
    <t>MEWOIL 0926 - Disbursement Aug'26</t>
  </si>
  <si>
    <t>MEWOIL 0927 - Disbursement Aug'26</t>
  </si>
  <si>
    <t>MEWOIL 0928 - Disbursement Aug'26</t>
  </si>
  <si>
    <t>Account 500790</t>
  </si>
  <si>
    <t>Zaid Ibrahim &amp; Co.</t>
  </si>
  <si>
    <t>ZICO 0299 - Disbursement Aug'26</t>
  </si>
  <si>
    <t>19.08.2026</t>
  </si>
  <si>
    <t>ZICO 0300 - Disbursement Aug'26 (Rollover)</t>
  </si>
  <si>
    <t>Account 500995</t>
  </si>
  <si>
    <t>Agro 19 Berhad</t>
  </si>
  <si>
    <t>AGRO 0246 - Disbursement Aug'26</t>
  </si>
  <si>
    <t>AGRO 0247 - Disbursement Aug'26</t>
  </si>
  <si>
    <t>AGRO 0248 - Disbursement Aug'26</t>
  </si>
  <si>
    <t>AGRO 0249 - Disbursement Aug'26</t>
  </si>
  <si>
    <t>Account 501111</t>
  </si>
  <si>
    <t>Well-Built Alloy Industries Sdn Bhd</t>
  </si>
  <si>
    <t>WB 0026 - Disbursement Aug'26</t>
  </si>
  <si>
    <t>10.08.2026</t>
  </si>
  <si>
    <t>WB 0027 - Disbursement Aug'26</t>
  </si>
  <si>
    <t>Account 501123</t>
  </si>
  <si>
    <t>Siti Khadijah Apparel Sdn Bhd</t>
  </si>
  <si>
    <t>SKA 0044 - Disbursement Aug'26</t>
  </si>
  <si>
    <t>Account 501124</t>
  </si>
  <si>
    <t>Hernan Corporation Sdn Bhd</t>
  </si>
  <si>
    <t>MO_SFi</t>
  </si>
  <si>
    <t>HCSB 0095 - Disbursement Aug'26</t>
  </si>
  <si>
    <t>Account 501128</t>
  </si>
  <si>
    <t>AMC Cincaria Sdn Bhd</t>
  </si>
  <si>
    <t>AMCC 0186 - Disbursement Aug'26</t>
  </si>
  <si>
    <t>AMCC 0185 - Disbursement Aug'26</t>
  </si>
  <si>
    <t>AMCC 0187 - Disbursement Aug'26</t>
  </si>
  <si>
    <t>AMCC 0188 - Disbursement Aug'26</t>
  </si>
  <si>
    <t>AMCC 0189 - Disbursement Aug'26</t>
  </si>
  <si>
    <t>AMCC 0190 - Disbursement Aug'26</t>
  </si>
  <si>
    <t>AMCC 0191 - Disbursement Aug'26</t>
  </si>
  <si>
    <t>13.08.2026</t>
  </si>
  <si>
    <t>AMCC 0192 - Disbursement Aug'26</t>
  </si>
  <si>
    <t>AMCC 0193 - Disbursement Aug'26</t>
  </si>
  <si>
    <t>AMCC 0194 - Disbursement Aug'26</t>
  </si>
  <si>
    <t>AMCC 0195 - Disbursement Aug'26</t>
  </si>
  <si>
    <t>AMCC 0196 - Disbursement Aug'26</t>
  </si>
  <si>
    <t>AMCC 0197 - Disbursement Aug'26</t>
  </si>
  <si>
    <t>AMCC 0199 - Disbursement Aug'26</t>
  </si>
  <si>
    <t>AMCC 0200 - Disbursement Aug'26</t>
  </si>
  <si>
    <t>AMCC 0201 - Disbursement Aug'26</t>
  </si>
  <si>
    <t>AMCC 0202 - Disbursement Aug'26</t>
  </si>
  <si>
    <t>AMCC 0203 - Disbursement Aug'26</t>
  </si>
  <si>
    <t>AMCC 0204 - Disbursement Aug'26</t>
  </si>
  <si>
    <t>AMCC 0205 - Disbursement Aug'26</t>
  </si>
  <si>
    <t>AMCC 0206 - Disbursement Aug'26</t>
  </si>
  <si>
    <t>AMCC 0207 - Disbursement Aug'26</t>
  </si>
  <si>
    <t>AMCC 0208 - Disbursement Aug'26</t>
  </si>
  <si>
    <t>AMCC 0209 - Disbursement Aug'26</t>
  </si>
  <si>
    <t>AMCC 0210 - Disbursement Aug'26</t>
  </si>
  <si>
    <t>AMCC 0211 - Disbursement Aug'26</t>
  </si>
  <si>
    <t>AMCC 0198 - Disbursement Aug'26</t>
  </si>
  <si>
    <t>Account 501129</t>
  </si>
  <si>
    <t>Bhavani Foods (M) Sdn Bhd</t>
  </si>
  <si>
    <t>BFSB 0139 - Disbursement Aug'26</t>
  </si>
  <si>
    <t>BFSB 0140 - Disbursement Aug'26</t>
  </si>
  <si>
    <t>BFSB 0141 - Disbursement Aug'26</t>
  </si>
  <si>
    <t>11.08.2026</t>
  </si>
  <si>
    <t>BFSB 0142 - Disbursement Aug'26</t>
  </si>
  <si>
    <t>BFSB 0143 - Disbursement Aug'26</t>
  </si>
  <si>
    <t>BFSB 0144 - Disbursement Aug'26</t>
  </si>
  <si>
    <t>BFSB 0145 - Disbursement Aug'26</t>
  </si>
  <si>
    <t>Account 501131</t>
  </si>
  <si>
    <t>Ingress Industrial (Malaysia)</t>
  </si>
  <si>
    <t>IIM 0136 - Disbursement Aug'26</t>
  </si>
  <si>
    <t>IIM 0137 - Disbursement Aug'26</t>
  </si>
  <si>
    <t>IIM 0138 - Disbursement Aug'26</t>
  </si>
  <si>
    <t>IIM 0139 - Disbursement Aug'26</t>
  </si>
  <si>
    <t>IIM 0140 - Disbursement Aug'26</t>
  </si>
  <si>
    <t>Account 501133</t>
  </si>
  <si>
    <t>UB Acrylic (M) Sdn Bhd</t>
  </si>
  <si>
    <t>UB 0025 - Disbursement Aug'26</t>
  </si>
  <si>
    <t>UB 0026 - Disbursement Aug'26</t>
  </si>
  <si>
    <t>UB 0027 - Disbursement Aug'26</t>
  </si>
  <si>
    <t>UB 0028 - Disbursement Aug'26</t>
  </si>
  <si>
    <t>UB 0029 - Disbursement Aug'26</t>
  </si>
  <si>
    <t>Account 501134</t>
  </si>
  <si>
    <t>Impact Metal Resources</t>
  </si>
  <si>
    <t>SF-i 1</t>
  </si>
  <si>
    <t>IMR 0053 - Disbursement Aug'26</t>
  </si>
  <si>
    <t>IMR 0054 - Disbursement Aug'26</t>
  </si>
  <si>
    <t>Account 501140</t>
  </si>
  <si>
    <t>Choon Eng (Sarawak) Sdn Bhd</t>
  </si>
  <si>
    <t>CES 0083 - Disbursement Aug'26</t>
  </si>
  <si>
    <t>CES 0084 - Disbursement Aug'26</t>
  </si>
  <si>
    <t>CES 0085 - Disbursement (Extension: CES 0062)</t>
  </si>
  <si>
    <t>CES 0086 - Disbursement (Extension: CES 0065)</t>
  </si>
  <si>
    <t>CES 0087 - Disbursement (Extension: CES 0064)</t>
  </si>
  <si>
    <t>CES 0088 - Disbursement (Extension: CES 0066)</t>
  </si>
  <si>
    <t>Account 501142</t>
  </si>
  <si>
    <t>Gemilang Coachwork Sdn. Bhd.</t>
  </si>
  <si>
    <t>03.08.2026</t>
  </si>
  <si>
    <t>GC 0141 - Disbursement Aug'26</t>
  </si>
  <si>
    <t>GC 0142 - Disbursement Aug'26</t>
  </si>
  <si>
    <t>Account 501147</t>
  </si>
  <si>
    <t>Whitex Garments Sdn. Bhd.</t>
  </si>
  <si>
    <t>SFi - 2</t>
  </si>
  <si>
    <t>WGSB2 0117 - Disbursement Aug'26</t>
  </si>
  <si>
    <t>WGSB2 0118 - Disbursement Aug'26</t>
  </si>
  <si>
    <t>WGSB2 0119 - Disbursement Aug'26</t>
  </si>
  <si>
    <t>WGSB2 0120 - Disbursement Aug'26</t>
  </si>
  <si>
    <t>Account 501157</t>
  </si>
  <si>
    <t>Kyoto Energy Ventures Sdn Bhd</t>
  </si>
  <si>
    <t>SF-i - 1</t>
  </si>
  <si>
    <t>KEV 0242 - Disbursement Aug'26</t>
  </si>
  <si>
    <t>KEV 0243 - Disbursement Aug'26</t>
  </si>
  <si>
    <t>KEV 0244 - Disbursement Aug'26</t>
  </si>
  <si>
    <t>KEV 0245 - Disbursement Aug'26</t>
  </si>
  <si>
    <t>KEV 0246 - Disbursement Aug'26</t>
  </si>
  <si>
    <t>Account 501160</t>
  </si>
  <si>
    <t>RR Industries Sdn Bhd</t>
  </si>
  <si>
    <t>RR 0069 - Disbursement Aug'26</t>
  </si>
  <si>
    <t>RR 0070 - Disbursement Aug'26</t>
  </si>
  <si>
    <t>RR 0071 - Disbursement Aug'26</t>
  </si>
  <si>
    <t>RR 0072 - Disbursement Aug'26</t>
  </si>
  <si>
    <t>Account 501166</t>
  </si>
  <si>
    <t>SFi - 3</t>
  </si>
  <si>
    <t>WGSB3 0026 - Disbursement Aug'26</t>
  </si>
  <si>
    <t>Account 501167</t>
  </si>
  <si>
    <t>AGRO2 0529 - Disbursement Aug'26</t>
  </si>
  <si>
    <t>AGRO2 0530 - Disbursement Aug'26</t>
  </si>
  <si>
    <t>AGRO2 0531 - Disbursement Aug'26</t>
  </si>
  <si>
    <t>AGRO2 0532 - Disbursement Aug'26</t>
  </si>
  <si>
    <t>Account 501172</t>
  </si>
  <si>
    <t>Pipesway Furniture Sdn Bhd</t>
  </si>
  <si>
    <t>PWF 0035 - Disbursement Aug'26</t>
  </si>
  <si>
    <t>PWF 0036 - Disbursement Aug'26</t>
  </si>
  <si>
    <t>Account 501175</t>
  </si>
  <si>
    <t>Fathopes Energy Sdn Bhd</t>
  </si>
  <si>
    <t>FE 0122 - Disbursement Aug'26</t>
  </si>
  <si>
    <t>FE 0123 - Disbursement Aug'26</t>
  </si>
  <si>
    <t>FE 0124 - Disbursement Aug'26</t>
  </si>
  <si>
    <t>FE 0125 - Disbursement Aug'26</t>
  </si>
  <si>
    <t>FE 0126 - Disbursement Aug'26</t>
  </si>
  <si>
    <t>FE 0127 - Disbursement Aug'26</t>
  </si>
  <si>
    <t>FE 0128 - Disbursement Aug'26</t>
  </si>
  <si>
    <t>FE 0129 - Disbursement Aug'26</t>
  </si>
  <si>
    <t>FE 0130 - Disbursement Aug'26</t>
  </si>
  <si>
    <t>FE 0131 - Disbursement Aug'26</t>
  </si>
  <si>
    <t>FE 0132 - Disbursement Aug'26</t>
  </si>
  <si>
    <t>FE 0133 - Disbursement Aug'26</t>
  </si>
  <si>
    <t>FE 0134 - Disbursement Aug'26</t>
  </si>
  <si>
    <t>FE 0135 - Disbursement Aug'26</t>
  </si>
  <si>
    <t>Account 501181</t>
  </si>
  <si>
    <t>Thai Aroi Rice Vermicelli</t>
  </si>
  <si>
    <t>TARV 0003 - Disbursement Aug'26</t>
  </si>
  <si>
    <t>Account 501183</t>
  </si>
  <si>
    <t>Sage Promaster Sdn Bhd</t>
  </si>
  <si>
    <t>RC-i</t>
  </si>
  <si>
    <t>Sage Promaster RCi - 7th Disbursement</t>
  </si>
  <si>
    <t>Account 501184</t>
  </si>
  <si>
    <t>Ignis Environment Initiatives</t>
  </si>
  <si>
    <t>TF-i 1</t>
  </si>
  <si>
    <t>Ignis Environment TFi-1 - Disbursement Aug 2026</t>
  </si>
  <si>
    <t>Account 501191</t>
  </si>
  <si>
    <t>SF-i 2</t>
  </si>
  <si>
    <t>IMR2 0083 - Disbursement Aug'26</t>
  </si>
  <si>
    <t>IMR2 0084 - Disbursement Aug'26</t>
  </si>
  <si>
    <t>IMR2 0085 - Disbursement Aug'26</t>
  </si>
  <si>
    <t>Account 501195</t>
  </si>
  <si>
    <t>Malaysia Steel Works (KL) Bhd</t>
  </si>
  <si>
    <t>MAS2 0075 - Disbursement Aug'26</t>
  </si>
  <si>
    <t>MAS2 0076 - Disbursement Aug'26</t>
  </si>
  <si>
    <t>MAS2 0077 - Disbursement Aug'26</t>
  </si>
  <si>
    <t>MAS2 0078 - Disbursement Aug'26</t>
  </si>
  <si>
    <t>MAS2 0079 - Disbursement Aug'26</t>
  </si>
  <si>
    <t>MAS2 0080 - Disbursement Aug'26</t>
  </si>
  <si>
    <t>MAS2 0081 - Disbursement Aug'26</t>
  </si>
  <si>
    <t>MAS2 0082 - Disbursement Aug'26</t>
  </si>
  <si>
    <t>Account 501201</t>
  </si>
  <si>
    <t>Mac World Industries Sdn Bhd</t>
  </si>
  <si>
    <t>MW 0057 - Disbursement Aug'26</t>
  </si>
  <si>
    <t>MW 0058 - Disbursement Aug'26</t>
  </si>
  <si>
    <t>MW 0059 - Disbursement Aug'26</t>
  </si>
  <si>
    <t>MW 0060 - Disbursement Aug'26</t>
  </si>
  <si>
    <t>MW 0061 - Disbursement Aug'26</t>
  </si>
  <si>
    <t>Account 501220</t>
  </si>
  <si>
    <t>Duta Marine Sdn Bhd</t>
  </si>
  <si>
    <t>Duta Marine RCi - 13th Disbursement (9th Rollo</t>
  </si>
  <si>
    <t>Account 501222</t>
  </si>
  <si>
    <t>Sunnite Timur Sdn. Bhd.</t>
  </si>
  <si>
    <t>ST 0004 - Disbursement Aug'26</t>
  </si>
  <si>
    <t>Account 501225</t>
  </si>
  <si>
    <t>Confast Mobile Sdn. Bhd.</t>
  </si>
  <si>
    <t>RCI</t>
  </si>
  <si>
    <t>Confast RCi - 10th Disbursement (8th Disb Rollover</t>
  </si>
  <si>
    <t>Account 501234</t>
  </si>
  <si>
    <t>Enviros Survey &amp; Consultancy Sdn Bh</t>
  </si>
  <si>
    <t>ESC 0012 - Disbursement Aug'26</t>
  </si>
  <si>
    <t>Account 501235</t>
  </si>
  <si>
    <t>OM Materials (Sarawak) Sdn Bhd</t>
  </si>
  <si>
    <t>LC/TR-I</t>
  </si>
  <si>
    <t>OMS 0066 - Disbursement Aug'26</t>
  </si>
  <si>
    <t>OMS 0067 - Disbursement Aug'26</t>
  </si>
  <si>
    <t>OMS 0068 - Disbursement Aug'26</t>
  </si>
  <si>
    <t>Account 501241</t>
  </si>
  <si>
    <t>FR Development  Asia Sdn Bhd</t>
  </si>
  <si>
    <t>FR 0015 - Disbursement Aug'26</t>
  </si>
  <si>
    <t>Account 501261</t>
  </si>
  <si>
    <t>SF-i - 2</t>
  </si>
  <si>
    <t>KEV2 0074 - Disbursement Aug'26</t>
  </si>
  <si>
    <t>KEV2 0075 - Disbursement Aug'26</t>
  </si>
  <si>
    <t>KEV2 0073 - Disbursement Aug'26</t>
  </si>
  <si>
    <t>KEV2 0076 - Disbursement Aug'26</t>
  </si>
  <si>
    <t>KEV2 0077 - Disbursement Aug'26</t>
  </si>
  <si>
    <t>KEV2 0078 - Disbursement Aug'26</t>
  </si>
  <si>
    <t>KEV2 0079 - Disbursement Aug'26</t>
  </si>
  <si>
    <t>KEV2 0080 - Disbursement Aug'26</t>
  </si>
  <si>
    <t>KEV2 0081 - Disbursement Aug'26</t>
  </si>
  <si>
    <t>KEV2 0082 - Disbursement Aug'26</t>
  </si>
  <si>
    <t>KEV2 0083 - Disbursement Aug'26</t>
  </si>
  <si>
    <t>KEV2 0084 - Disbursement Aug'26</t>
  </si>
  <si>
    <t>KEV2 0085 - Disbursement Aug'26</t>
  </si>
  <si>
    <t>Account 501275</t>
  </si>
  <si>
    <t>Ace Champion Sdn Bhd</t>
  </si>
  <si>
    <t>ACE 0047 - Disbursement Aug'26</t>
  </si>
  <si>
    <t>ACE 0048 - Disbursement Aug'26</t>
  </si>
  <si>
    <t>ACE 0049 - Disbursement Aug'26</t>
  </si>
  <si>
    <t>Account 501285</t>
  </si>
  <si>
    <t>MHC Cold Storage Sdn Bhd</t>
  </si>
  <si>
    <t>MHC2 - SF-i 1</t>
  </si>
  <si>
    <t>MHC2 0022 - Disbursement Aug'26</t>
  </si>
  <si>
    <t>Account 501286</t>
  </si>
  <si>
    <t>AGRO3 0066 - Disbursement Aug'26</t>
  </si>
  <si>
    <t>AGRO3 0067 - Disbursement Aug'26</t>
  </si>
  <si>
    <t>AGRO3 0068 - Disbursement Aug'26</t>
  </si>
  <si>
    <t>AGRO3 0069 - Disbursement Aug'26</t>
  </si>
  <si>
    <t>AGRO3 0070 - Disbursement Aug'26</t>
  </si>
  <si>
    <t>AGRO3 0071 - Disbursement Aug'26</t>
  </si>
  <si>
    <t>AGRO3 0072 - Disbursement Aug'26</t>
  </si>
  <si>
    <t>AGRO3 0073 - Disbursement Aug'26</t>
  </si>
  <si>
    <t>AGRO3 0074 - Disbursement Aug'26</t>
  </si>
  <si>
    <t>AGRO3 0075 - Disbursement Aug'26</t>
  </si>
  <si>
    <t>AGRO3 0076 - Disbursement Aug'26</t>
  </si>
  <si>
    <t>AGRO3 0077 - Disbursement Aug'26</t>
  </si>
  <si>
    <t>AGRO3 0078 - Disbursement Aug'26</t>
  </si>
  <si>
    <t>Account 501291</t>
  </si>
  <si>
    <t>Coco Oro Jewellery Sdn Bhd</t>
  </si>
  <si>
    <t>CCO 0020 - Disbursement Aug'26</t>
  </si>
  <si>
    <t>Account 501293</t>
  </si>
  <si>
    <t>GLOBAL TOWER CORPORATION PTY LTD</t>
  </si>
  <si>
    <t>OPFi2</t>
  </si>
  <si>
    <t>Global Tower OPF-i2 - 14th Disbursement</t>
  </si>
  <si>
    <t>Account 501298</t>
  </si>
  <si>
    <t>MTC Engineering Sdn Bhd</t>
  </si>
  <si>
    <t>MTC Engineering RCi - 1st Dibursement</t>
  </si>
  <si>
    <t>Account 501302</t>
  </si>
  <si>
    <t>MAS1 0025 - Disbursement Aug'26</t>
  </si>
  <si>
    <t>MAS1 0026 - Disbursement Aug'26</t>
  </si>
  <si>
    <t>Account 501320</t>
  </si>
  <si>
    <t>Mac World Food Industries L.L.C</t>
  </si>
  <si>
    <t>Mac World RCi - 6th Disbursement</t>
  </si>
  <si>
    <t>Account 501322</t>
  </si>
  <si>
    <t>ESCSB 0003 - Disbursement Aug'26</t>
  </si>
  <si>
    <t>Account 501323</t>
  </si>
  <si>
    <t>Kooka Paper Manufacturing Sdn Bhd</t>
  </si>
  <si>
    <t>KPM 0058 - Disbursement Aug'26</t>
  </si>
  <si>
    <t>KPM 0059 - Disbursement Aug'26</t>
  </si>
  <si>
    <t>KPM 0060 - Disbursement Aug'26</t>
  </si>
  <si>
    <t>KPM 0061 - Disbursement Aug'26</t>
  </si>
  <si>
    <t>KPM 0062 - Disbursement Aug'26</t>
  </si>
  <si>
    <t>KPM 0063 - Disbursement Aug'26</t>
  </si>
  <si>
    <t>KPM 0064 - Disbursement Aug'26</t>
  </si>
  <si>
    <t>KPM 0065 - Disbursement Aug'26</t>
  </si>
  <si>
    <t>KPM 0066 - Disbursement Aug'26</t>
  </si>
  <si>
    <t>KPM 0067 - Disbursement Aug'26</t>
  </si>
  <si>
    <t>KPM 0068 - Disbursement Aug'26</t>
  </si>
  <si>
    <t>KPM 0069 - Disbursement Aug'26</t>
  </si>
  <si>
    <t>KPM 0070 - Disbursement Aug'26</t>
  </si>
  <si>
    <t>KPM 0071 - Disbursement Aug'26</t>
  </si>
  <si>
    <t>KPM 0072 - Disbursement Aug'26</t>
  </si>
  <si>
    <t>KPM 0073 - Disbursement Aug'26</t>
  </si>
  <si>
    <t>Account 501325</t>
  </si>
  <si>
    <t>KPM2 0061 - Disbursement Aug'26</t>
  </si>
  <si>
    <t>KPM2 0062 - Disbursement Aug'26</t>
  </si>
  <si>
    <t>KPM2 0063 - Disbursement Aug'26</t>
  </si>
  <si>
    <t>KPM2 0064 - Disbursement Aug'26</t>
  </si>
  <si>
    <t>KPM2 0065 - Disbursement Aug'26</t>
  </si>
  <si>
    <t>KPM2 0066 - Disbursement Aug'26</t>
  </si>
  <si>
    <t>KPM2 0067 - Disbursement Aug'26</t>
  </si>
  <si>
    <t>KPM2 0068 - Disbursement Aug'26</t>
  </si>
  <si>
    <t>KPM2 0070 - Disbursement Aug'26</t>
  </si>
  <si>
    <t>KPM2 0071 - Disbursement Aug'26</t>
  </si>
  <si>
    <t>KPM2 0072 - Disbursement Aug'26</t>
  </si>
  <si>
    <t>KPM2 0073 - Disbursement Aug'26</t>
  </si>
  <si>
    <t>KPM2 0074 - Disbursement Aug'26</t>
  </si>
  <si>
    <t>KPM2 0075 - Disbursement Aug'26</t>
  </si>
  <si>
    <t>KPM2 0076 - Disbursement Aug'26</t>
  </si>
  <si>
    <t>KPM2 0077 - Disbursement Aug'26</t>
  </si>
  <si>
    <t>KPM2 0069 - Disbursement Aug'26</t>
  </si>
  <si>
    <t>KPM2 0078 - Disbursement Aug'26</t>
  </si>
  <si>
    <t>KPM2 0079 - Disbursement Aug'26</t>
  </si>
  <si>
    <t>KPM2 0080 - Disbursement Aug'26</t>
  </si>
  <si>
    <t>KPM2 0081 - Disbursement Aug'26</t>
  </si>
  <si>
    <t>KPM2 0082 - Disbursement Aug'26</t>
  </si>
  <si>
    <t>KPM2 0083 - Disbursement Aug'26</t>
  </si>
  <si>
    <t>Account 501330</t>
  </si>
  <si>
    <t>GC2 0012 - Disbursement Aug'26</t>
  </si>
  <si>
    <t>GC2 0013 - Disbursement Aug'26</t>
  </si>
  <si>
    <t>GC2 0014 - Disbursement Aug'26</t>
  </si>
  <si>
    <t>GC2 0015 - Disbursement Aug'26</t>
  </si>
  <si>
    <t>GC2 0016 - Disbursement Aug'26</t>
  </si>
  <si>
    <t>GC2 0017 - Disbursement Aug'26</t>
  </si>
  <si>
    <t>GC2 0019 - Disbursement Aug'26</t>
  </si>
  <si>
    <t>GC2 0020 - Disbursement Aug'26</t>
  </si>
  <si>
    <t>GC2 0021 - Disbursement Aug'26</t>
  </si>
  <si>
    <t>GC2 0022 - Disbursement Aug'26</t>
  </si>
  <si>
    <t>GC2 0023 - Disbursement Aug'26</t>
  </si>
  <si>
    <t>GC2 0024 - Disbursement Aug'26</t>
  </si>
  <si>
    <t>GC2 0025 - Disbursement Aug'26</t>
  </si>
  <si>
    <t>GC2 0026 - Disbursement Aug'26</t>
  </si>
  <si>
    <t>GC2 0029 - Disbursement Aug'26</t>
  </si>
  <si>
    <t>GC2 0018 - Disbursement Aug'26</t>
  </si>
  <si>
    <t>GC2 0028 - Disbursement Aug'26</t>
  </si>
  <si>
    <t>GC2 0027 - Disbursement Aug'26</t>
  </si>
  <si>
    <t>Account 501331</t>
  </si>
  <si>
    <t>Vivendi Asset Sdn Bhd</t>
  </si>
  <si>
    <t>VA 0024 - Disbursement Aug'26</t>
  </si>
  <si>
    <t>VA 0025 - Disbursement Aug'26</t>
  </si>
  <si>
    <t>VA 0026 - Disbursement Aug'26</t>
  </si>
  <si>
    <t>VA 0027 - Disbursement Aug'26</t>
  </si>
  <si>
    <t>Account 501332</t>
  </si>
  <si>
    <t>YBS International Berhad</t>
  </si>
  <si>
    <t>YBS RCi - 6th Disbursement</t>
  </si>
  <si>
    <t>YBS International RCi - 7th Disbursement (2nd Roll</t>
  </si>
  <si>
    <t>Account 501341</t>
  </si>
  <si>
    <t>VA2 0017 - Disbursement Aug'26</t>
  </si>
  <si>
    <t>VA2 0018 - Disbursement Aug'26</t>
  </si>
  <si>
    <t>VA2 0019 - Disbursement Aug'26</t>
  </si>
  <si>
    <t>Account 501342</t>
  </si>
  <si>
    <t>Hasilwan (M) Sdn Bhd</t>
  </si>
  <si>
    <t>CFD-i</t>
  </si>
  <si>
    <t>Hasilwan - 8th Disbursement</t>
  </si>
  <si>
    <t>Hasilwan - 9th Disbursement</t>
  </si>
  <si>
    <t>Account 501343</t>
  </si>
  <si>
    <t>Theam Leong Electrical Engineering</t>
  </si>
  <si>
    <t>TLEE 0001 - Disbursement Aug'26</t>
  </si>
  <si>
    <t>TLEE 0002 - Disbursement Aug'26</t>
  </si>
  <si>
    <t>TLEE 0003 - Disbursement Aug'26</t>
  </si>
  <si>
    <t>TLEE 0004 - Disbursement Aug'26</t>
  </si>
  <si>
    <t>Account 501345</t>
  </si>
  <si>
    <t>GLOBAL TOWER CORPORATION</t>
  </si>
  <si>
    <t>OPFI3</t>
  </si>
  <si>
    <t>Global Tower OPF-i3 - 5th Disbursement</t>
  </si>
  <si>
    <t>Account 501349</t>
  </si>
  <si>
    <t>AGRC 0002 - Disbursement Aug'26</t>
  </si>
  <si>
    <t>AGRC 0003 - Disbursement Aug'26</t>
  </si>
  <si>
    <t>AGRC 0004 - Disbursement Aug'26</t>
  </si>
  <si>
    <t>AGRC 0005 - Disbursement Aug'26</t>
  </si>
  <si>
    <t>Account 501356</t>
  </si>
  <si>
    <t>SFi - 5</t>
  </si>
  <si>
    <t>AGRO5 0001 - Disbursement Aug'26</t>
  </si>
  <si>
    <t>AGRO5 0002 - Disbursement Aug'26</t>
  </si>
  <si>
    <t>AGRO5 0003 - Disbursement Aug'26</t>
  </si>
  <si>
    <t>AGRO5 0004 - Disbursement Aug'26</t>
  </si>
  <si>
    <t>AGRO5 0005 - Disbursement Aug'26</t>
  </si>
  <si>
    <t>AGRO5 0006 - Disbursement Aug'26</t>
  </si>
  <si>
    <t>AGRO5 0007 - Disbursement Aug'26</t>
  </si>
  <si>
    <t>AGRO5 0008 - Disbursement Aug'26</t>
  </si>
  <si>
    <t>Account 501358</t>
  </si>
  <si>
    <t>Joyeria Kohinoor Sdn Bhd</t>
  </si>
  <si>
    <t>TF-i1 RR</t>
  </si>
  <si>
    <t>Joyeria TFi-1 RR - 1st Disbursement</t>
  </si>
  <si>
    <t>Account 501359</t>
  </si>
  <si>
    <t>TF-i2 RR</t>
  </si>
  <si>
    <t>Joyeria TFi-2RR - 1st Disbursement</t>
  </si>
  <si>
    <t>Account 501360</t>
  </si>
  <si>
    <t>SMT Technologies Sdn Bhd</t>
  </si>
  <si>
    <t>SMRC 0001 - Disbursement Aug'26</t>
  </si>
  <si>
    <t>Account 501361</t>
  </si>
  <si>
    <t>***</t>
  </si>
  <si>
    <t>Repayment</t>
  </si>
  <si>
    <t>WHITEX 0731 - Cost payment</t>
  </si>
  <si>
    <t>WHITEX 0728 - Cost payment</t>
  </si>
  <si>
    <t>WHITEX 0729 - Cost payment</t>
  </si>
  <si>
    <t>WHITEX 0730 - Cost payment</t>
  </si>
  <si>
    <t>MEWAHO 1013 - Cost payment</t>
  </si>
  <si>
    <t>MEWAHO 1012 - Cost payment</t>
  </si>
  <si>
    <t>MEWAHO 1015 - Cost payment</t>
  </si>
  <si>
    <t>MEWAHO 1014 - Cost payment</t>
  </si>
  <si>
    <t>MEWAHO 1016 - Cost payment</t>
  </si>
  <si>
    <t>MEWAHO 1017 - Cost payment</t>
  </si>
  <si>
    <t>MEWAHO 1018 - Cost payment</t>
  </si>
  <si>
    <t>MEWAHO 1019 - Cost payment</t>
  </si>
  <si>
    <t>MEWAHO 1020 - Cost payment</t>
  </si>
  <si>
    <t>MEWAHO 1021 - Cost payment</t>
  </si>
  <si>
    <t>MEWAHO 1022 - Cost payment</t>
  </si>
  <si>
    <t>FGV 0362 - Cost payment</t>
  </si>
  <si>
    <t>FGV 0363 - Cost payment</t>
  </si>
  <si>
    <t>MEWOIL 0909 - Cost payment</t>
  </si>
  <si>
    <t>MEWOIL 0910 - Cost payment</t>
  </si>
  <si>
    <t>MEWOIL 0911 - Cost payment</t>
  </si>
  <si>
    <t>MEWOIL 0912 - Cost payment</t>
  </si>
  <si>
    <t>MEWOIL 0913 - Cost payment</t>
  </si>
  <si>
    <t>MEWOIL 0914 - Cost payment</t>
  </si>
  <si>
    <t>MEWOIL 0915 - Cost payment</t>
  </si>
  <si>
    <t>MEWOIL 0916 - Cost payment</t>
  </si>
  <si>
    <t>MEWOIL 0917 - Cost payment</t>
  </si>
  <si>
    <t>MEWOIL 0918 - Cost payment</t>
  </si>
  <si>
    <t>MEWOIL 0920 - Cost payment</t>
  </si>
  <si>
    <t>MEWOIL 0919 - Cost payment</t>
  </si>
  <si>
    <t>PWN Excellence Sdn Bhd</t>
  </si>
  <si>
    <t>TF-i 3</t>
  </si>
  <si>
    <t>PWN Excellence TFi-3 - 34th Cost Payment</t>
  </si>
  <si>
    <t>Account 500943</t>
  </si>
  <si>
    <t>ZICO 0285 - Cost payment</t>
  </si>
  <si>
    <t>ZICO 0286 - Cost payment (Rollover)</t>
  </si>
  <si>
    <t>OPFi</t>
  </si>
  <si>
    <t>Whitex Garments OPFi - 46th Cost Payment</t>
  </si>
  <si>
    <t>Account 501049</t>
  </si>
  <si>
    <t>Joyeria TFi-1 RR - Contra Entry (RR)</t>
  </si>
  <si>
    <t>Account 501060</t>
  </si>
  <si>
    <t>TF-i 2</t>
  </si>
  <si>
    <t>Joyeria TFi-2 - Cost Payment 1st Disbursement</t>
  </si>
  <si>
    <t>Account 501061</t>
  </si>
  <si>
    <t>SMH Rail Sdn Bhd</t>
  </si>
  <si>
    <t>SMH 0006</t>
  </si>
  <si>
    <t>SMH Rail 6 - 43rd Cost Payment</t>
  </si>
  <si>
    <t>Account 501070</t>
  </si>
  <si>
    <t>PT Envirotech Akwa Indonesia</t>
  </si>
  <si>
    <t>PT Envirotech - 27th Cost Payment</t>
  </si>
  <si>
    <t>Account 501096</t>
  </si>
  <si>
    <t>Tiong Nam Logistics Solutions</t>
  </si>
  <si>
    <t>Tiong Nam TFi-1 - 16th Cost Payment</t>
  </si>
  <si>
    <t>Account 501097</t>
  </si>
  <si>
    <t>Biforst Logistic Sdn Bhd</t>
  </si>
  <si>
    <t>TFi - 1</t>
  </si>
  <si>
    <t>Biforst TFi-1 - 32nd Cost Payment</t>
  </si>
  <si>
    <t>Account 501106</t>
  </si>
  <si>
    <t>TFi - 2</t>
  </si>
  <si>
    <t>Biforst TFi-2 - 32nd Cost Payment</t>
  </si>
  <si>
    <t>Account 501107</t>
  </si>
  <si>
    <t>TFi - 3</t>
  </si>
  <si>
    <t>Biforst TFi-3 - 32nd Cost Payment</t>
  </si>
  <si>
    <t>Account 501108</t>
  </si>
  <si>
    <t>TFi - 5</t>
  </si>
  <si>
    <t>Biforst TFi-5 - 32nd Cost Payment</t>
  </si>
  <si>
    <t>Account 501109</t>
  </si>
  <si>
    <t>PTS Goldkist Industries Sdn Bhd</t>
  </si>
  <si>
    <t>PTSG 0102 - Cost payment</t>
  </si>
  <si>
    <t>Account 501110</t>
  </si>
  <si>
    <t>TF-i</t>
  </si>
  <si>
    <t>Bhavani Foods - 32nd Cost Payment</t>
  </si>
  <si>
    <t>Account 501114</t>
  </si>
  <si>
    <t>Asia Cargo Network Sdn Bhd</t>
  </si>
  <si>
    <t>Asia Cargo - Cost Payment</t>
  </si>
  <si>
    <t>Account 501116</t>
  </si>
  <si>
    <t>Radysis Asia Sdn Bhd</t>
  </si>
  <si>
    <t>Radysis TFi - 32nd Cost Payment</t>
  </si>
  <si>
    <t>Account 501118</t>
  </si>
  <si>
    <t>WB 0020 - Cost payment</t>
  </si>
  <si>
    <t>SKA 0032 - Cost payment</t>
  </si>
  <si>
    <t>SKA 0033 - Cost payment</t>
  </si>
  <si>
    <t>Siti Khadijah - 24th Cost Payment</t>
  </si>
  <si>
    <t>Account 501127</t>
  </si>
  <si>
    <t>AMCC 0135 - Cost payment</t>
  </si>
  <si>
    <t>AMCC 0144 - Cost payment</t>
  </si>
  <si>
    <t>AMCC 0152 - Cost payment</t>
  </si>
  <si>
    <t>AMCC 0142 - Cost payment</t>
  </si>
  <si>
    <t>AMCC 0150 - Cost payment</t>
  </si>
  <si>
    <t>AMCC 0149 - Cost payment</t>
  </si>
  <si>
    <t>AMCC 0157 - Cost payment</t>
  </si>
  <si>
    <t>AMCC 0156 - Cost payment</t>
  </si>
  <si>
    <t>AMCC 0160 - Cost payment</t>
  </si>
  <si>
    <t>AMCC 0161 - Cost payment</t>
  </si>
  <si>
    <t>AMCC 0159 - Cost payment</t>
  </si>
  <si>
    <t>AMCC 0158 - Cost payment</t>
  </si>
  <si>
    <t>AMCC 0155 - Cost payment</t>
  </si>
  <si>
    <t>AMCC 0153 - Cost payment</t>
  </si>
  <si>
    <t>AMCC 0138 - Cost payment</t>
  </si>
  <si>
    <t>AMCC 0154 - Cost payment</t>
  </si>
  <si>
    <t>AMCC 0139 - Cost payment</t>
  </si>
  <si>
    <t>AMCC 0146 - Cost payment</t>
  </si>
  <si>
    <t>AMCC 0141 - Cost payment</t>
  </si>
  <si>
    <t>Helms Geomarine Sdn Bhd</t>
  </si>
  <si>
    <t>TFi</t>
  </si>
  <si>
    <t>24.07.2026</t>
  </si>
  <si>
    <t>Helms Geomarine - 23rd Cost Payment</t>
  </si>
  <si>
    <t>Account 501130</t>
  </si>
  <si>
    <t>BFSB 0102 - Cost payment</t>
  </si>
  <si>
    <t>BFSB 0101 - Cost payment</t>
  </si>
  <si>
    <t>BFSB 0103 - Cost payment</t>
  </si>
  <si>
    <t>BFSB 0105 - Cost payment</t>
  </si>
  <si>
    <t>BFSB 0104 - Cost payment</t>
  </si>
  <si>
    <t>BFSB 0119 - Cost payment</t>
  </si>
  <si>
    <t>BFSB 0108 - Cost payment</t>
  </si>
  <si>
    <t>IIM 0106 - Cost payment</t>
  </si>
  <si>
    <t>IIM 0108 - Cost payment</t>
  </si>
  <si>
    <t>IIM 0112 - Cost payment</t>
  </si>
  <si>
    <t>IIM 0109 - Cost payment</t>
  </si>
  <si>
    <t>IIM 0116 - Cost payment</t>
  </si>
  <si>
    <t>IIM 0114 - Cost payment</t>
  </si>
  <si>
    <t>IIM 0113 - Cost payment</t>
  </si>
  <si>
    <t>IIM 0110 - Cost payment</t>
  </si>
  <si>
    <t>IIM 0115 - Cost payment</t>
  </si>
  <si>
    <t>UB 0021 - Cost payment</t>
  </si>
  <si>
    <t>UB 0020 - Cost payment</t>
  </si>
  <si>
    <t>IMR 0045 - Cost payment</t>
  </si>
  <si>
    <t>IMR 0044 - Cost payment</t>
  </si>
  <si>
    <t>IMR 0046 - Cost payment</t>
  </si>
  <si>
    <t>Glide Technology Sdn Bhd</t>
  </si>
  <si>
    <t>Glide TFi - 26th Cost Payment</t>
  </si>
  <si>
    <t>Account 501141</t>
  </si>
  <si>
    <t>CES 0062 - Cost payment (Extension: CES 0085)</t>
  </si>
  <si>
    <t>CES 0065 - Cost payment (Extension: CES 0086)</t>
  </si>
  <si>
    <t>CES 0064 - Cost payment (Extension: CES 0087)</t>
  </si>
  <si>
    <t>CES 0066 - Cost payment (Extension: CES 0088)</t>
  </si>
  <si>
    <t>Kian Joo Cans Distribution Sdn Bhd</t>
  </si>
  <si>
    <t>Kian Joo Cans - 14th Cost Payment</t>
  </si>
  <si>
    <t>Account 501146</t>
  </si>
  <si>
    <t>GC 0126 - Cost payment</t>
  </si>
  <si>
    <t>GC 0132 - Cost payment</t>
  </si>
  <si>
    <t>GC 0131 - Cost payment</t>
  </si>
  <si>
    <t>GC 0130 - Cost payment</t>
  </si>
  <si>
    <t>GC 0129 - Cost payment</t>
  </si>
  <si>
    <t>GC 0128 - Cost payment</t>
  </si>
  <si>
    <t>GC 0127 - Cost payment</t>
  </si>
  <si>
    <t>GT 0026 - Cost payment</t>
  </si>
  <si>
    <t>GT 0024 - Cost payment</t>
  </si>
  <si>
    <t>GT 0025 - Cost payment</t>
  </si>
  <si>
    <t>Account 501149</t>
  </si>
  <si>
    <t>Sky Blue Media Sdn Bhd</t>
  </si>
  <si>
    <t>Sky Blue Media - Cost Payment</t>
  </si>
  <si>
    <t>Account 501155</t>
  </si>
  <si>
    <t>WGSB2 0100 - Cost payment</t>
  </si>
  <si>
    <t>WGSB2 0099 - Cost payment</t>
  </si>
  <si>
    <t>WGSB2 0104 - Cost payment</t>
  </si>
  <si>
    <t>WGSB2 0101 - Cost payment</t>
  </si>
  <si>
    <t>WGSB2 0102 - Cost payment</t>
  </si>
  <si>
    <t>Tabco Food Services</t>
  </si>
  <si>
    <t>AUD</t>
  </si>
  <si>
    <t>Tabco Food TFi - 21st Cost Payment</t>
  </si>
  <si>
    <t>Account 501158</t>
  </si>
  <si>
    <t>WGSB3 0020 - Cost payment</t>
  </si>
  <si>
    <t>Pertama Ferroalloys Sdn. Bhd.</t>
  </si>
  <si>
    <t>TR-i</t>
  </si>
  <si>
    <t>PFA2 0038- Cost payment</t>
  </si>
  <si>
    <t>PFA2 0039- Cost payment</t>
  </si>
  <si>
    <t>Account 501168</t>
  </si>
  <si>
    <t>Purebleach Sdn Bhd</t>
  </si>
  <si>
    <t>Purebleach - 22nd Cost Payment</t>
  </si>
  <si>
    <t>Account 501170</t>
  </si>
  <si>
    <t>Agro 19 Industries Sdn Bhd</t>
  </si>
  <si>
    <t>TF-i (Tranche 1)</t>
  </si>
  <si>
    <t>Agro 19 TFi - 23rd Cost Payment</t>
  </si>
  <si>
    <t>Account 501173</t>
  </si>
  <si>
    <t>MKRS Bumi (M) Sdn Bhd</t>
  </si>
  <si>
    <t>MKRS Bumi - 11th Cost Payment</t>
  </si>
  <si>
    <t>Account 501174</t>
  </si>
  <si>
    <t>Marine Creation Sdn Bhd</t>
  </si>
  <si>
    <t>Marine Creation TFi-1 - Cost Payment</t>
  </si>
  <si>
    <t>Account 501176</t>
  </si>
  <si>
    <t>Hyrax Oil Sdn Bhd</t>
  </si>
  <si>
    <t>OPF-i</t>
  </si>
  <si>
    <t>Hyrax Oil OPFi - 23rd Cost Payment</t>
  </si>
  <si>
    <t>Account 501178</t>
  </si>
  <si>
    <t>Hyrax Oil TFi - 23rd Cost Payment</t>
  </si>
  <si>
    <t>Account 501179</t>
  </si>
  <si>
    <t>Aemulus Corporation Sdn Bhd</t>
  </si>
  <si>
    <t>Aemulus - 20th Cost Payment</t>
  </si>
  <si>
    <t>Account 501180</t>
  </si>
  <si>
    <t>FE 0120 - Cost payment</t>
  </si>
  <si>
    <t>FE 0106 - Cost payment</t>
  </si>
  <si>
    <t>FE 0117 - Cost payment</t>
  </si>
  <si>
    <t>FE 0107 - Cost payment</t>
  </si>
  <si>
    <t>FE 0119 - Cost payment</t>
  </si>
  <si>
    <t>Thai Aroi - 16th Cost Payment</t>
  </si>
  <si>
    <t>Account 501182</t>
  </si>
  <si>
    <t>Sage Promaster TFi - 13th Cost Payment</t>
  </si>
  <si>
    <t>Account 501185</t>
  </si>
  <si>
    <t>Marine Creation TFi-2 - Cost Payment</t>
  </si>
  <si>
    <t>Account 501186</t>
  </si>
  <si>
    <t>Marine Creation TFi-3 - Cost Payment</t>
  </si>
  <si>
    <t>Account 501187</t>
  </si>
  <si>
    <t>Ocean21 Offshore Sdn Bhd</t>
  </si>
  <si>
    <t>TFi-1</t>
  </si>
  <si>
    <t>Ocean21 - 21st Cost Payment</t>
  </si>
  <si>
    <t>Account 501188</t>
  </si>
  <si>
    <t>Global Tower Corporation Pty Ltd</t>
  </si>
  <si>
    <t xml:space="preserve"> OPFi - 1</t>
  </si>
  <si>
    <t>Global Tower OPFi-1 - 3rd Cost Payment</t>
  </si>
  <si>
    <t>Account 501190</t>
  </si>
  <si>
    <t>Ignis Environment TFi-1 - 9th Cost Payment</t>
  </si>
  <si>
    <t>Ignis Environment TFi-2 - 9th Cost Payment</t>
  </si>
  <si>
    <t>Account 501192</t>
  </si>
  <si>
    <t>HY-Fresh Industries Sdn Bhd</t>
  </si>
  <si>
    <t>HYFI 0235 - Cost payment</t>
  </si>
  <si>
    <t>HYFI 0234 - Cost payment</t>
  </si>
  <si>
    <t>HYFI 0236 - Cost payment</t>
  </si>
  <si>
    <t>Account 501194</t>
  </si>
  <si>
    <t>IMR2 0069 - Cost payment</t>
  </si>
  <si>
    <t>YH Polymer Sdn Bhd</t>
  </si>
  <si>
    <t>29.08.2026</t>
  </si>
  <si>
    <t>YH Polymer TFi - 19th Cost Payment</t>
  </si>
  <si>
    <t>Account 501198</t>
  </si>
  <si>
    <t>MAS2 0026 - Cost payment</t>
  </si>
  <si>
    <t>MAS2 0044 - Cost payment</t>
  </si>
  <si>
    <t>MAS2 0054 - Cost payment</t>
  </si>
  <si>
    <t>MAS2 0062 - Cost payment</t>
  </si>
  <si>
    <t>MAS2 0058 - Cost payment</t>
  </si>
  <si>
    <t>MAS2 0047 - Cost payment</t>
  </si>
  <si>
    <t>MAS2 0059 - Cost payment</t>
  </si>
  <si>
    <t>MAS2 0035 - Cost payment</t>
  </si>
  <si>
    <t>MAS2 0029 - Cost payment</t>
  </si>
  <si>
    <t>MAS2 0056 - Cost payment</t>
  </si>
  <si>
    <t>MAS2 0046 - Cost payment</t>
  </si>
  <si>
    <t>MAS2 0045 - Cost payment</t>
  </si>
  <si>
    <t>MAS2 0036 - Cost payment</t>
  </si>
  <si>
    <t>MAS2 0033 - Cost payment</t>
  </si>
  <si>
    <t>MAS2 0032 - Cost payment</t>
  </si>
  <si>
    <t>MAS2 0030 - Cost payment</t>
  </si>
  <si>
    <t>MAS2 0057 - Cost payment</t>
  </si>
  <si>
    <t>MAS2 0039 - Cost payment</t>
  </si>
  <si>
    <t>MAS2 0031 - Cost payment</t>
  </si>
  <si>
    <t>MAS2 0055 - Cost payment</t>
  </si>
  <si>
    <t>MAS2 0048 - Cost payment</t>
  </si>
  <si>
    <t>MAS2 0042 - Cost payment</t>
  </si>
  <si>
    <t>MAS2 0027 - Cost payment</t>
  </si>
  <si>
    <t>MAS2 0025 - Cost payment</t>
  </si>
  <si>
    <t>MAS2 0053 - Cost payment</t>
  </si>
  <si>
    <t>MAS2 0043 - Cost payment</t>
  </si>
  <si>
    <t>MAS2 0034 - Cost payment</t>
  </si>
  <si>
    <t>Rizman Ruzaini Creations (M)</t>
  </si>
  <si>
    <t>Rizman TFi-3 - 14th Cost Payment</t>
  </si>
  <si>
    <t>Account 501203</t>
  </si>
  <si>
    <t>TF-i 4</t>
  </si>
  <si>
    <t>Marine Creation TFi-4 - Cost Payment</t>
  </si>
  <si>
    <t>Account 501204</t>
  </si>
  <si>
    <t>TF-i 5</t>
  </si>
  <si>
    <t>Marine Creation TFi-5 - Cost Payment</t>
  </si>
  <si>
    <t>Marine Creation T5 - Cost Payment</t>
  </si>
  <si>
    <t>Account 501205</t>
  </si>
  <si>
    <t>Hextar Global Berhad</t>
  </si>
  <si>
    <t>Hextar Global - 20th Cost Payment</t>
  </si>
  <si>
    <t>Account 501210</t>
  </si>
  <si>
    <t>Master Suppliers Sdn Bhd</t>
  </si>
  <si>
    <t>MS 0051 - Cost payment</t>
  </si>
  <si>
    <t>MS 0052 - Cost payment</t>
  </si>
  <si>
    <t>MS 0053 - Cost payment</t>
  </si>
  <si>
    <t>Account 501211</t>
  </si>
  <si>
    <t>JFC Food Industries Sdn Bhd</t>
  </si>
  <si>
    <t>JFC Food - 10th Cost Payment</t>
  </si>
  <si>
    <t>Account 501215</t>
  </si>
  <si>
    <t>Duta Marine TFi - 6th Cost Payment</t>
  </si>
  <si>
    <t>Account 501219</t>
  </si>
  <si>
    <t>MW 0050 - Cost payment</t>
  </si>
  <si>
    <t>MW 0048 - Cost payment</t>
  </si>
  <si>
    <t>MW 0049 - Cost payment</t>
  </si>
  <si>
    <t>MW 0051 - Cost payment</t>
  </si>
  <si>
    <t>Duta Marine RCi - Cost Payment (9th Disb)</t>
  </si>
  <si>
    <t>Confast TFi - 15th Cost Payment</t>
  </si>
  <si>
    <t>Account 501233</t>
  </si>
  <si>
    <t>Confast RCi - 8th Cost (Rollover)</t>
  </si>
  <si>
    <t>ESC 0009 - Cost payment</t>
  </si>
  <si>
    <t>ESC 0010 - Cost payment</t>
  </si>
  <si>
    <t>OMS 0049 - Cost payment</t>
  </si>
  <si>
    <t>OMS 0050 - Cost payment</t>
  </si>
  <si>
    <t>OMS 0048 - Cost payment</t>
  </si>
  <si>
    <t>Marrybrown Australia Pty Ltd</t>
  </si>
  <si>
    <t>Marrybrown Aus TFi-1 - 14th Cost Payment</t>
  </si>
  <si>
    <t>Account 501248</t>
  </si>
  <si>
    <t>TFi-2</t>
  </si>
  <si>
    <t>Marrybrown TFi-2 - 14th Cost Payment</t>
  </si>
  <si>
    <t>Account 501249</t>
  </si>
  <si>
    <t>TFi-3 - SUB1</t>
  </si>
  <si>
    <t>Marrybrown TFi-3 (S1) - 12th Cost Payment</t>
  </si>
  <si>
    <t>Account 501250</t>
  </si>
  <si>
    <t>Marrybrown Deer Park Pty Ltd</t>
  </si>
  <si>
    <t>Marrybrown Deer - 14th Cost Payment</t>
  </si>
  <si>
    <t>Account 501251</t>
  </si>
  <si>
    <t>MB Burwood Pty Ltd</t>
  </si>
  <si>
    <t>MB Burwood - 14th Cost Payment</t>
  </si>
  <si>
    <t>Account 501252</t>
  </si>
  <si>
    <t>MB Melbourne Central Pty Ltd</t>
  </si>
  <si>
    <t>MB Melbourne - 14th Cost Payment</t>
  </si>
  <si>
    <t>Account 501253</t>
  </si>
  <si>
    <t>Fuciphagus Agritech Sdn Bhd</t>
  </si>
  <si>
    <t>Fuciphagus - Cost Payment</t>
  </si>
  <si>
    <t>Account 501256</t>
  </si>
  <si>
    <t>Tiong Nam TFi-3 - 3rd Cost Payment</t>
  </si>
  <si>
    <t>Account 501258</t>
  </si>
  <si>
    <t>15.08.2026</t>
  </si>
  <si>
    <t>Whitex TFi - 7th Cost Payment</t>
  </si>
  <si>
    <t>Account 501260</t>
  </si>
  <si>
    <t>FR 0008 - Cost payment</t>
  </si>
  <si>
    <t>FR 0009 - Cost payment</t>
  </si>
  <si>
    <t>SKS Claremont Pty Ltd</t>
  </si>
  <si>
    <t>SKS Claremont TFi-1 - 13th Cost Payment</t>
  </si>
  <si>
    <t>Account 501262</t>
  </si>
  <si>
    <t>TFi-3 - SUB2</t>
  </si>
  <si>
    <t>Marrybrown TFi-3 (S2) - 12th Cost Payment</t>
  </si>
  <si>
    <t>Account 501271</t>
  </si>
  <si>
    <t>TFi-3 - SUB3</t>
  </si>
  <si>
    <t>Marrybrown TFi-3 (S3) - 12th Cost Payment</t>
  </si>
  <si>
    <t>Account 501272</t>
  </si>
  <si>
    <t>TFi-3 - SUB4</t>
  </si>
  <si>
    <t>Marrybrown TFi-3 (S4) - 12th Cost Payment</t>
  </si>
  <si>
    <t>Account 501273</t>
  </si>
  <si>
    <t>TFi-3 - SUB5</t>
  </si>
  <si>
    <t>Marrybrown TFi-3 (S5) - 12th Cost Payment</t>
  </si>
  <si>
    <t>Account 501274</t>
  </si>
  <si>
    <t>KEV2 0047 - Cost payment</t>
  </si>
  <si>
    <t>KEV2 0048 - Cost payment</t>
  </si>
  <si>
    <t>KEV2 0050 - Cost payment</t>
  </si>
  <si>
    <t>KEV2 0049 - Cost payment</t>
  </si>
  <si>
    <t>KEV2 0054 - Cost payment</t>
  </si>
  <si>
    <t>KEV2 0053 - Cost payment</t>
  </si>
  <si>
    <t>KEV2 0052 - Cost payment</t>
  </si>
  <si>
    <t>KEV2 0051 - Cost payment</t>
  </si>
  <si>
    <t>KEV2 0055 - Cost payment</t>
  </si>
  <si>
    <t>KEV2 0056 - Cost payment</t>
  </si>
  <si>
    <t>KEV2 0057 - Cost payment</t>
  </si>
  <si>
    <t>KEV2 0061 - Cost payment</t>
  </si>
  <si>
    <t>KEV2 0060 - Cost payment</t>
  </si>
  <si>
    <t>KEV2 0059 - Cost payment</t>
  </si>
  <si>
    <t>KEV2 0058 - Cost payment</t>
  </si>
  <si>
    <t>KEV2 0062 - Cost payment</t>
  </si>
  <si>
    <t>KEV2 0063 - Cost payment</t>
  </si>
  <si>
    <t>KEV2 0064 - Cost payment</t>
  </si>
  <si>
    <t>KEV2 0065 - Cost payment</t>
  </si>
  <si>
    <t>KEV2 0066 - Cost payment</t>
  </si>
  <si>
    <t>KEV2 0067 - Cost payment</t>
  </si>
  <si>
    <t>ACE 0029 - Cost payment</t>
  </si>
  <si>
    <t>ACE 0031 - Cost payment</t>
  </si>
  <si>
    <t>ACE 0030 - Cost payment</t>
  </si>
  <si>
    <t>ACE 0032 - Cost payment</t>
  </si>
  <si>
    <t>MHC2 0015 - Cost payment</t>
  </si>
  <si>
    <t>MHC2 0017 - Cost payment</t>
  </si>
  <si>
    <t>MHC2 0016 - Cost payment</t>
  </si>
  <si>
    <t>MHC2 0018 - Cost payment</t>
  </si>
  <si>
    <t>TF-i (Tranche 2)</t>
  </si>
  <si>
    <t>17.07.2026</t>
  </si>
  <si>
    <t>Agro 19 TFi (T2) - 11th Cost Payment</t>
  </si>
  <si>
    <t>Account 501288</t>
  </si>
  <si>
    <t>AGRO3 0029 - Cost payment</t>
  </si>
  <si>
    <t>AGRO3 0030 - Cost payment</t>
  </si>
  <si>
    <t>AGRO3 0031 - Cost payment</t>
  </si>
  <si>
    <t>AGRO3 0032 - Cost payment</t>
  </si>
  <si>
    <t>AGRO3 0033 - Cost payment</t>
  </si>
  <si>
    <t>AGRO3 0034 - Cost payment</t>
  </si>
  <si>
    <t>AGRO3 0035 - Cost payment</t>
  </si>
  <si>
    <t>AGRO3 0036 - Cost payment</t>
  </si>
  <si>
    <t>AGRO3 0037 - Cost payment</t>
  </si>
  <si>
    <t>AGRO3 0038 - Cost payment</t>
  </si>
  <si>
    <t>AGRO3 0039 - Cost payment</t>
  </si>
  <si>
    <t>AGRO3 0040 - Cost payment</t>
  </si>
  <si>
    <t>AGRO3 0041 - Cost payment</t>
  </si>
  <si>
    <t>CCO 0009 - Cost payment</t>
  </si>
  <si>
    <t>CCO 0010 - Cost payment</t>
  </si>
  <si>
    <t>CCO 0011 - Cost payment</t>
  </si>
  <si>
    <t>SKS Claremont TFi-2 - 10th Cost Payment</t>
  </si>
  <si>
    <t>Account 501299</t>
  </si>
  <si>
    <t>YH POLYMER SDN. BHD</t>
  </si>
  <si>
    <t>YH Polymer TFi-1 - 9th Cost Payment</t>
  </si>
  <si>
    <t>Account 501307</t>
  </si>
  <si>
    <t>MAS1 0014 - Cost payment</t>
  </si>
  <si>
    <t>KPM 0028 - Cost payment</t>
  </si>
  <si>
    <t>KPM 0022 - Cost payment</t>
  </si>
  <si>
    <t>KPM 0024 - Cost payment</t>
  </si>
  <si>
    <t>KPM 0025 - Cost payment</t>
  </si>
  <si>
    <t>KPM 0027 - Cost payment</t>
  </si>
  <si>
    <t>KPM 0030 - Cost payment</t>
  </si>
  <si>
    <t>KPM 0033 - Cost payment</t>
  </si>
  <si>
    <t>KPM 0034 - Cost payment</t>
  </si>
  <si>
    <t>KPM 0031 - Cost payment</t>
  </si>
  <si>
    <t>KPM 0032 - Cost payment</t>
  </si>
  <si>
    <t>KPM 0035 - Cost payment</t>
  </si>
  <si>
    <t>KPM 0036 - Cost payment</t>
  </si>
  <si>
    <t>KPM 0037 - Cost payment</t>
  </si>
  <si>
    <t>KPM 0038 - Cost payment</t>
  </si>
  <si>
    <t>KPM 0039 - Cost payment</t>
  </si>
  <si>
    <t>KPM2 0001 - Cost payment</t>
  </si>
  <si>
    <t>KPM2 0005 - Cost payment</t>
  </si>
  <si>
    <t>KPM2 0006 - Cost payment</t>
  </si>
  <si>
    <t>KPM2 0002 - Cost payment</t>
  </si>
  <si>
    <t>KPM2 0003 - Cost payment</t>
  </si>
  <si>
    <t>KPM2 0004 - Cost payment</t>
  </si>
  <si>
    <t>KPM2 0007 - Cost payment</t>
  </si>
  <si>
    <t>KPM2 0008 - Cost payment</t>
  </si>
  <si>
    <t>KPM2 0009 - Cost payment</t>
  </si>
  <si>
    <t>KPM2 0010 - Cost payment</t>
  </si>
  <si>
    <t>KPM2 0011 - Cost payment</t>
  </si>
  <si>
    <t>KPM2 0012 - Cost payment</t>
  </si>
  <si>
    <t>KPM2 0013 - Cost payment</t>
  </si>
  <si>
    <t>KPM2 0014 - Cost payment</t>
  </si>
  <si>
    <t>KPM2 0015 - Cost payment</t>
  </si>
  <si>
    <t>KPM2 0016 - Cost payment</t>
  </si>
  <si>
    <t>KPM2 0017 - Cost payment</t>
  </si>
  <si>
    <t>KPM2 0018 - Cost payment</t>
  </si>
  <si>
    <t>KPM2 0019 - Cost payment</t>
  </si>
  <si>
    <t>KPM2 0020 - Cost payment</t>
  </si>
  <si>
    <t>KPM2 0021 - Cost payment</t>
  </si>
  <si>
    <t>KPM2 0022 - Cost payment</t>
  </si>
  <si>
    <t>KPM2 0023 - Cost payment</t>
  </si>
  <si>
    <t>KPM2 0024 - Cost payment</t>
  </si>
  <si>
    <t>KPM2 0025 - Cost payment</t>
  </si>
  <si>
    <t>KPM2 0028 - Cost payment</t>
  </si>
  <si>
    <t>GC2 0001 - Cost payment</t>
  </si>
  <si>
    <t>GC2 0002 - Cost payment</t>
  </si>
  <si>
    <t>GC2 0003 - Cost payment</t>
  </si>
  <si>
    <t>GC2 0004 - Cost payment</t>
  </si>
  <si>
    <t>VA 0012 - Cost payment</t>
  </si>
  <si>
    <t>VA 0013 - Cost payment</t>
  </si>
  <si>
    <t>VA 0014 - Cost payment</t>
  </si>
  <si>
    <t>Kennwu Manufacturing (M) Sdn. Bhd</t>
  </si>
  <si>
    <t>Kennwu - 4th Cost Payment</t>
  </si>
  <si>
    <t>Account 501336</t>
  </si>
  <si>
    <t>YBS International RCi - Cost Payment (2nd Disb)</t>
  </si>
  <si>
    <t>VA2 0001 - Cost payment</t>
  </si>
  <si>
    <t>VA2 0003 - Cost payment</t>
  </si>
  <si>
    <t>VA2 0002 - Cost payment</t>
  </si>
  <si>
    <t>VA2 0004 - Cost payment</t>
  </si>
  <si>
    <t>Hasilwan - Cost Payment</t>
  </si>
  <si>
    <t>Evergreen Fibreboard Berhad</t>
  </si>
  <si>
    <t>EFB2 0004 - Cost payment</t>
  </si>
  <si>
    <t>EFB2 0003 - Cost payment</t>
  </si>
  <si>
    <t>EFB2 0005 - Cost payment</t>
  </si>
  <si>
    <t>Account 501347</t>
  </si>
  <si>
    <t>List does not contain any data</t>
  </si>
  <si>
    <t>EXIM</t>
  </si>
  <si>
    <t>Ministry of Finance Laos</t>
  </si>
  <si>
    <t>MOF Lao - 23rd Principal Repayment</t>
  </si>
  <si>
    <t>Account 500937</t>
  </si>
  <si>
    <t>Seri Erlang (Singapore) Pte Ltd</t>
  </si>
  <si>
    <t>Seri Erlang - 14th Principal Repayment</t>
  </si>
  <si>
    <t>Account 501072</t>
  </si>
  <si>
    <t>Seri Everest (Singapore) Pte Ltd</t>
  </si>
  <si>
    <t>Seri Everest - 14th Principal Repayment</t>
  </si>
  <si>
    <t>Account 501073</t>
  </si>
  <si>
    <t>MIR VALVE SDN BHD</t>
  </si>
  <si>
    <t>TL</t>
  </si>
  <si>
    <t>MIR Valve - Principal Repayment</t>
  </si>
  <si>
    <t>Account 501308</t>
  </si>
  <si>
    <t>Disbursement &amp; Repayment Jul 2026</t>
  </si>
  <si>
    <t>Disbursement Islamic</t>
  </si>
  <si>
    <t>Repayment Islamic</t>
  </si>
  <si>
    <t>Disbursement Conventional</t>
  </si>
  <si>
    <t>Repayment Conventional</t>
  </si>
  <si>
    <t>Total Disbursement June 2026</t>
  </si>
  <si>
    <t>Total Repayment June 2026</t>
  </si>
  <si>
    <t>Disbursement &amp; Repayment Jun 2026</t>
  </si>
  <si>
    <t>DISBURSEMENT &amp; REPAYMENT - MAY 2026</t>
  </si>
  <si>
    <t>DISBURSEMENT ISLAMIC</t>
  </si>
  <si>
    <t>REPAYMENT ISLAMIC</t>
  </si>
  <si>
    <t>DISBURSEMENT CONVENTIONAL</t>
  </si>
  <si>
    <t>REPAYMENT CONVENTIONAL</t>
  </si>
  <si>
    <t>TOTAL DISBURSEMENT</t>
  </si>
  <si>
    <t>TOTAL REPAYMENT</t>
  </si>
  <si>
    <t>DISBURSEMENT &amp; REPAYMENT - APRIL 2026</t>
  </si>
  <si>
    <t>-</t>
  </si>
  <si>
    <t>DISBURSEMENT &amp; REPAYMENT - MARCH 2026</t>
  </si>
  <si>
    <t>DISBURSEMENT &amp; REPAYMENT - FEBRUARY 2026</t>
  </si>
  <si>
    <t>DISBURSEMENT &amp; REPAYMENT - JANUARY 2026</t>
  </si>
  <si>
    <t>Disbursement &amp; Repayment Aug 2026</t>
  </si>
  <si>
    <t>Total Disbursement July 2026</t>
  </si>
  <si>
    <t>Total Repayment July 2026</t>
  </si>
  <si>
    <t>Total Disbursement August 2026</t>
  </si>
  <si>
    <t>Total Repayment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</si>
</sst>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72"/>
      <family val="2"/>
    </font>
    <font>
      <b/>
      <sz val="9"/>
      <color theme="1"/>
      <name val="72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0" xfId="0" applyFont="1" applyFill="1"/>
    <xf numFmtId="4" fontId="18" fillId="34" borderId="0" xfId="0" applyNumberFormat="1" applyFont="1" applyFill="1"/>
    <xf numFmtId="0" fontId="19" fillId="33" borderId="0" xfId="0" applyFont="1" applyFill="1"/>
    <xf numFmtId="4" fontId="19" fillId="33" borderId="0" xfId="0" applyNumberFormat="1" applyFont="1" applyFill="1"/>
    <xf numFmtId="0" fontId="19" fillId="34" borderId="0" xfId="0" applyFont="1" applyFill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F83-8574-4E6C-9D47-A7625F041F6C}">
  <dimension ref="A2:Q1147"/>
  <sheetViews>
    <sheetView workbookViewId="0"/>
  </sheetViews>
  <sheetFormatPr defaultRowHeight="11.4" x14ac:dyDescent="0.2"/>
  <cols>
    <col min="1" max="4" width="8.88671875" style="1"/>
    <col min="5" max="5" width="12.109375" style="1" bestFit="1" customWidth="1"/>
    <col min="6" max="6" width="9" style="1" bestFit="1" customWidth="1"/>
    <col min="7" max="10" width="8.88671875" style="1"/>
    <col min="11" max="11" width="15.109375" style="1" bestFit="1" customWidth="1"/>
    <col min="12" max="13" width="8.88671875" style="1"/>
    <col min="14" max="14" width="15.109375" style="1" bestFit="1" customWidth="1"/>
    <col min="15" max="16" width="8.88671875" style="1"/>
    <col min="17" max="17" width="9" style="1" bestFit="1" customWidth="1"/>
    <col min="18" max="16384" width="8.88671875" style="1"/>
  </cols>
  <sheetData>
    <row r="2" spans="1:17" x14ac:dyDescent="0.2">
      <c r="A2" s="1" t="s">
        <v>0</v>
      </c>
      <c r="F2" s="1">
        <v>500605</v>
      </c>
    </row>
    <row r="3" spans="1:17" x14ac:dyDescent="0.2">
      <c r="A3" s="1" t="s">
        <v>1</v>
      </c>
      <c r="F3" s="1" t="s">
        <v>2</v>
      </c>
    </row>
    <row r="5" spans="1:17" x14ac:dyDescent="0.2">
      <c r="A5" s="1" t="s">
        <v>3</v>
      </c>
      <c r="F5" s="1" t="s">
        <v>4</v>
      </c>
    </row>
    <row r="6" spans="1:17" x14ac:dyDescent="0.2">
      <c r="A6" s="1" t="s">
        <v>5</v>
      </c>
      <c r="F6" s="1" t="s">
        <v>6</v>
      </c>
    </row>
    <row r="9" spans="1:17" x14ac:dyDescent="0.2">
      <c r="C9" s="1" t="s">
        <v>7</v>
      </c>
      <c r="D9" s="1" t="s">
        <v>8</v>
      </c>
      <c r="E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</row>
    <row r="11" spans="1:17" x14ac:dyDescent="0.2">
      <c r="D11" s="1" t="s">
        <v>21</v>
      </c>
      <c r="E11" s="1">
        <v>103526976</v>
      </c>
      <c r="G11" s="1" t="s">
        <v>22</v>
      </c>
      <c r="I11" s="1" t="s">
        <v>22</v>
      </c>
      <c r="K11" s="2">
        <v>1785145</v>
      </c>
      <c r="L11" s="1" t="s">
        <v>23</v>
      </c>
      <c r="N11" s="2">
        <v>437000</v>
      </c>
      <c r="O11" s="1" t="s">
        <v>24</v>
      </c>
      <c r="P11" s="1" t="s">
        <v>25</v>
      </c>
      <c r="Q11" s="1">
        <v>4.085</v>
      </c>
    </row>
    <row r="12" spans="1:17" x14ac:dyDescent="0.2">
      <c r="D12" s="1" t="s">
        <v>21</v>
      </c>
      <c r="E12" s="1">
        <v>103526983</v>
      </c>
      <c r="G12" s="1" t="s">
        <v>26</v>
      </c>
      <c r="I12" s="1" t="s">
        <v>26</v>
      </c>
      <c r="K12" s="2">
        <v>1937712</v>
      </c>
      <c r="L12" s="1" t="s">
        <v>23</v>
      </c>
      <c r="N12" s="2">
        <v>474000</v>
      </c>
      <c r="O12" s="1" t="s">
        <v>24</v>
      </c>
      <c r="P12" s="1" t="s">
        <v>27</v>
      </c>
      <c r="Q12" s="1">
        <v>4.0880000000000001</v>
      </c>
    </row>
    <row r="13" spans="1:17" x14ac:dyDescent="0.2">
      <c r="D13" s="1" t="s">
        <v>21</v>
      </c>
      <c r="E13" s="1">
        <v>103527209</v>
      </c>
      <c r="G13" s="1" t="s">
        <v>28</v>
      </c>
      <c r="I13" s="1" t="s">
        <v>28</v>
      </c>
      <c r="K13" s="2">
        <v>1923040</v>
      </c>
      <c r="L13" s="1" t="s">
        <v>23</v>
      </c>
      <c r="N13" s="2">
        <v>476000</v>
      </c>
      <c r="O13" s="1" t="s">
        <v>24</v>
      </c>
      <c r="P13" s="1" t="s">
        <v>29</v>
      </c>
      <c r="Q13" s="1">
        <v>4.04</v>
      </c>
    </row>
    <row r="14" spans="1:17" x14ac:dyDescent="0.2">
      <c r="D14" s="1" t="s">
        <v>21</v>
      </c>
      <c r="E14" s="1">
        <v>103527430</v>
      </c>
      <c r="G14" s="1" t="s">
        <v>30</v>
      </c>
      <c r="I14" s="1" t="s">
        <v>30</v>
      </c>
      <c r="K14" s="2">
        <v>1665522</v>
      </c>
      <c r="L14" s="1" t="s">
        <v>23</v>
      </c>
      <c r="N14" s="2">
        <v>414000</v>
      </c>
      <c r="O14" s="1" t="s">
        <v>24</v>
      </c>
      <c r="P14" s="1" t="s">
        <v>31</v>
      </c>
      <c r="Q14" s="1">
        <v>4.0229999999999997</v>
      </c>
    </row>
    <row r="16" spans="1:17" x14ac:dyDescent="0.2">
      <c r="B16" s="1" t="s">
        <v>32</v>
      </c>
      <c r="K16" s="2">
        <v>7311419</v>
      </c>
      <c r="L16" s="1" t="s">
        <v>23</v>
      </c>
      <c r="N16" s="2">
        <v>1801000</v>
      </c>
      <c r="O16" s="1" t="s">
        <v>24</v>
      </c>
    </row>
    <row r="18" spans="1:17" x14ac:dyDescent="0.2">
      <c r="A18" s="3"/>
      <c r="B18" s="3" t="s">
        <v>33</v>
      </c>
      <c r="C18" s="3" t="s">
        <v>34</v>
      </c>
      <c r="D18" s="3"/>
      <c r="E18" s="3"/>
      <c r="F18" s="3"/>
      <c r="G18" s="3"/>
      <c r="H18" s="3"/>
      <c r="I18" s="3"/>
      <c r="J18" s="3"/>
      <c r="K18" s="4">
        <v>7311419</v>
      </c>
      <c r="L18" s="3" t="s">
        <v>23</v>
      </c>
      <c r="M18" s="3"/>
      <c r="N18" s="4">
        <v>1801000</v>
      </c>
      <c r="O18" s="3" t="s">
        <v>24</v>
      </c>
      <c r="P18" s="3"/>
      <c r="Q18" s="3"/>
    </row>
    <row r="20" spans="1:17" x14ac:dyDescent="0.2">
      <c r="A20" s="1" t="s">
        <v>0</v>
      </c>
      <c r="F20" s="1">
        <v>500783</v>
      </c>
    </row>
    <row r="21" spans="1:17" x14ac:dyDescent="0.2">
      <c r="A21" s="1" t="s">
        <v>1</v>
      </c>
      <c r="F21" s="1" t="s">
        <v>2</v>
      </c>
    </row>
    <row r="23" spans="1:17" x14ac:dyDescent="0.2">
      <c r="A23" s="1" t="s">
        <v>3</v>
      </c>
      <c r="F23" s="1" t="s">
        <v>35</v>
      </c>
    </row>
    <row r="24" spans="1:17" x14ac:dyDescent="0.2">
      <c r="A24" s="1" t="s">
        <v>5</v>
      </c>
    </row>
    <row r="27" spans="1:17" x14ac:dyDescent="0.2">
      <c r="C27" s="1" t="s">
        <v>7</v>
      </c>
      <c r="D27" s="1" t="s">
        <v>8</v>
      </c>
      <c r="E27" s="1" t="s">
        <v>9</v>
      </c>
      <c r="G27" s="1" t="s">
        <v>10</v>
      </c>
      <c r="H27" s="1" t="s">
        <v>11</v>
      </c>
      <c r="I27" s="1" t="s">
        <v>12</v>
      </c>
      <c r="J27" s="1" t="s">
        <v>13</v>
      </c>
      <c r="K27" s="1" t="s">
        <v>14</v>
      </c>
      <c r="L27" s="1" t="s">
        <v>15</v>
      </c>
      <c r="M27" s="1" t="s">
        <v>16</v>
      </c>
      <c r="N27" s="1" t="s">
        <v>17</v>
      </c>
      <c r="O27" s="1" t="s">
        <v>18</v>
      </c>
      <c r="P27" s="1" t="s">
        <v>19</v>
      </c>
      <c r="Q27" s="1" t="s">
        <v>20</v>
      </c>
    </row>
    <row r="29" spans="1:17" x14ac:dyDescent="0.2">
      <c r="D29" s="1" t="s">
        <v>21</v>
      </c>
      <c r="E29" s="1">
        <v>103526935</v>
      </c>
      <c r="G29" s="1" t="s">
        <v>36</v>
      </c>
      <c r="I29" s="1" t="s">
        <v>36</v>
      </c>
      <c r="K29" s="2">
        <v>2500000</v>
      </c>
      <c r="L29" s="1" t="s">
        <v>23</v>
      </c>
      <c r="N29" s="2">
        <v>2500000</v>
      </c>
      <c r="O29" s="1" t="s">
        <v>23</v>
      </c>
      <c r="P29" s="1" t="s">
        <v>37</v>
      </c>
      <c r="Q29" s="1">
        <v>1</v>
      </c>
    </row>
    <row r="30" spans="1:17" x14ac:dyDescent="0.2">
      <c r="D30" s="1" t="s">
        <v>21</v>
      </c>
      <c r="E30" s="1">
        <v>103526936</v>
      </c>
      <c r="G30" s="1" t="s">
        <v>36</v>
      </c>
      <c r="I30" s="1" t="s">
        <v>36</v>
      </c>
      <c r="K30" s="2">
        <v>2500000</v>
      </c>
      <c r="L30" s="1" t="s">
        <v>23</v>
      </c>
      <c r="N30" s="2">
        <v>2500000</v>
      </c>
      <c r="O30" s="1" t="s">
        <v>23</v>
      </c>
      <c r="P30" s="1" t="s">
        <v>38</v>
      </c>
      <c r="Q30" s="1">
        <v>1</v>
      </c>
    </row>
    <row r="31" spans="1:17" x14ac:dyDescent="0.2">
      <c r="D31" s="1" t="s">
        <v>21</v>
      </c>
      <c r="E31" s="1">
        <v>103526942</v>
      </c>
      <c r="G31" s="1" t="s">
        <v>39</v>
      </c>
      <c r="I31" s="1" t="s">
        <v>39</v>
      </c>
      <c r="K31" s="2">
        <v>2500000</v>
      </c>
      <c r="L31" s="1" t="s">
        <v>23</v>
      </c>
      <c r="N31" s="2">
        <v>2500000</v>
      </c>
      <c r="O31" s="1" t="s">
        <v>23</v>
      </c>
      <c r="P31" s="1" t="s">
        <v>40</v>
      </c>
      <c r="Q31" s="1">
        <v>1</v>
      </c>
    </row>
    <row r="32" spans="1:17" x14ac:dyDescent="0.2">
      <c r="D32" s="1" t="s">
        <v>21</v>
      </c>
      <c r="E32" s="1">
        <v>103526943</v>
      </c>
      <c r="G32" s="1" t="s">
        <v>39</v>
      </c>
      <c r="I32" s="1" t="s">
        <v>39</v>
      </c>
      <c r="K32" s="2">
        <v>2500000</v>
      </c>
      <c r="L32" s="1" t="s">
        <v>23</v>
      </c>
      <c r="N32" s="2">
        <v>2500000</v>
      </c>
      <c r="O32" s="1" t="s">
        <v>23</v>
      </c>
      <c r="P32" s="1" t="s">
        <v>41</v>
      </c>
      <c r="Q32" s="1">
        <v>1</v>
      </c>
    </row>
    <row r="33" spans="1:17" x14ac:dyDescent="0.2">
      <c r="D33" s="1" t="s">
        <v>21</v>
      </c>
      <c r="E33" s="1">
        <v>103527025</v>
      </c>
      <c r="G33" s="1" t="s">
        <v>42</v>
      </c>
      <c r="I33" s="1" t="s">
        <v>42</v>
      </c>
      <c r="K33" s="2">
        <v>2000000</v>
      </c>
      <c r="L33" s="1" t="s">
        <v>23</v>
      </c>
      <c r="N33" s="2">
        <v>2000000</v>
      </c>
      <c r="O33" s="1" t="s">
        <v>23</v>
      </c>
      <c r="P33" s="1" t="s">
        <v>43</v>
      </c>
      <c r="Q33" s="1">
        <v>1</v>
      </c>
    </row>
    <row r="34" spans="1:17" x14ac:dyDescent="0.2">
      <c r="D34" s="1" t="s">
        <v>21</v>
      </c>
      <c r="E34" s="1">
        <v>103527124</v>
      </c>
      <c r="G34" s="1" t="s">
        <v>44</v>
      </c>
      <c r="I34" s="1" t="s">
        <v>44</v>
      </c>
      <c r="K34" s="2">
        <v>2500000</v>
      </c>
      <c r="L34" s="1" t="s">
        <v>23</v>
      </c>
      <c r="N34" s="2">
        <v>2500000</v>
      </c>
      <c r="O34" s="1" t="s">
        <v>23</v>
      </c>
      <c r="P34" s="1" t="s">
        <v>45</v>
      </c>
      <c r="Q34" s="1">
        <v>1</v>
      </c>
    </row>
    <row r="35" spans="1:17" x14ac:dyDescent="0.2">
      <c r="D35" s="1" t="s">
        <v>21</v>
      </c>
      <c r="E35" s="1">
        <v>103527169</v>
      </c>
      <c r="G35" s="1" t="s">
        <v>46</v>
      </c>
      <c r="I35" s="1" t="s">
        <v>46</v>
      </c>
      <c r="K35" s="2">
        <v>2500000</v>
      </c>
      <c r="L35" s="1" t="s">
        <v>23</v>
      </c>
      <c r="N35" s="2">
        <v>2500000</v>
      </c>
      <c r="O35" s="1" t="s">
        <v>23</v>
      </c>
      <c r="P35" s="1" t="s">
        <v>47</v>
      </c>
      <c r="Q35" s="1">
        <v>1</v>
      </c>
    </row>
    <row r="36" spans="1:17" x14ac:dyDescent="0.2">
      <c r="D36" s="1" t="s">
        <v>21</v>
      </c>
      <c r="E36" s="1">
        <v>103527242</v>
      </c>
      <c r="G36" s="1" t="s">
        <v>48</v>
      </c>
      <c r="I36" s="1" t="s">
        <v>48</v>
      </c>
      <c r="K36" s="2">
        <v>5000000</v>
      </c>
      <c r="L36" s="1" t="s">
        <v>23</v>
      </c>
      <c r="N36" s="2">
        <v>5000000</v>
      </c>
      <c r="O36" s="1" t="s">
        <v>23</v>
      </c>
      <c r="P36" s="1" t="s">
        <v>49</v>
      </c>
      <c r="Q36" s="1">
        <v>1</v>
      </c>
    </row>
    <row r="37" spans="1:17" x14ac:dyDescent="0.2">
      <c r="D37" s="1" t="s">
        <v>21</v>
      </c>
      <c r="E37" s="1">
        <v>103527284</v>
      </c>
      <c r="G37" s="1" t="s">
        <v>50</v>
      </c>
      <c r="I37" s="1" t="s">
        <v>50</v>
      </c>
      <c r="K37" s="2">
        <v>2500000</v>
      </c>
      <c r="L37" s="1" t="s">
        <v>23</v>
      </c>
      <c r="N37" s="2">
        <v>2500000</v>
      </c>
      <c r="O37" s="1" t="s">
        <v>23</v>
      </c>
      <c r="P37" s="1" t="s">
        <v>51</v>
      </c>
      <c r="Q37" s="1">
        <v>1</v>
      </c>
    </row>
    <row r="38" spans="1:17" x14ac:dyDescent="0.2">
      <c r="D38" s="1" t="s">
        <v>21</v>
      </c>
      <c r="E38" s="1">
        <v>103527285</v>
      </c>
      <c r="G38" s="1" t="s">
        <v>50</v>
      </c>
      <c r="I38" s="1" t="s">
        <v>50</v>
      </c>
      <c r="K38" s="2">
        <v>2500000</v>
      </c>
      <c r="L38" s="1" t="s">
        <v>23</v>
      </c>
      <c r="N38" s="2">
        <v>2500000</v>
      </c>
      <c r="O38" s="1" t="s">
        <v>23</v>
      </c>
      <c r="P38" s="1" t="s">
        <v>52</v>
      </c>
      <c r="Q38" s="1">
        <v>1</v>
      </c>
    </row>
    <row r="40" spans="1:17" x14ac:dyDescent="0.2">
      <c r="B40" s="1" t="s">
        <v>32</v>
      </c>
      <c r="K40" s="2">
        <v>27000000</v>
      </c>
      <c r="L40" s="1" t="s">
        <v>23</v>
      </c>
      <c r="N40" s="2">
        <v>27000000</v>
      </c>
      <c r="O40" s="1" t="s">
        <v>23</v>
      </c>
    </row>
    <row r="42" spans="1:17" x14ac:dyDescent="0.2">
      <c r="A42" s="3"/>
      <c r="B42" s="3" t="s">
        <v>33</v>
      </c>
      <c r="C42" s="3" t="s">
        <v>53</v>
      </c>
      <c r="D42" s="3"/>
      <c r="E42" s="3"/>
      <c r="F42" s="3"/>
      <c r="G42" s="3"/>
      <c r="H42" s="3"/>
      <c r="I42" s="3"/>
      <c r="J42" s="3"/>
      <c r="K42" s="4">
        <v>27000000</v>
      </c>
      <c r="L42" s="3" t="s">
        <v>23</v>
      </c>
      <c r="M42" s="3"/>
      <c r="N42" s="4">
        <v>27000000</v>
      </c>
      <c r="O42" s="3" t="s">
        <v>23</v>
      </c>
      <c r="P42" s="3"/>
      <c r="Q42" s="3"/>
    </row>
    <row r="44" spans="1:17" x14ac:dyDescent="0.2">
      <c r="A44" s="1" t="s">
        <v>0</v>
      </c>
      <c r="F44" s="1">
        <v>500784</v>
      </c>
    </row>
    <row r="45" spans="1:17" x14ac:dyDescent="0.2">
      <c r="A45" s="1" t="s">
        <v>1</v>
      </c>
      <c r="F45" s="1" t="s">
        <v>2</v>
      </c>
    </row>
    <row r="47" spans="1:17" x14ac:dyDescent="0.2">
      <c r="A47" s="1" t="s">
        <v>3</v>
      </c>
      <c r="F47" s="1" t="s">
        <v>54</v>
      </c>
    </row>
    <row r="48" spans="1:17" x14ac:dyDescent="0.2">
      <c r="A48" s="1" t="s">
        <v>5</v>
      </c>
      <c r="F48" s="1" t="s">
        <v>55</v>
      </c>
    </row>
    <row r="51" spans="1:17" x14ac:dyDescent="0.2">
      <c r="C51" s="1" t="s">
        <v>7</v>
      </c>
      <c r="D51" s="1" t="s">
        <v>8</v>
      </c>
      <c r="E51" s="1" t="s">
        <v>9</v>
      </c>
      <c r="G51" s="1" t="s">
        <v>10</v>
      </c>
      <c r="H51" s="1" t="s">
        <v>11</v>
      </c>
      <c r="I51" s="1" t="s">
        <v>12</v>
      </c>
      <c r="J51" s="1" t="s">
        <v>13</v>
      </c>
      <c r="K51" s="1" t="s">
        <v>14</v>
      </c>
      <c r="L51" s="1" t="s">
        <v>15</v>
      </c>
      <c r="M51" s="1" t="s">
        <v>16</v>
      </c>
      <c r="N51" s="1" t="s">
        <v>17</v>
      </c>
      <c r="O51" s="1" t="s">
        <v>18</v>
      </c>
      <c r="P51" s="1" t="s">
        <v>19</v>
      </c>
      <c r="Q51" s="1" t="s">
        <v>20</v>
      </c>
    </row>
    <row r="53" spans="1:17" x14ac:dyDescent="0.2">
      <c r="D53" s="1" t="s">
        <v>21</v>
      </c>
      <c r="E53" s="1">
        <v>103527206</v>
      </c>
      <c r="G53" s="1" t="s">
        <v>28</v>
      </c>
      <c r="I53" s="1" t="s">
        <v>28</v>
      </c>
      <c r="K53" s="2">
        <v>22000000</v>
      </c>
      <c r="L53" s="1" t="s">
        <v>23</v>
      </c>
      <c r="N53" s="2">
        <v>22000000</v>
      </c>
      <c r="O53" s="1" t="s">
        <v>23</v>
      </c>
      <c r="P53" s="1" t="s">
        <v>56</v>
      </c>
      <c r="Q53" s="1">
        <v>1</v>
      </c>
    </row>
    <row r="54" spans="1:17" x14ac:dyDescent="0.2">
      <c r="D54" s="1" t="s">
        <v>21</v>
      </c>
      <c r="E54" s="1">
        <v>103527238</v>
      </c>
      <c r="G54" s="1" t="s">
        <v>48</v>
      </c>
      <c r="I54" s="1" t="s">
        <v>48</v>
      </c>
      <c r="K54" s="2">
        <v>43000000</v>
      </c>
      <c r="L54" s="1" t="s">
        <v>23</v>
      </c>
      <c r="N54" s="2">
        <v>43000000</v>
      </c>
      <c r="O54" s="1" t="s">
        <v>23</v>
      </c>
      <c r="P54" s="1" t="s">
        <v>57</v>
      </c>
      <c r="Q54" s="1">
        <v>1</v>
      </c>
    </row>
    <row r="55" spans="1:17" x14ac:dyDescent="0.2">
      <c r="D55" s="1" t="s">
        <v>21</v>
      </c>
      <c r="E55" s="1">
        <v>103527261</v>
      </c>
      <c r="G55" s="1" t="s">
        <v>58</v>
      </c>
      <c r="I55" s="1" t="s">
        <v>58</v>
      </c>
      <c r="K55" s="2">
        <v>17000000</v>
      </c>
      <c r="L55" s="1" t="s">
        <v>23</v>
      </c>
      <c r="N55" s="2">
        <v>17000000</v>
      </c>
      <c r="O55" s="1" t="s">
        <v>23</v>
      </c>
      <c r="P55" s="1" t="s">
        <v>59</v>
      </c>
      <c r="Q55" s="1">
        <v>1</v>
      </c>
    </row>
    <row r="57" spans="1:17" x14ac:dyDescent="0.2">
      <c r="B57" s="1" t="s">
        <v>32</v>
      </c>
      <c r="K57" s="2">
        <v>82000000</v>
      </c>
      <c r="L57" s="1" t="s">
        <v>23</v>
      </c>
      <c r="N57" s="2">
        <v>82000000</v>
      </c>
      <c r="O57" s="1" t="s">
        <v>23</v>
      </c>
    </row>
    <row r="59" spans="1:17" x14ac:dyDescent="0.2">
      <c r="A59" s="3"/>
      <c r="B59" s="3" t="s">
        <v>33</v>
      </c>
      <c r="C59" s="3" t="s">
        <v>60</v>
      </c>
      <c r="D59" s="3"/>
      <c r="E59" s="3"/>
      <c r="F59" s="3"/>
      <c r="G59" s="3"/>
      <c r="H59" s="3"/>
      <c r="I59" s="3"/>
      <c r="J59" s="3"/>
      <c r="K59" s="4">
        <v>82000000</v>
      </c>
      <c r="L59" s="3" t="s">
        <v>23</v>
      </c>
      <c r="M59" s="3"/>
      <c r="N59" s="4">
        <v>82000000</v>
      </c>
      <c r="O59" s="3" t="s">
        <v>23</v>
      </c>
      <c r="P59" s="3"/>
      <c r="Q59" s="3"/>
    </row>
    <row r="61" spans="1:17" x14ac:dyDescent="0.2">
      <c r="A61" s="1" t="s">
        <v>0</v>
      </c>
      <c r="F61" s="1">
        <v>500790</v>
      </c>
    </row>
    <row r="62" spans="1:17" x14ac:dyDescent="0.2">
      <c r="A62" s="1" t="s">
        <v>1</v>
      </c>
      <c r="F62" s="1" t="s">
        <v>2</v>
      </c>
    </row>
    <row r="64" spans="1:17" x14ac:dyDescent="0.2">
      <c r="A64" s="1" t="s">
        <v>3</v>
      </c>
      <c r="F64" s="1" t="s">
        <v>61</v>
      </c>
    </row>
    <row r="65" spans="1:17" x14ac:dyDescent="0.2">
      <c r="A65" s="1" t="s">
        <v>5</v>
      </c>
    </row>
    <row r="68" spans="1:17" x14ac:dyDescent="0.2">
      <c r="C68" s="1" t="s">
        <v>7</v>
      </c>
      <c r="D68" s="1" t="s">
        <v>8</v>
      </c>
      <c r="E68" s="1" t="s">
        <v>9</v>
      </c>
      <c r="G68" s="1" t="s">
        <v>10</v>
      </c>
      <c r="H68" s="1" t="s">
        <v>11</v>
      </c>
      <c r="I68" s="1" t="s">
        <v>12</v>
      </c>
      <c r="J68" s="1" t="s">
        <v>13</v>
      </c>
      <c r="K68" s="1" t="s">
        <v>14</v>
      </c>
      <c r="L68" s="1" t="s">
        <v>15</v>
      </c>
      <c r="M68" s="1" t="s">
        <v>16</v>
      </c>
      <c r="N68" s="1" t="s">
        <v>17</v>
      </c>
      <c r="O68" s="1" t="s">
        <v>18</v>
      </c>
      <c r="P68" s="1" t="s">
        <v>19</v>
      </c>
      <c r="Q68" s="1" t="s">
        <v>20</v>
      </c>
    </row>
    <row r="70" spans="1:17" x14ac:dyDescent="0.2">
      <c r="D70" s="1" t="s">
        <v>21</v>
      </c>
      <c r="E70" s="1">
        <v>103526934</v>
      </c>
      <c r="G70" s="1" t="s">
        <v>36</v>
      </c>
      <c r="I70" s="1" t="s">
        <v>36</v>
      </c>
      <c r="K70" s="2">
        <v>4100000</v>
      </c>
      <c r="L70" s="1" t="s">
        <v>23</v>
      </c>
      <c r="N70" s="2">
        <v>4100000</v>
      </c>
      <c r="O70" s="1" t="s">
        <v>23</v>
      </c>
      <c r="P70" s="1" t="s">
        <v>62</v>
      </c>
      <c r="Q70" s="1">
        <v>1</v>
      </c>
    </row>
    <row r="71" spans="1:17" x14ac:dyDescent="0.2">
      <c r="D71" s="1" t="s">
        <v>21</v>
      </c>
      <c r="E71" s="1">
        <v>103527026</v>
      </c>
      <c r="G71" s="1" t="s">
        <v>42</v>
      </c>
      <c r="I71" s="1" t="s">
        <v>42</v>
      </c>
      <c r="K71" s="2">
        <v>5000000</v>
      </c>
      <c r="L71" s="1" t="s">
        <v>23</v>
      </c>
      <c r="N71" s="2">
        <v>5000000</v>
      </c>
      <c r="O71" s="1" t="s">
        <v>23</v>
      </c>
      <c r="P71" s="1" t="s">
        <v>63</v>
      </c>
      <c r="Q71" s="1">
        <v>1</v>
      </c>
    </row>
    <row r="72" spans="1:17" x14ac:dyDescent="0.2">
      <c r="D72" s="1" t="s">
        <v>21</v>
      </c>
      <c r="E72" s="1">
        <v>103527049</v>
      </c>
      <c r="G72" s="1" t="s">
        <v>64</v>
      </c>
      <c r="I72" s="1" t="s">
        <v>64</v>
      </c>
      <c r="K72" s="2">
        <v>5000000</v>
      </c>
      <c r="L72" s="1" t="s">
        <v>23</v>
      </c>
      <c r="N72" s="2">
        <v>5000000</v>
      </c>
      <c r="O72" s="1" t="s">
        <v>23</v>
      </c>
      <c r="P72" s="1" t="s">
        <v>65</v>
      </c>
      <c r="Q72" s="1">
        <v>1</v>
      </c>
    </row>
    <row r="73" spans="1:17" x14ac:dyDescent="0.2">
      <c r="D73" s="1" t="s">
        <v>21</v>
      </c>
      <c r="E73" s="1">
        <v>103527207</v>
      </c>
      <c r="G73" s="1" t="s">
        <v>28</v>
      </c>
      <c r="I73" s="1" t="s">
        <v>28</v>
      </c>
      <c r="K73" s="2">
        <v>5000000</v>
      </c>
      <c r="L73" s="1" t="s">
        <v>23</v>
      </c>
      <c r="N73" s="2">
        <v>5000000</v>
      </c>
      <c r="O73" s="1" t="s">
        <v>23</v>
      </c>
      <c r="P73" s="1" t="s">
        <v>66</v>
      </c>
      <c r="Q73" s="1">
        <v>1</v>
      </c>
    </row>
    <row r="74" spans="1:17" x14ac:dyDescent="0.2">
      <c r="D74" s="1" t="s">
        <v>21</v>
      </c>
      <c r="E74" s="1">
        <v>103527219</v>
      </c>
      <c r="G74" s="1" t="s">
        <v>67</v>
      </c>
      <c r="I74" s="1" t="s">
        <v>67</v>
      </c>
      <c r="K74" s="2">
        <v>6500000</v>
      </c>
      <c r="L74" s="1" t="s">
        <v>23</v>
      </c>
      <c r="N74" s="2">
        <v>6500000</v>
      </c>
      <c r="O74" s="1" t="s">
        <v>23</v>
      </c>
      <c r="P74" s="1" t="s">
        <v>68</v>
      </c>
      <c r="Q74" s="1">
        <v>1</v>
      </c>
    </row>
    <row r="75" spans="1:17" x14ac:dyDescent="0.2">
      <c r="D75" s="1" t="s">
        <v>21</v>
      </c>
      <c r="E75" s="1">
        <v>103527239</v>
      </c>
      <c r="G75" s="1" t="s">
        <v>48</v>
      </c>
      <c r="I75" s="1" t="s">
        <v>48</v>
      </c>
      <c r="K75" s="2">
        <v>5000000</v>
      </c>
      <c r="L75" s="1" t="s">
        <v>23</v>
      </c>
      <c r="N75" s="2">
        <v>5000000</v>
      </c>
      <c r="O75" s="1" t="s">
        <v>23</v>
      </c>
      <c r="P75" s="1" t="s">
        <v>69</v>
      </c>
      <c r="Q75" s="1">
        <v>1</v>
      </c>
    </row>
    <row r="76" spans="1:17" x14ac:dyDescent="0.2">
      <c r="D76" s="1" t="s">
        <v>21</v>
      </c>
      <c r="E76" s="1">
        <v>103527286</v>
      </c>
      <c r="G76" s="1" t="s">
        <v>50</v>
      </c>
      <c r="I76" s="1" t="s">
        <v>50</v>
      </c>
      <c r="K76" s="2">
        <v>5000000</v>
      </c>
      <c r="L76" s="1" t="s">
        <v>23</v>
      </c>
      <c r="N76" s="2">
        <v>5000000</v>
      </c>
      <c r="O76" s="1" t="s">
        <v>23</v>
      </c>
      <c r="P76" s="1" t="s">
        <v>70</v>
      </c>
      <c r="Q76" s="1">
        <v>1</v>
      </c>
    </row>
    <row r="77" spans="1:17" x14ac:dyDescent="0.2">
      <c r="D77" s="1" t="s">
        <v>21</v>
      </c>
      <c r="E77" s="1">
        <v>103527418</v>
      </c>
      <c r="G77" s="1" t="s">
        <v>30</v>
      </c>
      <c r="I77" s="1" t="s">
        <v>30</v>
      </c>
      <c r="K77" s="2">
        <v>4500000</v>
      </c>
      <c r="L77" s="1" t="s">
        <v>23</v>
      </c>
      <c r="N77" s="2">
        <v>4500000</v>
      </c>
      <c r="O77" s="1" t="s">
        <v>23</v>
      </c>
      <c r="P77" s="1" t="s">
        <v>71</v>
      </c>
      <c r="Q77" s="1">
        <v>1</v>
      </c>
    </row>
    <row r="79" spans="1:17" x14ac:dyDescent="0.2">
      <c r="B79" s="1" t="s">
        <v>32</v>
      </c>
      <c r="K79" s="2">
        <v>40100000</v>
      </c>
      <c r="L79" s="1" t="s">
        <v>23</v>
      </c>
      <c r="N79" s="2">
        <v>40100000</v>
      </c>
      <c r="O79" s="1" t="s">
        <v>23</v>
      </c>
    </row>
    <row r="81" spans="1:17" x14ac:dyDescent="0.2">
      <c r="A81" s="3"/>
      <c r="B81" s="3" t="s">
        <v>33</v>
      </c>
      <c r="C81" s="3" t="s">
        <v>72</v>
      </c>
      <c r="D81" s="3"/>
      <c r="E81" s="3"/>
      <c r="F81" s="3"/>
      <c r="G81" s="3"/>
      <c r="H81" s="3"/>
      <c r="I81" s="3"/>
      <c r="J81" s="3"/>
      <c r="K81" s="4">
        <v>40100000</v>
      </c>
      <c r="L81" s="3" t="s">
        <v>23</v>
      </c>
      <c r="M81" s="3"/>
      <c r="N81" s="4">
        <v>40100000</v>
      </c>
      <c r="O81" s="3" t="s">
        <v>23</v>
      </c>
      <c r="P81" s="3"/>
      <c r="Q81" s="3"/>
    </row>
    <row r="83" spans="1:17" x14ac:dyDescent="0.2">
      <c r="A83" s="1" t="s">
        <v>0</v>
      </c>
      <c r="F83" s="1">
        <v>500995</v>
      </c>
    </row>
    <row r="84" spans="1:17" x14ac:dyDescent="0.2">
      <c r="A84" s="1" t="s">
        <v>1</v>
      </c>
      <c r="F84" s="1" t="s">
        <v>2</v>
      </c>
    </row>
    <row r="86" spans="1:17" x14ac:dyDescent="0.2">
      <c r="A86" s="1" t="s">
        <v>3</v>
      </c>
      <c r="F86" s="1" t="s">
        <v>73</v>
      </c>
    </row>
    <row r="87" spans="1:17" x14ac:dyDescent="0.2">
      <c r="A87" s="1" t="s">
        <v>5</v>
      </c>
    </row>
    <row r="90" spans="1:17" x14ac:dyDescent="0.2">
      <c r="C90" s="1" t="s">
        <v>7</v>
      </c>
      <c r="D90" s="1" t="s">
        <v>8</v>
      </c>
      <c r="E90" s="1" t="s">
        <v>9</v>
      </c>
      <c r="G90" s="1" t="s">
        <v>10</v>
      </c>
      <c r="H90" s="1" t="s">
        <v>11</v>
      </c>
      <c r="I90" s="1" t="s">
        <v>12</v>
      </c>
      <c r="J90" s="1" t="s">
        <v>13</v>
      </c>
      <c r="K90" s="1" t="s">
        <v>14</v>
      </c>
      <c r="L90" s="1" t="s">
        <v>15</v>
      </c>
      <c r="M90" s="1" t="s">
        <v>16</v>
      </c>
      <c r="N90" s="1" t="s">
        <v>17</v>
      </c>
      <c r="O90" s="1" t="s">
        <v>18</v>
      </c>
      <c r="P90" s="1" t="s">
        <v>19</v>
      </c>
      <c r="Q90" s="1" t="s">
        <v>20</v>
      </c>
    </row>
    <row r="92" spans="1:17" x14ac:dyDescent="0.2">
      <c r="D92" s="1" t="s">
        <v>21</v>
      </c>
      <c r="E92" s="1">
        <v>103526979</v>
      </c>
      <c r="G92" s="1" t="s">
        <v>26</v>
      </c>
      <c r="I92" s="1" t="s">
        <v>26</v>
      </c>
      <c r="K92" s="2">
        <v>390000</v>
      </c>
      <c r="L92" s="1" t="s">
        <v>23</v>
      </c>
      <c r="N92" s="2">
        <v>390000</v>
      </c>
      <c r="O92" s="1" t="s">
        <v>23</v>
      </c>
      <c r="P92" s="1" t="s">
        <v>74</v>
      </c>
      <c r="Q92" s="1">
        <v>1</v>
      </c>
    </row>
    <row r="93" spans="1:17" x14ac:dyDescent="0.2">
      <c r="D93" s="1" t="s">
        <v>21</v>
      </c>
      <c r="E93" s="1">
        <v>1400015934</v>
      </c>
      <c r="G93" s="1" t="s">
        <v>75</v>
      </c>
      <c r="I93" s="1" t="s">
        <v>75</v>
      </c>
      <c r="K93" s="2">
        <v>596000</v>
      </c>
      <c r="L93" s="1" t="s">
        <v>23</v>
      </c>
      <c r="N93" s="2">
        <v>596000</v>
      </c>
      <c r="O93" s="1" t="s">
        <v>23</v>
      </c>
      <c r="P93" s="1" t="s">
        <v>76</v>
      </c>
      <c r="Q93" s="1">
        <v>1</v>
      </c>
    </row>
    <row r="95" spans="1:17" x14ac:dyDescent="0.2">
      <c r="B95" s="1" t="s">
        <v>32</v>
      </c>
      <c r="K95" s="2">
        <v>986000</v>
      </c>
      <c r="L95" s="1" t="s">
        <v>23</v>
      </c>
      <c r="N95" s="2">
        <v>986000</v>
      </c>
      <c r="O95" s="1" t="s">
        <v>23</v>
      </c>
    </row>
    <row r="97" spans="1:17" x14ac:dyDescent="0.2">
      <c r="A97" s="3"/>
      <c r="B97" s="3" t="s">
        <v>33</v>
      </c>
      <c r="C97" s="3" t="s">
        <v>77</v>
      </c>
      <c r="D97" s="3"/>
      <c r="E97" s="3"/>
      <c r="F97" s="3"/>
      <c r="G97" s="3"/>
      <c r="H97" s="3"/>
      <c r="I97" s="3"/>
      <c r="J97" s="3"/>
      <c r="K97" s="4">
        <v>986000</v>
      </c>
      <c r="L97" s="3" t="s">
        <v>23</v>
      </c>
      <c r="M97" s="3"/>
      <c r="N97" s="4">
        <v>986000</v>
      </c>
      <c r="O97" s="3" t="s">
        <v>23</v>
      </c>
      <c r="P97" s="3"/>
      <c r="Q97" s="3"/>
    </row>
    <row r="99" spans="1:17" x14ac:dyDescent="0.2">
      <c r="A99" s="1" t="s">
        <v>0</v>
      </c>
      <c r="F99" s="1">
        <v>501111</v>
      </c>
    </row>
    <row r="100" spans="1:17" x14ac:dyDescent="0.2">
      <c r="A100" s="1" t="s">
        <v>1</v>
      </c>
      <c r="F100" s="1" t="s">
        <v>2</v>
      </c>
    </row>
    <row r="102" spans="1:17" x14ac:dyDescent="0.2">
      <c r="A102" s="1" t="s">
        <v>3</v>
      </c>
      <c r="F102" s="1" t="s">
        <v>78</v>
      </c>
    </row>
    <row r="103" spans="1:17" x14ac:dyDescent="0.2">
      <c r="A103" s="1" t="s">
        <v>5</v>
      </c>
      <c r="F103" s="1" t="s">
        <v>6</v>
      </c>
    </row>
    <row r="106" spans="1:17" x14ac:dyDescent="0.2">
      <c r="C106" s="1" t="s">
        <v>7</v>
      </c>
      <c r="D106" s="1" t="s">
        <v>8</v>
      </c>
      <c r="E106" s="1" t="s">
        <v>9</v>
      </c>
      <c r="G106" s="1" t="s">
        <v>10</v>
      </c>
      <c r="H106" s="1" t="s">
        <v>11</v>
      </c>
      <c r="I106" s="1" t="s">
        <v>12</v>
      </c>
      <c r="J106" s="1" t="s">
        <v>13</v>
      </c>
      <c r="K106" s="1" t="s">
        <v>14</v>
      </c>
      <c r="L106" s="1" t="s">
        <v>15</v>
      </c>
      <c r="M106" s="1" t="s">
        <v>16</v>
      </c>
      <c r="N106" s="1" t="s">
        <v>17</v>
      </c>
      <c r="O106" s="1" t="s">
        <v>18</v>
      </c>
      <c r="P106" s="1" t="s">
        <v>19</v>
      </c>
      <c r="Q106" s="1" t="s">
        <v>20</v>
      </c>
    </row>
    <row r="108" spans="1:17" x14ac:dyDescent="0.2">
      <c r="D108" s="1" t="s">
        <v>21</v>
      </c>
      <c r="E108" s="1">
        <v>103526930</v>
      </c>
      <c r="G108" s="1" t="s">
        <v>36</v>
      </c>
      <c r="I108" s="1" t="s">
        <v>36</v>
      </c>
      <c r="K108" s="2">
        <v>936510</v>
      </c>
      <c r="L108" s="1" t="s">
        <v>23</v>
      </c>
      <c r="N108" s="2">
        <v>936510</v>
      </c>
      <c r="O108" s="1" t="s">
        <v>23</v>
      </c>
      <c r="P108" s="1" t="s">
        <v>79</v>
      </c>
      <c r="Q108" s="1">
        <v>1</v>
      </c>
    </row>
    <row r="109" spans="1:17" x14ac:dyDescent="0.2">
      <c r="D109" s="1" t="s">
        <v>21</v>
      </c>
      <c r="E109" s="1">
        <v>103526931</v>
      </c>
      <c r="G109" s="1" t="s">
        <v>36</v>
      </c>
      <c r="I109" s="1" t="s">
        <v>36</v>
      </c>
      <c r="K109" s="2">
        <v>1887120</v>
      </c>
      <c r="L109" s="1" t="s">
        <v>23</v>
      </c>
      <c r="N109" s="2">
        <v>1887120</v>
      </c>
      <c r="O109" s="1" t="s">
        <v>23</v>
      </c>
      <c r="P109" s="1" t="s">
        <v>80</v>
      </c>
      <c r="Q109" s="1">
        <v>1</v>
      </c>
    </row>
    <row r="110" spans="1:17" x14ac:dyDescent="0.2">
      <c r="D110" s="1" t="s">
        <v>21</v>
      </c>
      <c r="E110" s="1">
        <v>103526933</v>
      </c>
      <c r="G110" s="1" t="s">
        <v>36</v>
      </c>
      <c r="I110" s="1" t="s">
        <v>36</v>
      </c>
      <c r="K110" s="2">
        <v>1224561</v>
      </c>
      <c r="L110" s="1" t="s">
        <v>23</v>
      </c>
      <c r="N110" s="2">
        <v>1224561</v>
      </c>
      <c r="O110" s="1" t="s">
        <v>23</v>
      </c>
      <c r="P110" s="1" t="s">
        <v>81</v>
      </c>
      <c r="Q110" s="1">
        <v>1</v>
      </c>
    </row>
    <row r="111" spans="1:17" x14ac:dyDescent="0.2">
      <c r="D111" s="1" t="s">
        <v>21</v>
      </c>
      <c r="E111" s="1">
        <v>103527244</v>
      </c>
      <c r="G111" s="1" t="s">
        <v>48</v>
      </c>
      <c r="I111" s="1" t="s">
        <v>48</v>
      </c>
      <c r="K111" s="2">
        <v>67948.55</v>
      </c>
      <c r="L111" s="1" t="s">
        <v>23</v>
      </c>
      <c r="N111" s="2">
        <v>67948.55</v>
      </c>
      <c r="O111" s="1" t="s">
        <v>23</v>
      </c>
      <c r="P111" s="1" t="s">
        <v>82</v>
      </c>
      <c r="Q111" s="1">
        <v>1</v>
      </c>
    </row>
    <row r="113" spans="1:17" x14ac:dyDescent="0.2">
      <c r="B113" s="1" t="s">
        <v>32</v>
      </c>
      <c r="K113" s="2">
        <v>4116139.55</v>
      </c>
      <c r="L113" s="1" t="s">
        <v>23</v>
      </c>
      <c r="N113" s="2">
        <v>4116139.55</v>
      </c>
      <c r="O113" s="1" t="s">
        <v>23</v>
      </c>
    </row>
    <row r="115" spans="1:17" x14ac:dyDescent="0.2">
      <c r="A115" s="3"/>
      <c r="B115" s="3" t="s">
        <v>33</v>
      </c>
      <c r="C115" s="3" t="s">
        <v>83</v>
      </c>
      <c r="D115" s="3"/>
      <c r="E115" s="3"/>
      <c r="F115" s="3"/>
      <c r="G115" s="3"/>
      <c r="H115" s="3"/>
      <c r="I115" s="3"/>
      <c r="J115" s="3"/>
      <c r="K115" s="4">
        <v>4116139.55</v>
      </c>
      <c r="L115" s="3" t="s">
        <v>23</v>
      </c>
      <c r="M115" s="3"/>
      <c r="N115" s="4">
        <v>4116139.55</v>
      </c>
      <c r="O115" s="3" t="s">
        <v>23</v>
      </c>
      <c r="P115" s="3"/>
      <c r="Q115" s="3"/>
    </row>
    <row r="117" spans="1:17" x14ac:dyDescent="0.2">
      <c r="A117" s="1" t="s">
        <v>0</v>
      </c>
      <c r="F117" s="1">
        <v>501123</v>
      </c>
    </row>
    <row r="118" spans="1:17" x14ac:dyDescent="0.2">
      <c r="A118" s="1" t="s">
        <v>1</v>
      </c>
      <c r="F118" s="1" t="s">
        <v>2</v>
      </c>
    </row>
    <row r="120" spans="1:17" x14ac:dyDescent="0.2">
      <c r="A120" s="1" t="s">
        <v>3</v>
      </c>
      <c r="F120" s="1" t="s">
        <v>84</v>
      </c>
    </row>
    <row r="121" spans="1:17" x14ac:dyDescent="0.2">
      <c r="A121" s="1" t="s">
        <v>5</v>
      </c>
      <c r="F121" s="1" t="s">
        <v>55</v>
      </c>
    </row>
    <row r="124" spans="1:17" x14ac:dyDescent="0.2">
      <c r="C124" s="1" t="s">
        <v>7</v>
      </c>
      <c r="D124" s="1" t="s">
        <v>8</v>
      </c>
      <c r="E124" s="1" t="s">
        <v>9</v>
      </c>
      <c r="G124" s="1" t="s">
        <v>10</v>
      </c>
      <c r="H124" s="1" t="s">
        <v>11</v>
      </c>
      <c r="I124" s="1" t="s">
        <v>12</v>
      </c>
      <c r="J124" s="1" t="s">
        <v>13</v>
      </c>
      <c r="K124" s="1" t="s">
        <v>14</v>
      </c>
      <c r="L124" s="1" t="s">
        <v>15</v>
      </c>
      <c r="M124" s="1" t="s">
        <v>16</v>
      </c>
      <c r="N124" s="1" t="s">
        <v>17</v>
      </c>
      <c r="O124" s="1" t="s">
        <v>18</v>
      </c>
      <c r="P124" s="1" t="s">
        <v>19</v>
      </c>
      <c r="Q124" s="1" t="s">
        <v>20</v>
      </c>
    </row>
    <row r="126" spans="1:17" x14ac:dyDescent="0.2">
      <c r="D126" s="1" t="s">
        <v>21</v>
      </c>
      <c r="E126" s="1">
        <v>103526980</v>
      </c>
      <c r="G126" s="1" t="s">
        <v>26</v>
      </c>
      <c r="I126" s="1" t="s">
        <v>26</v>
      </c>
      <c r="K126" s="2">
        <v>295023.11</v>
      </c>
      <c r="L126" s="1" t="s">
        <v>23</v>
      </c>
      <c r="N126" s="2">
        <v>295023.11</v>
      </c>
      <c r="O126" s="1" t="s">
        <v>23</v>
      </c>
      <c r="P126" s="1" t="s">
        <v>85</v>
      </c>
      <c r="Q126" s="1">
        <v>1</v>
      </c>
    </row>
    <row r="127" spans="1:17" x14ac:dyDescent="0.2">
      <c r="D127" s="1" t="s">
        <v>21</v>
      </c>
      <c r="E127" s="1">
        <v>103526991</v>
      </c>
      <c r="G127" s="1" t="s">
        <v>86</v>
      </c>
      <c r="I127" s="1" t="s">
        <v>86</v>
      </c>
      <c r="K127" s="2">
        <v>717050.54</v>
      </c>
      <c r="L127" s="1" t="s">
        <v>23</v>
      </c>
      <c r="N127" s="2">
        <v>717050.54</v>
      </c>
      <c r="O127" s="1" t="s">
        <v>23</v>
      </c>
      <c r="P127" s="1" t="s">
        <v>87</v>
      </c>
      <c r="Q127" s="1">
        <v>1</v>
      </c>
    </row>
    <row r="129" spans="1:17" x14ac:dyDescent="0.2">
      <c r="B129" s="1" t="s">
        <v>32</v>
      </c>
      <c r="K129" s="2">
        <v>1012073.65</v>
      </c>
      <c r="L129" s="1" t="s">
        <v>23</v>
      </c>
      <c r="N129" s="2">
        <v>1012073.65</v>
      </c>
      <c r="O129" s="1" t="s">
        <v>23</v>
      </c>
    </row>
    <row r="131" spans="1:17" x14ac:dyDescent="0.2">
      <c r="A131" s="3"/>
      <c r="B131" s="3" t="s">
        <v>33</v>
      </c>
      <c r="C131" s="3" t="s">
        <v>88</v>
      </c>
      <c r="D131" s="3"/>
      <c r="E131" s="3"/>
      <c r="F131" s="3"/>
      <c r="G131" s="3"/>
      <c r="H131" s="3"/>
      <c r="I131" s="3"/>
      <c r="J131" s="3"/>
      <c r="K131" s="4">
        <v>1012073.65</v>
      </c>
      <c r="L131" s="3" t="s">
        <v>23</v>
      </c>
      <c r="M131" s="3"/>
      <c r="N131" s="4">
        <v>1012073.65</v>
      </c>
      <c r="O131" s="3" t="s">
        <v>23</v>
      </c>
      <c r="P131" s="3"/>
      <c r="Q131" s="3"/>
    </row>
    <row r="133" spans="1:17" x14ac:dyDescent="0.2">
      <c r="A133" s="1" t="s">
        <v>0</v>
      </c>
      <c r="F133" s="1">
        <v>501124</v>
      </c>
    </row>
    <row r="134" spans="1:17" x14ac:dyDescent="0.2">
      <c r="A134" s="1" t="s">
        <v>1</v>
      </c>
      <c r="F134" s="1" t="s">
        <v>2</v>
      </c>
    </row>
    <row r="136" spans="1:17" x14ac:dyDescent="0.2">
      <c r="A136" s="1" t="s">
        <v>3</v>
      </c>
      <c r="F136" s="1" t="s">
        <v>89</v>
      </c>
    </row>
    <row r="137" spans="1:17" x14ac:dyDescent="0.2">
      <c r="A137" s="1" t="s">
        <v>5</v>
      </c>
      <c r="F137" s="1" t="s">
        <v>55</v>
      </c>
    </row>
    <row r="140" spans="1:17" x14ac:dyDescent="0.2">
      <c r="C140" s="1" t="s">
        <v>7</v>
      </c>
      <c r="D140" s="1" t="s">
        <v>8</v>
      </c>
      <c r="E140" s="1" t="s">
        <v>9</v>
      </c>
      <c r="G140" s="1" t="s">
        <v>10</v>
      </c>
      <c r="H140" s="1" t="s">
        <v>11</v>
      </c>
      <c r="I140" s="1" t="s">
        <v>12</v>
      </c>
      <c r="J140" s="1" t="s">
        <v>13</v>
      </c>
      <c r="K140" s="1" t="s">
        <v>14</v>
      </c>
      <c r="L140" s="1" t="s">
        <v>15</v>
      </c>
      <c r="M140" s="1" t="s">
        <v>16</v>
      </c>
      <c r="N140" s="1" t="s">
        <v>17</v>
      </c>
      <c r="O140" s="1" t="s">
        <v>18</v>
      </c>
      <c r="P140" s="1" t="s">
        <v>19</v>
      </c>
      <c r="Q140" s="1" t="s">
        <v>20</v>
      </c>
    </row>
    <row r="142" spans="1:17" x14ac:dyDescent="0.2">
      <c r="D142" s="1" t="s">
        <v>21</v>
      </c>
      <c r="E142" s="1">
        <v>103526973</v>
      </c>
      <c r="G142" s="1" t="s">
        <v>22</v>
      </c>
      <c r="I142" s="1" t="s">
        <v>22</v>
      </c>
      <c r="K142" s="2">
        <v>32400</v>
      </c>
      <c r="L142" s="1" t="s">
        <v>23</v>
      </c>
      <c r="N142" s="2">
        <v>32400</v>
      </c>
      <c r="O142" s="1" t="s">
        <v>23</v>
      </c>
      <c r="P142" s="1" t="s">
        <v>90</v>
      </c>
      <c r="Q142" s="1">
        <v>1</v>
      </c>
    </row>
    <row r="144" spans="1:17" x14ac:dyDescent="0.2">
      <c r="B144" s="1" t="s">
        <v>32</v>
      </c>
      <c r="K144" s="2">
        <v>32400</v>
      </c>
      <c r="L144" s="1" t="s">
        <v>23</v>
      </c>
      <c r="N144" s="2">
        <v>32400</v>
      </c>
      <c r="O144" s="1" t="s">
        <v>23</v>
      </c>
    </row>
    <row r="146" spans="1:17" x14ac:dyDescent="0.2">
      <c r="A146" s="3"/>
      <c r="B146" s="3" t="s">
        <v>33</v>
      </c>
      <c r="C146" s="3" t="s">
        <v>91</v>
      </c>
      <c r="D146" s="3"/>
      <c r="E146" s="3"/>
      <c r="F146" s="3"/>
      <c r="G146" s="3"/>
      <c r="H146" s="3"/>
      <c r="I146" s="3"/>
      <c r="J146" s="3"/>
      <c r="K146" s="4">
        <v>32400</v>
      </c>
      <c r="L146" s="3" t="s">
        <v>23</v>
      </c>
      <c r="M146" s="3"/>
      <c r="N146" s="4">
        <v>32400</v>
      </c>
      <c r="O146" s="3" t="s">
        <v>23</v>
      </c>
      <c r="P146" s="3"/>
      <c r="Q146" s="3"/>
    </row>
    <row r="148" spans="1:17" x14ac:dyDescent="0.2">
      <c r="A148" s="1" t="s">
        <v>0</v>
      </c>
      <c r="F148" s="1">
        <v>501128</v>
      </c>
    </row>
    <row r="149" spans="1:17" x14ac:dyDescent="0.2">
      <c r="A149" s="1" t="s">
        <v>1</v>
      </c>
      <c r="F149" s="1" t="s">
        <v>2</v>
      </c>
    </row>
    <row r="151" spans="1:17" x14ac:dyDescent="0.2">
      <c r="A151" s="1" t="s">
        <v>3</v>
      </c>
      <c r="F151" s="1" t="s">
        <v>92</v>
      </c>
    </row>
    <row r="152" spans="1:17" x14ac:dyDescent="0.2">
      <c r="A152" s="1" t="s">
        <v>5</v>
      </c>
      <c r="F152" s="1" t="s">
        <v>93</v>
      </c>
    </row>
    <row r="155" spans="1:17" x14ac:dyDescent="0.2">
      <c r="C155" s="1" t="s">
        <v>7</v>
      </c>
      <c r="D155" s="1" t="s">
        <v>8</v>
      </c>
      <c r="E155" s="1" t="s">
        <v>9</v>
      </c>
      <c r="G155" s="1" t="s">
        <v>10</v>
      </c>
      <c r="H155" s="1" t="s">
        <v>11</v>
      </c>
      <c r="I155" s="1" t="s">
        <v>12</v>
      </c>
      <c r="J155" s="1" t="s">
        <v>13</v>
      </c>
      <c r="K155" s="1" t="s">
        <v>14</v>
      </c>
      <c r="L155" s="1" t="s">
        <v>15</v>
      </c>
      <c r="M155" s="1" t="s">
        <v>16</v>
      </c>
      <c r="N155" s="1" t="s">
        <v>17</v>
      </c>
      <c r="O155" s="1" t="s">
        <v>18</v>
      </c>
      <c r="P155" s="1" t="s">
        <v>19</v>
      </c>
      <c r="Q155" s="1" t="s">
        <v>20</v>
      </c>
    </row>
    <row r="157" spans="1:17" x14ac:dyDescent="0.2">
      <c r="D157" s="1" t="s">
        <v>21</v>
      </c>
      <c r="E157" s="1">
        <v>103527413</v>
      </c>
      <c r="G157" s="1" t="s">
        <v>50</v>
      </c>
      <c r="I157" s="1" t="s">
        <v>50</v>
      </c>
      <c r="K157" s="2">
        <v>987776.88</v>
      </c>
      <c r="L157" s="1" t="s">
        <v>23</v>
      </c>
      <c r="N157" s="2">
        <v>245258.07</v>
      </c>
      <c r="O157" s="1" t="s">
        <v>24</v>
      </c>
      <c r="P157" s="1" t="s">
        <v>94</v>
      </c>
      <c r="Q157" s="1">
        <v>4.0274999999999999</v>
      </c>
    </row>
    <row r="159" spans="1:17" x14ac:dyDescent="0.2">
      <c r="B159" s="1" t="s">
        <v>32</v>
      </c>
      <c r="K159" s="2">
        <v>987776.88</v>
      </c>
      <c r="L159" s="1" t="s">
        <v>23</v>
      </c>
      <c r="N159" s="2">
        <v>245258.07</v>
      </c>
      <c r="O159" s="1" t="s">
        <v>24</v>
      </c>
    </row>
    <row r="161" spans="1:17" x14ac:dyDescent="0.2">
      <c r="A161" s="3"/>
      <c r="B161" s="3" t="s">
        <v>33</v>
      </c>
      <c r="C161" s="3" t="s">
        <v>95</v>
      </c>
      <c r="D161" s="3"/>
      <c r="E161" s="3"/>
      <c r="F161" s="3"/>
      <c r="G161" s="3"/>
      <c r="H161" s="3"/>
      <c r="I161" s="3"/>
      <c r="J161" s="3"/>
      <c r="K161" s="4">
        <v>987776.88</v>
      </c>
      <c r="L161" s="3" t="s">
        <v>23</v>
      </c>
      <c r="M161" s="3"/>
      <c r="N161" s="4">
        <v>245258.07</v>
      </c>
      <c r="O161" s="3" t="s">
        <v>24</v>
      </c>
      <c r="P161" s="3"/>
      <c r="Q161" s="3"/>
    </row>
    <row r="163" spans="1:17" x14ac:dyDescent="0.2">
      <c r="A163" s="1" t="s">
        <v>0</v>
      </c>
      <c r="F163" s="1">
        <v>501129</v>
      </c>
    </row>
    <row r="164" spans="1:17" x14ac:dyDescent="0.2">
      <c r="A164" s="1" t="s">
        <v>1</v>
      </c>
      <c r="F164" s="1" t="s">
        <v>2</v>
      </c>
    </row>
    <row r="166" spans="1:17" x14ac:dyDescent="0.2">
      <c r="A166" s="1" t="s">
        <v>3</v>
      </c>
      <c r="F166" s="1" t="s">
        <v>96</v>
      </c>
    </row>
    <row r="167" spans="1:17" x14ac:dyDescent="0.2">
      <c r="A167" s="1" t="s">
        <v>5</v>
      </c>
      <c r="F167" s="1" t="s">
        <v>55</v>
      </c>
    </row>
    <row r="170" spans="1:17" x14ac:dyDescent="0.2">
      <c r="C170" s="1" t="s">
        <v>7</v>
      </c>
      <c r="D170" s="1" t="s">
        <v>8</v>
      </c>
      <c r="E170" s="1" t="s">
        <v>9</v>
      </c>
      <c r="G170" s="1" t="s">
        <v>10</v>
      </c>
      <c r="H170" s="1" t="s">
        <v>11</v>
      </c>
      <c r="I170" s="1" t="s">
        <v>12</v>
      </c>
      <c r="J170" s="1" t="s">
        <v>13</v>
      </c>
      <c r="K170" s="1" t="s">
        <v>14</v>
      </c>
      <c r="L170" s="1" t="s">
        <v>15</v>
      </c>
      <c r="M170" s="1" t="s">
        <v>16</v>
      </c>
      <c r="N170" s="1" t="s">
        <v>17</v>
      </c>
      <c r="O170" s="1" t="s">
        <v>18</v>
      </c>
      <c r="P170" s="1" t="s">
        <v>19</v>
      </c>
      <c r="Q170" s="1" t="s">
        <v>20</v>
      </c>
    </row>
    <row r="172" spans="1:17" x14ac:dyDescent="0.2">
      <c r="D172" s="1" t="s">
        <v>21</v>
      </c>
      <c r="E172" s="1">
        <v>103526938</v>
      </c>
      <c r="G172" s="1" t="s">
        <v>36</v>
      </c>
      <c r="I172" s="1" t="s">
        <v>36</v>
      </c>
      <c r="K172" s="2">
        <v>93294.16</v>
      </c>
      <c r="L172" s="1" t="s">
        <v>23</v>
      </c>
      <c r="N172" s="2">
        <v>93294.16</v>
      </c>
      <c r="O172" s="1" t="s">
        <v>23</v>
      </c>
      <c r="P172" s="1" t="s">
        <v>97</v>
      </c>
      <c r="Q172" s="1">
        <v>1</v>
      </c>
    </row>
    <row r="173" spans="1:17" x14ac:dyDescent="0.2">
      <c r="D173" s="1" t="s">
        <v>21</v>
      </c>
      <c r="E173" s="1">
        <v>103526940</v>
      </c>
      <c r="G173" s="1" t="s">
        <v>36</v>
      </c>
      <c r="I173" s="1" t="s">
        <v>36</v>
      </c>
      <c r="K173" s="2">
        <v>127325.62</v>
      </c>
      <c r="L173" s="1" t="s">
        <v>23</v>
      </c>
      <c r="N173" s="2">
        <v>127325.62</v>
      </c>
      <c r="O173" s="1" t="s">
        <v>23</v>
      </c>
      <c r="P173" s="1" t="s">
        <v>98</v>
      </c>
      <c r="Q173" s="1">
        <v>1</v>
      </c>
    </row>
    <row r="174" spans="1:17" x14ac:dyDescent="0.2">
      <c r="D174" s="1" t="s">
        <v>21</v>
      </c>
      <c r="E174" s="1">
        <v>103526984</v>
      </c>
      <c r="G174" s="1" t="s">
        <v>26</v>
      </c>
      <c r="I174" s="1" t="s">
        <v>26</v>
      </c>
      <c r="K174" s="2">
        <v>129136.29</v>
      </c>
      <c r="L174" s="1" t="s">
        <v>23</v>
      </c>
      <c r="N174" s="2">
        <v>129136.29</v>
      </c>
      <c r="O174" s="1" t="s">
        <v>23</v>
      </c>
      <c r="P174" s="1" t="s">
        <v>99</v>
      </c>
      <c r="Q174" s="1">
        <v>1</v>
      </c>
    </row>
    <row r="175" spans="1:17" x14ac:dyDescent="0.2">
      <c r="D175" s="1" t="s">
        <v>21</v>
      </c>
      <c r="E175" s="1">
        <v>103526985</v>
      </c>
      <c r="G175" s="1" t="s">
        <v>26</v>
      </c>
      <c r="I175" s="1" t="s">
        <v>26</v>
      </c>
      <c r="K175" s="2">
        <v>116263.36</v>
      </c>
      <c r="L175" s="1" t="s">
        <v>23</v>
      </c>
      <c r="N175" s="2">
        <v>116263.36</v>
      </c>
      <c r="O175" s="1" t="s">
        <v>23</v>
      </c>
      <c r="P175" s="1" t="s">
        <v>100</v>
      </c>
      <c r="Q175" s="1">
        <v>1</v>
      </c>
    </row>
    <row r="176" spans="1:17" x14ac:dyDescent="0.2">
      <c r="D176" s="1" t="s">
        <v>21</v>
      </c>
      <c r="E176" s="1">
        <v>103527036</v>
      </c>
      <c r="G176" s="1" t="s">
        <v>42</v>
      </c>
      <c r="I176" s="1" t="s">
        <v>42</v>
      </c>
      <c r="K176" s="2">
        <v>45861.02</v>
      </c>
      <c r="L176" s="1" t="s">
        <v>23</v>
      </c>
      <c r="N176" s="2">
        <v>45861.02</v>
      </c>
      <c r="O176" s="1" t="s">
        <v>23</v>
      </c>
      <c r="P176" s="1" t="s">
        <v>101</v>
      </c>
      <c r="Q176" s="1">
        <v>1</v>
      </c>
    </row>
    <row r="177" spans="4:17" x14ac:dyDescent="0.2">
      <c r="D177" s="1" t="s">
        <v>21</v>
      </c>
      <c r="E177" s="1">
        <v>103527037</v>
      </c>
      <c r="G177" s="1" t="s">
        <v>42</v>
      </c>
      <c r="I177" s="1" t="s">
        <v>42</v>
      </c>
      <c r="K177" s="2">
        <v>53251.03</v>
      </c>
      <c r="L177" s="1" t="s">
        <v>23</v>
      </c>
      <c r="N177" s="2">
        <v>53251.03</v>
      </c>
      <c r="O177" s="1" t="s">
        <v>23</v>
      </c>
      <c r="P177" s="1" t="s">
        <v>102</v>
      </c>
      <c r="Q177" s="1">
        <v>1</v>
      </c>
    </row>
    <row r="178" spans="4:17" x14ac:dyDescent="0.2">
      <c r="D178" s="1" t="s">
        <v>21</v>
      </c>
      <c r="E178" s="1">
        <v>103527038</v>
      </c>
      <c r="G178" s="1" t="s">
        <v>42</v>
      </c>
      <c r="I178" s="1" t="s">
        <v>42</v>
      </c>
      <c r="K178" s="2">
        <v>44507.7</v>
      </c>
      <c r="L178" s="1" t="s">
        <v>23</v>
      </c>
      <c r="N178" s="2">
        <v>44507.7</v>
      </c>
      <c r="O178" s="1" t="s">
        <v>23</v>
      </c>
      <c r="P178" s="1" t="s">
        <v>103</v>
      </c>
      <c r="Q178" s="1">
        <v>1</v>
      </c>
    </row>
    <row r="179" spans="4:17" x14ac:dyDescent="0.2">
      <c r="D179" s="1" t="s">
        <v>21</v>
      </c>
      <c r="E179" s="1">
        <v>103527042</v>
      </c>
      <c r="G179" s="1" t="s">
        <v>104</v>
      </c>
      <c r="I179" s="1" t="s">
        <v>104</v>
      </c>
      <c r="K179" s="2">
        <v>18553.490000000002</v>
      </c>
      <c r="L179" s="1" t="s">
        <v>23</v>
      </c>
      <c r="N179" s="2">
        <v>18553.490000000002</v>
      </c>
      <c r="O179" s="1" t="s">
        <v>23</v>
      </c>
      <c r="P179" s="1" t="s">
        <v>105</v>
      </c>
      <c r="Q179" s="1">
        <v>1</v>
      </c>
    </row>
    <row r="180" spans="4:17" x14ac:dyDescent="0.2">
      <c r="D180" s="1" t="s">
        <v>21</v>
      </c>
      <c r="E180" s="1">
        <v>103527043</v>
      </c>
      <c r="G180" s="1" t="s">
        <v>104</v>
      </c>
      <c r="I180" s="1" t="s">
        <v>104</v>
      </c>
      <c r="K180" s="2">
        <v>54697.15</v>
      </c>
      <c r="L180" s="1" t="s">
        <v>23</v>
      </c>
      <c r="N180" s="2">
        <v>54697.15</v>
      </c>
      <c r="O180" s="1" t="s">
        <v>23</v>
      </c>
      <c r="P180" s="1" t="s">
        <v>106</v>
      </c>
      <c r="Q180" s="1">
        <v>1</v>
      </c>
    </row>
    <row r="181" spans="4:17" x14ac:dyDescent="0.2">
      <c r="D181" s="1" t="s">
        <v>21</v>
      </c>
      <c r="E181" s="1">
        <v>103527044</v>
      </c>
      <c r="G181" s="1" t="s">
        <v>104</v>
      </c>
      <c r="I181" s="1" t="s">
        <v>104</v>
      </c>
      <c r="K181" s="2">
        <v>19766.099999999999</v>
      </c>
      <c r="L181" s="1" t="s">
        <v>23</v>
      </c>
      <c r="N181" s="2">
        <v>19766.099999999999</v>
      </c>
      <c r="O181" s="1" t="s">
        <v>23</v>
      </c>
      <c r="P181" s="1" t="s">
        <v>107</v>
      </c>
      <c r="Q181" s="1">
        <v>1</v>
      </c>
    </row>
    <row r="182" spans="4:17" x14ac:dyDescent="0.2">
      <c r="D182" s="1" t="s">
        <v>21</v>
      </c>
      <c r="E182" s="1">
        <v>103527045</v>
      </c>
      <c r="G182" s="1" t="s">
        <v>104</v>
      </c>
      <c r="I182" s="1" t="s">
        <v>104</v>
      </c>
      <c r="K182" s="2">
        <v>42076.13</v>
      </c>
      <c r="L182" s="1" t="s">
        <v>23</v>
      </c>
      <c r="N182" s="2">
        <v>42076.13</v>
      </c>
      <c r="O182" s="1" t="s">
        <v>23</v>
      </c>
      <c r="P182" s="1" t="s">
        <v>108</v>
      </c>
      <c r="Q182" s="1">
        <v>1</v>
      </c>
    </row>
    <row r="183" spans="4:17" x14ac:dyDescent="0.2">
      <c r="D183" s="1" t="s">
        <v>21</v>
      </c>
      <c r="E183" s="1">
        <v>103527046</v>
      </c>
      <c r="G183" s="1" t="s">
        <v>104</v>
      </c>
      <c r="I183" s="1" t="s">
        <v>104</v>
      </c>
      <c r="K183" s="2">
        <v>30663.360000000001</v>
      </c>
      <c r="L183" s="1" t="s">
        <v>23</v>
      </c>
      <c r="N183" s="2">
        <v>30663.360000000001</v>
      </c>
      <c r="O183" s="1" t="s">
        <v>23</v>
      </c>
      <c r="P183" s="1" t="s">
        <v>109</v>
      </c>
      <c r="Q183" s="1">
        <v>1</v>
      </c>
    </row>
    <row r="184" spans="4:17" x14ac:dyDescent="0.2">
      <c r="D184" s="1" t="s">
        <v>21</v>
      </c>
      <c r="E184" s="1">
        <v>103527047</v>
      </c>
      <c r="G184" s="1" t="s">
        <v>104</v>
      </c>
      <c r="I184" s="1" t="s">
        <v>104</v>
      </c>
      <c r="K184" s="2">
        <v>32335.200000000001</v>
      </c>
      <c r="L184" s="1" t="s">
        <v>23</v>
      </c>
      <c r="N184" s="2">
        <v>32335.200000000001</v>
      </c>
      <c r="O184" s="1" t="s">
        <v>23</v>
      </c>
      <c r="P184" s="1" t="s">
        <v>110</v>
      </c>
      <c r="Q184" s="1">
        <v>1</v>
      </c>
    </row>
    <row r="185" spans="4:17" x14ac:dyDescent="0.2">
      <c r="D185" s="1" t="s">
        <v>21</v>
      </c>
      <c r="E185" s="1">
        <v>103527125</v>
      </c>
      <c r="G185" s="1" t="s">
        <v>44</v>
      </c>
      <c r="I185" s="1" t="s">
        <v>44</v>
      </c>
      <c r="K185" s="2">
        <v>102804.09</v>
      </c>
      <c r="L185" s="1" t="s">
        <v>23</v>
      </c>
      <c r="N185" s="2">
        <v>102804.09</v>
      </c>
      <c r="O185" s="1" t="s">
        <v>23</v>
      </c>
      <c r="P185" s="1" t="s">
        <v>111</v>
      </c>
      <c r="Q185" s="1">
        <v>1</v>
      </c>
    </row>
    <row r="186" spans="4:17" x14ac:dyDescent="0.2">
      <c r="D186" s="1" t="s">
        <v>21</v>
      </c>
      <c r="E186" s="1">
        <v>103527126</v>
      </c>
      <c r="G186" s="1" t="s">
        <v>44</v>
      </c>
      <c r="I186" s="1" t="s">
        <v>44</v>
      </c>
      <c r="K186" s="2">
        <v>133515.76999999999</v>
      </c>
      <c r="L186" s="1" t="s">
        <v>23</v>
      </c>
      <c r="N186" s="2">
        <v>133515.76999999999</v>
      </c>
      <c r="O186" s="1" t="s">
        <v>23</v>
      </c>
      <c r="P186" s="1" t="s">
        <v>112</v>
      </c>
      <c r="Q186" s="1">
        <v>1</v>
      </c>
    </row>
    <row r="187" spans="4:17" x14ac:dyDescent="0.2">
      <c r="D187" s="1" t="s">
        <v>21</v>
      </c>
      <c r="E187" s="1">
        <v>103527127</v>
      </c>
      <c r="G187" s="1" t="s">
        <v>44</v>
      </c>
      <c r="I187" s="1" t="s">
        <v>44</v>
      </c>
      <c r="K187" s="2">
        <v>70448.69</v>
      </c>
      <c r="L187" s="1" t="s">
        <v>23</v>
      </c>
      <c r="N187" s="2">
        <v>70448.69</v>
      </c>
      <c r="O187" s="1" t="s">
        <v>23</v>
      </c>
      <c r="P187" s="1" t="s">
        <v>113</v>
      </c>
      <c r="Q187" s="1">
        <v>1</v>
      </c>
    </row>
    <row r="188" spans="4:17" x14ac:dyDescent="0.2">
      <c r="D188" s="1" t="s">
        <v>21</v>
      </c>
      <c r="E188" s="1">
        <v>103527217</v>
      </c>
      <c r="G188" s="1" t="s">
        <v>28</v>
      </c>
      <c r="I188" s="1" t="s">
        <v>28</v>
      </c>
      <c r="K188" s="2">
        <v>49628</v>
      </c>
      <c r="L188" s="1" t="s">
        <v>23</v>
      </c>
      <c r="N188" s="2">
        <v>49628</v>
      </c>
      <c r="O188" s="1" t="s">
        <v>23</v>
      </c>
      <c r="P188" s="1" t="s">
        <v>114</v>
      </c>
      <c r="Q188" s="1">
        <v>1</v>
      </c>
    </row>
    <row r="189" spans="4:17" x14ac:dyDescent="0.2">
      <c r="D189" s="1" t="s">
        <v>21</v>
      </c>
      <c r="E189" s="1">
        <v>103527218</v>
      </c>
      <c r="G189" s="1" t="s">
        <v>28</v>
      </c>
      <c r="I189" s="1" t="s">
        <v>28</v>
      </c>
      <c r="K189" s="2">
        <v>137911.21</v>
      </c>
      <c r="L189" s="1" t="s">
        <v>23</v>
      </c>
      <c r="N189" s="2">
        <v>137911.21</v>
      </c>
      <c r="O189" s="1" t="s">
        <v>23</v>
      </c>
      <c r="P189" s="1" t="s">
        <v>115</v>
      </c>
      <c r="Q189" s="1">
        <v>1</v>
      </c>
    </row>
    <row r="190" spans="4:17" x14ac:dyDescent="0.2">
      <c r="D190" s="1" t="s">
        <v>21</v>
      </c>
      <c r="E190" s="1">
        <v>103527223</v>
      </c>
      <c r="G190" s="1" t="s">
        <v>67</v>
      </c>
      <c r="I190" s="1" t="s">
        <v>67</v>
      </c>
      <c r="K190" s="2">
        <v>108906.24000000001</v>
      </c>
      <c r="L190" s="1" t="s">
        <v>23</v>
      </c>
      <c r="N190" s="2">
        <v>108906.24000000001</v>
      </c>
      <c r="O190" s="1" t="s">
        <v>23</v>
      </c>
      <c r="P190" s="1" t="s">
        <v>116</v>
      </c>
      <c r="Q190" s="1">
        <v>1</v>
      </c>
    </row>
    <row r="191" spans="4:17" x14ac:dyDescent="0.2">
      <c r="D191" s="1" t="s">
        <v>21</v>
      </c>
      <c r="E191" s="1">
        <v>103527246</v>
      </c>
      <c r="G191" s="1" t="s">
        <v>48</v>
      </c>
      <c r="I191" s="1" t="s">
        <v>48</v>
      </c>
      <c r="K191" s="2">
        <v>136784.84</v>
      </c>
      <c r="L191" s="1" t="s">
        <v>23</v>
      </c>
      <c r="N191" s="2">
        <v>136784.84</v>
      </c>
      <c r="O191" s="1" t="s">
        <v>23</v>
      </c>
      <c r="P191" s="1" t="s">
        <v>117</v>
      </c>
      <c r="Q191" s="1">
        <v>1</v>
      </c>
    </row>
    <row r="192" spans="4:17" x14ac:dyDescent="0.2">
      <c r="D192" s="1" t="s">
        <v>21</v>
      </c>
      <c r="E192" s="1">
        <v>103527408</v>
      </c>
      <c r="G192" s="1" t="s">
        <v>50</v>
      </c>
      <c r="I192" s="1" t="s">
        <v>50</v>
      </c>
      <c r="K192" s="2">
        <v>137567.35</v>
      </c>
      <c r="L192" s="1" t="s">
        <v>23</v>
      </c>
      <c r="N192" s="2">
        <v>137567.35</v>
      </c>
      <c r="O192" s="1" t="s">
        <v>23</v>
      </c>
      <c r="P192" s="1" t="s">
        <v>118</v>
      </c>
      <c r="Q192" s="1">
        <v>1</v>
      </c>
    </row>
    <row r="193" spans="4:17" x14ac:dyDescent="0.2">
      <c r="D193" s="1" t="s">
        <v>21</v>
      </c>
      <c r="E193" s="1">
        <v>103527409</v>
      </c>
      <c r="G193" s="1" t="s">
        <v>50</v>
      </c>
      <c r="I193" s="1" t="s">
        <v>50</v>
      </c>
      <c r="K193" s="2">
        <v>142273.32</v>
      </c>
      <c r="L193" s="1" t="s">
        <v>23</v>
      </c>
      <c r="N193" s="2">
        <v>142273.32</v>
      </c>
      <c r="O193" s="1" t="s">
        <v>23</v>
      </c>
      <c r="P193" s="1" t="s">
        <v>119</v>
      </c>
      <c r="Q193" s="1">
        <v>1</v>
      </c>
    </row>
    <row r="194" spans="4:17" x14ac:dyDescent="0.2">
      <c r="D194" s="1" t="s">
        <v>21</v>
      </c>
      <c r="E194" s="1">
        <v>103527410</v>
      </c>
      <c r="G194" s="1" t="s">
        <v>50</v>
      </c>
      <c r="I194" s="1" t="s">
        <v>50</v>
      </c>
      <c r="K194" s="2">
        <v>125857.17</v>
      </c>
      <c r="L194" s="1" t="s">
        <v>23</v>
      </c>
      <c r="N194" s="2">
        <v>125857.17</v>
      </c>
      <c r="O194" s="1" t="s">
        <v>23</v>
      </c>
      <c r="P194" s="1" t="s">
        <v>120</v>
      </c>
      <c r="Q194" s="1">
        <v>1</v>
      </c>
    </row>
    <row r="195" spans="4:17" x14ac:dyDescent="0.2">
      <c r="D195" s="1" t="s">
        <v>21</v>
      </c>
      <c r="E195" s="1">
        <v>103527423</v>
      </c>
      <c r="G195" s="1" t="s">
        <v>30</v>
      </c>
      <c r="I195" s="1" t="s">
        <v>30</v>
      </c>
      <c r="K195" s="2">
        <v>49865.27</v>
      </c>
      <c r="L195" s="1" t="s">
        <v>23</v>
      </c>
      <c r="N195" s="2">
        <v>49865.27</v>
      </c>
      <c r="O195" s="1" t="s">
        <v>23</v>
      </c>
      <c r="P195" s="1" t="s">
        <v>121</v>
      </c>
      <c r="Q195" s="1">
        <v>1</v>
      </c>
    </row>
    <row r="196" spans="4:17" x14ac:dyDescent="0.2">
      <c r="D196" s="1" t="s">
        <v>21</v>
      </c>
      <c r="E196" s="1">
        <v>103527424</v>
      </c>
      <c r="G196" s="1" t="s">
        <v>30</v>
      </c>
      <c r="I196" s="1" t="s">
        <v>30</v>
      </c>
      <c r="K196" s="2">
        <v>31074.04</v>
      </c>
      <c r="L196" s="1" t="s">
        <v>23</v>
      </c>
      <c r="N196" s="2">
        <v>31074.04</v>
      </c>
      <c r="O196" s="1" t="s">
        <v>23</v>
      </c>
      <c r="P196" s="1" t="s">
        <v>122</v>
      </c>
      <c r="Q196" s="1">
        <v>1</v>
      </c>
    </row>
    <row r="197" spans="4:17" x14ac:dyDescent="0.2">
      <c r="D197" s="1" t="s">
        <v>21</v>
      </c>
      <c r="E197" s="1">
        <v>103527425</v>
      </c>
      <c r="G197" s="1" t="s">
        <v>30</v>
      </c>
      <c r="I197" s="1" t="s">
        <v>30</v>
      </c>
      <c r="K197" s="2">
        <v>28049.599999999999</v>
      </c>
      <c r="L197" s="1" t="s">
        <v>23</v>
      </c>
      <c r="N197" s="2">
        <v>28049.599999999999</v>
      </c>
      <c r="O197" s="1" t="s">
        <v>23</v>
      </c>
      <c r="P197" s="1" t="s">
        <v>123</v>
      </c>
      <c r="Q197" s="1">
        <v>1</v>
      </c>
    </row>
    <row r="198" spans="4:17" x14ac:dyDescent="0.2">
      <c r="D198" s="1" t="s">
        <v>21</v>
      </c>
      <c r="E198" s="1">
        <v>103540123</v>
      </c>
      <c r="G198" s="1" t="s">
        <v>104</v>
      </c>
      <c r="I198" s="1" t="s">
        <v>104</v>
      </c>
      <c r="K198" s="2">
        <v>143330.94</v>
      </c>
      <c r="L198" s="1" t="s">
        <v>23</v>
      </c>
      <c r="N198" s="2">
        <v>143330.94</v>
      </c>
      <c r="O198" s="1" t="s">
        <v>23</v>
      </c>
      <c r="P198" s="1" t="s">
        <v>124</v>
      </c>
      <c r="Q198" s="1">
        <v>1</v>
      </c>
    </row>
    <row r="199" spans="4:17" x14ac:dyDescent="0.2">
      <c r="D199" s="1" t="s">
        <v>21</v>
      </c>
      <c r="E199" s="1">
        <v>2200009664</v>
      </c>
      <c r="G199" s="1" t="s">
        <v>26</v>
      </c>
      <c r="I199" s="1" t="s">
        <v>26</v>
      </c>
      <c r="K199" s="2">
        <v>1513.69</v>
      </c>
      <c r="L199" s="1" t="s">
        <v>23</v>
      </c>
      <c r="N199" s="2">
        <v>1513.69</v>
      </c>
      <c r="O199" s="1" t="s">
        <v>23</v>
      </c>
      <c r="P199" s="1" t="s">
        <v>99</v>
      </c>
      <c r="Q199" s="1">
        <v>1</v>
      </c>
    </row>
    <row r="200" spans="4:17" x14ac:dyDescent="0.2">
      <c r="D200" s="1" t="s">
        <v>21</v>
      </c>
      <c r="E200" s="1">
        <v>2200009666</v>
      </c>
      <c r="G200" s="1" t="s">
        <v>26</v>
      </c>
      <c r="I200" s="1" t="s">
        <v>26</v>
      </c>
      <c r="K200" s="2">
        <v>1362.8</v>
      </c>
      <c r="L200" s="1" t="s">
        <v>23</v>
      </c>
      <c r="N200" s="2">
        <v>1362.8</v>
      </c>
      <c r="O200" s="1" t="s">
        <v>23</v>
      </c>
      <c r="P200" s="1" t="s">
        <v>100</v>
      </c>
      <c r="Q200" s="1">
        <v>1</v>
      </c>
    </row>
    <row r="201" spans="4:17" x14ac:dyDescent="0.2">
      <c r="D201" s="1" t="s">
        <v>21</v>
      </c>
      <c r="E201" s="1">
        <v>2200009742</v>
      </c>
      <c r="G201" s="1" t="s">
        <v>44</v>
      </c>
      <c r="I201" s="1" t="s">
        <v>44</v>
      </c>
      <c r="K201" s="2">
        <v>1140.48</v>
      </c>
      <c r="L201" s="1" t="s">
        <v>23</v>
      </c>
      <c r="N201" s="2">
        <v>1140.48</v>
      </c>
      <c r="O201" s="1" t="s">
        <v>23</v>
      </c>
      <c r="P201" s="1" t="s">
        <v>111</v>
      </c>
      <c r="Q201" s="1">
        <v>1</v>
      </c>
    </row>
    <row r="202" spans="4:17" x14ac:dyDescent="0.2">
      <c r="D202" s="1" t="s">
        <v>21</v>
      </c>
      <c r="E202" s="1">
        <v>2200009744</v>
      </c>
      <c r="G202" s="1" t="s">
        <v>44</v>
      </c>
      <c r="I202" s="1" t="s">
        <v>44</v>
      </c>
      <c r="K202" s="2">
        <v>1481.18</v>
      </c>
      <c r="L202" s="1" t="s">
        <v>23</v>
      </c>
      <c r="N202" s="2">
        <v>1481.18</v>
      </c>
      <c r="O202" s="1" t="s">
        <v>23</v>
      </c>
      <c r="P202" s="1" t="s">
        <v>112</v>
      </c>
      <c r="Q202" s="1">
        <v>1</v>
      </c>
    </row>
    <row r="203" spans="4:17" x14ac:dyDescent="0.2">
      <c r="D203" s="1" t="s">
        <v>21</v>
      </c>
      <c r="E203" s="1">
        <v>2200009746</v>
      </c>
      <c r="G203" s="1" t="s">
        <v>44</v>
      </c>
      <c r="I203" s="1" t="s">
        <v>44</v>
      </c>
      <c r="K203" s="1">
        <v>781.54</v>
      </c>
      <c r="L203" s="1" t="s">
        <v>23</v>
      </c>
      <c r="N203" s="1">
        <v>781.54</v>
      </c>
      <c r="O203" s="1" t="s">
        <v>23</v>
      </c>
      <c r="P203" s="1" t="s">
        <v>113</v>
      </c>
      <c r="Q203" s="1">
        <v>1</v>
      </c>
    </row>
    <row r="204" spans="4:17" x14ac:dyDescent="0.2">
      <c r="D204" s="1" t="s">
        <v>21</v>
      </c>
      <c r="E204" s="1">
        <v>2200009802</v>
      </c>
      <c r="G204" s="1" t="s">
        <v>67</v>
      </c>
      <c r="I204" s="1" t="s">
        <v>67</v>
      </c>
      <c r="K204" s="2">
        <v>1276.56</v>
      </c>
      <c r="L204" s="1" t="s">
        <v>23</v>
      </c>
      <c r="N204" s="2">
        <v>1276.56</v>
      </c>
      <c r="O204" s="1" t="s">
        <v>23</v>
      </c>
      <c r="P204" s="1" t="s">
        <v>116</v>
      </c>
      <c r="Q204" s="1">
        <v>1</v>
      </c>
    </row>
    <row r="205" spans="4:17" x14ac:dyDescent="0.2">
      <c r="D205" s="1" t="s">
        <v>21</v>
      </c>
      <c r="E205" s="1">
        <v>2200009824</v>
      </c>
      <c r="G205" s="1" t="s">
        <v>48</v>
      </c>
      <c r="I205" s="1" t="s">
        <v>48</v>
      </c>
      <c r="K205" s="2">
        <v>1517.45</v>
      </c>
      <c r="L205" s="1" t="s">
        <v>23</v>
      </c>
      <c r="N205" s="2">
        <v>1517.45</v>
      </c>
      <c r="O205" s="1" t="s">
        <v>23</v>
      </c>
      <c r="P205" s="1" t="s">
        <v>117</v>
      </c>
      <c r="Q205" s="1">
        <v>1</v>
      </c>
    </row>
    <row r="206" spans="4:17" x14ac:dyDescent="0.2">
      <c r="D206" s="1" t="s">
        <v>21</v>
      </c>
      <c r="E206" s="1">
        <v>2200009870</v>
      </c>
      <c r="G206" s="1" t="s">
        <v>50</v>
      </c>
      <c r="I206" s="1" t="s">
        <v>50</v>
      </c>
      <c r="K206" s="2">
        <v>1439.75</v>
      </c>
      <c r="L206" s="1" t="s">
        <v>23</v>
      </c>
      <c r="N206" s="2">
        <v>1439.75</v>
      </c>
      <c r="O206" s="1" t="s">
        <v>23</v>
      </c>
      <c r="P206" s="1" t="s">
        <v>118</v>
      </c>
      <c r="Q206" s="1">
        <v>1</v>
      </c>
    </row>
    <row r="207" spans="4:17" x14ac:dyDescent="0.2">
      <c r="D207" s="1" t="s">
        <v>21</v>
      </c>
      <c r="E207" s="1">
        <v>2200009872</v>
      </c>
      <c r="G207" s="1" t="s">
        <v>50</v>
      </c>
      <c r="I207" s="1" t="s">
        <v>50</v>
      </c>
      <c r="K207" s="2">
        <v>1489</v>
      </c>
      <c r="L207" s="1" t="s">
        <v>23</v>
      </c>
      <c r="N207" s="2">
        <v>1489</v>
      </c>
      <c r="O207" s="1" t="s">
        <v>23</v>
      </c>
      <c r="P207" s="1" t="s">
        <v>119</v>
      </c>
      <c r="Q207" s="1">
        <v>1</v>
      </c>
    </row>
    <row r="208" spans="4:17" x14ac:dyDescent="0.2">
      <c r="D208" s="1" t="s">
        <v>21</v>
      </c>
      <c r="E208" s="1">
        <v>2200009874</v>
      </c>
      <c r="G208" s="1" t="s">
        <v>50</v>
      </c>
      <c r="I208" s="1" t="s">
        <v>50</v>
      </c>
      <c r="K208" s="2">
        <v>1317.19</v>
      </c>
      <c r="L208" s="1" t="s">
        <v>23</v>
      </c>
      <c r="N208" s="2">
        <v>1317.19</v>
      </c>
      <c r="O208" s="1" t="s">
        <v>23</v>
      </c>
      <c r="P208" s="1" t="s">
        <v>120</v>
      </c>
      <c r="Q208" s="1">
        <v>1</v>
      </c>
    </row>
    <row r="209" spans="1:17" x14ac:dyDescent="0.2">
      <c r="D209" s="1" t="s">
        <v>21</v>
      </c>
      <c r="E209" s="1">
        <v>2200009889</v>
      </c>
      <c r="G209" s="1" t="s">
        <v>30</v>
      </c>
      <c r="I209" s="1" t="s">
        <v>30</v>
      </c>
      <c r="K209" s="1">
        <v>364.72</v>
      </c>
      <c r="L209" s="1" t="s">
        <v>23</v>
      </c>
      <c r="N209" s="1">
        <v>364.72</v>
      </c>
      <c r="O209" s="1" t="s">
        <v>23</v>
      </c>
      <c r="P209" s="1" t="s">
        <v>122</v>
      </c>
      <c r="Q209" s="1">
        <v>1</v>
      </c>
    </row>
    <row r="211" spans="1:17" x14ac:dyDescent="0.2">
      <c r="B211" s="1" t="s">
        <v>32</v>
      </c>
      <c r="K211" s="2">
        <v>2219431.5</v>
      </c>
      <c r="L211" s="1" t="s">
        <v>23</v>
      </c>
      <c r="N211" s="2">
        <v>2219431.5</v>
      </c>
      <c r="O211" s="1" t="s">
        <v>23</v>
      </c>
    </row>
    <row r="213" spans="1:17" x14ac:dyDescent="0.2">
      <c r="A213" s="3"/>
      <c r="B213" s="3" t="s">
        <v>33</v>
      </c>
      <c r="C213" s="3" t="s">
        <v>125</v>
      </c>
      <c r="D213" s="3"/>
      <c r="E213" s="3"/>
      <c r="F213" s="3"/>
      <c r="G213" s="3"/>
      <c r="H213" s="3"/>
      <c r="I213" s="3"/>
      <c r="J213" s="3"/>
      <c r="K213" s="4">
        <v>2219431.5</v>
      </c>
      <c r="L213" s="3" t="s">
        <v>23</v>
      </c>
      <c r="M213" s="3"/>
      <c r="N213" s="4">
        <v>2219431.5</v>
      </c>
      <c r="O213" s="3" t="s">
        <v>23</v>
      </c>
      <c r="P213" s="3"/>
      <c r="Q213" s="3"/>
    </row>
    <row r="215" spans="1:17" x14ac:dyDescent="0.2">
      <c r="A215" s="1" t="s">
        <v>0</v>
      </c>
      <c r="F215" s="1">
        <v>501131</v>
      </c>
    </row>
    <row r="216" spans="1:17" x14ac:dyDescent="0.2">
      <c r="A216" s="1" t="s">
        <v>1</v>
      </c>
      <c r="F216" s="1" t="s">
        <v>2</v>
      </c>
    </row>
    <row r="218" spans="1:17" x14ac:dyDescent="0.2">
      <c r="A218" s="1" t="s">
        <v>3</v>
      </c>
      <c r="F218" s="1" t="s">
        <v>126</v>
      </c>
    </row>
    <row r="219" spans="1:17" x14ac:dyDescent="0.2">
      <c r="A219" s="1" t="s">
        <v>5</v>
      </c>
      <c r="F219" s="1" t="s">
        <v>55</v>
      </c>
    </row>
    <row r="222" spans="1:17" x14ac:dyDescent="0.2">
      <c r="C222" s="1" t="s">
        <v>7</v>
      </c>
      <c r="D222" s="1" t="s">
        <v>8</v>
      </c>
      <c r="E222" s="1" t="s">
        <v>9</v>
      </c>
      <c r="G222" s="1" t="s">
        <v>10</v>
      </c>
      <c r="H222" s="1" t="s">
        <v>11</v>
      </c>
      <c r="I222" s="1" t="s">
        <v>12</v>
      </c>
      <c r="J222" s="1" t="s">
        <v>13</v>
      </c>
      <c r="K222" s="1" t="s">
        <v>14</v>
      </c>
      <c r="L222" s="1" t="s">
        <v>15</v>
      </c>
      <c r="M222" s="1" t="s">
        <v>16</v>
      </c>
      <c r="N222" s="1" t="s">
        <v>17</v>
      </c>
      <c r="O222" s="1" t="s">
        <v>18</v>
      </c>
      <c r="P222" s="1" t="s">
        <v>19</v>
      </c>
      <c r="Q222" s="1" t="s">
        <v>20</v>
      </c>
    </row>
    <row r="224" spans="1:17" x14ac:dyDescent="0.2">
      <c r="D224" s="1" t="s">
        <v>21</v>
      </c>
      <c r="E224" s="1">
        <v>103526953</v>
      </c>
      <c r="G224" s="1" t="s">
        <v>22</v>
      </c>
      <c r="I224" s="1" t="s">
        <v>22</v>
      </c>
      <c r="K224" s="2">
        <v>68831.899999999994</v>
      </c>
      <c r="L224" s="1" t="s">
        <v>23</v>
      </c>
      <c r="N224" s="2">
        <v>68831.899999999994</v>
      </c>
      <c r="O224" s="1" t="s">
        <v>23</v>
      </c>
      <c r="P224" s="1" t="s">
        <v>127</v>
      </c>
      <c r="Q224" s="1">
        <v>1</v>
      </c>
    </row>
    <row r="225" spans="1:17" x14ac:dyDescent="0.2">
      <c r="D225" s="1" t="s">
        <v>21</v>
      </c>
      <c r="E225" s="1">
        <v>103526955</v>
      </c>
      <c r="G225" s="1" t="s">
        <v>22</v>
      </c>
      <c r="I225" s="1" t="s">
        <v>22</v>
      </c>
      <c r="K225" s="2">
        <v>73106.399999999994</v>
      </c>
      <c r="L225" s="1" t="s">
        <v>23</v>
      </c>
      <c r="N225" s="2">
        <v>73106.399999999994</v>
      </c>
      <c r="O225" s="1" t="s">
        <v>23</v>
      </c>
      <c r="P225" s="1" t="s">
        <v>128</v>
      </c>
      <c r="Q225" s="1">
        <v>1</v>
      </c>
    </row>
    <row r="226" spans="1:17" x14ac:dyDescent="0.2">
      <c r="D226" s="1" t="s">
        <v>21</v>
      </c>
      <c r="E226" s="1">
        <v>103526956</v>
      </c>
      <c r="G226" s="1" t="s">
        <v>22</v>
      </c>
      <c r="I226" s="1" t="s">
        <v>22</v>
      </c>
      <c r="K226" s="2">
        <v>14828</v>
      </c>
      <c r="L226" s="1" t="s">
        <v>23</v>
      </c>
      <c r="N226" s="2">
        <v>14828</v>
      </c>
      <c r="O226" s="1" t="s">
        <v>23</v>
      </c>
      <c r="P226" s="1" t="s">
        <v>129</v>
      </c>
      <c r="Q226" s="1">
        <v>1</v>
      </c>
    </row>
    <row r="227" spans="1:17" x14ac:dyDescent="0.2">
      <c r="D227" s="1" t="s">
        <v>21</v>
      </c>
      <c r="E227" s="1">
        <v>103527017</v>
      </c>
      <c r="G227" s="1" t="s">
        <v>130</v>
      </c>
      <c r="I227" s="1" t="s">
        <v>130</v>
      </c>
      <c r="K227" s="2">
        <v>64882.080000000002</v>
      </c>
      <c r="L227" s="1" t="s">
        <v>23</v>
      </c>
      <c r="N227" s="2">
        <v>64882.080000000002</v>
      </c>
      <c r="O227" s="1" t="s">
        <v>23</v>
      </c>
      <c r="P227" s="1" t="s">
        <v>131</v>
      </c>
      <c r="Q227" s="1">
        <v>1</v>
      </c>
    </row>
    <row r="228" spans="1:17" x14ac:dyDescent="0.2">
      <c r="D228" s="1" t="s">
        <v>21</v>
      </c>
      <c r="E228" s="1">
        <v>103527019</v>
      </c>
      <c r="G228" s="1" t="s">
        <v>130</v>
      </c>
      <c r="I228" s="1" t="s">
        <v>130</v>
      </c>
      <c r="K228" s="2">
        <v>73327.679999999993</v>
      </c>
      <c r="L228" s="1" t="s">
        <v>23</v>
      </c>
      <c r="N228" s="2">
        <v>73327.679999999993</v>
      </c>
      <c r="O228" s="1" t="s">
        <v>23</v>
      </c>
      <c r="P228" s="1" t="s">
        <v>132</v>
      </c>
      <c r="Q228" s="1">
        <v>1</v>
      </c>
    </row>
    <row r="229" spans="1:17" x14ac:dyDescent="0.2">
      <c r="D229" s="1" t="s">
        <v>21</v>
      </c>
      <c r="E229" s="1">
        <v>103527163</v>
      </c>
      <c r="G229" s="1" t="s">
        <v>46</v>
      </c>
      <c r="I229" s="1" t="s">
        <v>46</v>
      </c>
      <c r="K229" s="2">
        <v>20222.939999999999</v>
      </c>
      <c r="L229" s="1" t="s">
        <v>23</v>
      </c>
      <c r="N229" s="2">
        <v>20222.939999999999</v>
      </c>
      <c r="O229" s="1" t="s">
        <v>23</v>
      </c>
      <c r="P229" s="1" t="s">
        <v>133</v>
      </c>
      <c r="Q229" s="1">
        <v>1</v>
      </c>
    </row>
    <row r="230" spans="1:17" x14ac:dyDescent="0.2">
      <c r="D230" s="1" t="s">
        <v>21</v>
      </c>
      <c r="E230" s="1">
        <v>103527165</v>
      </c>
      <c r="G230" s="1" t="s">
        <v>46</v>
      </c>
      <c r="I230" s="1" t="s">
        <v>46</v>
      </c>
      <c r="K230" s="2">
        <v>25278.67</v>
      </c>
      <c r="L230" s="1" t="s">
        <v>23</v>
      </c>
      <c r="N230" s="2">
        <v>25278.67</v>
      </c>
      <c r="O230" s="1" t="s">
        <v>23</v>
      </c>
      <c r="P230" s="1" t="s">
        <v>134</v>
      </c>
      <c r="Q230" s="1">
        <v>1</v>
      </c>
    </row>
    <row r="232" spans="1:17" x14ac:dyDescent="0.2">
      <c r="B232" s="1" t="s">
        <v>32</v>
      </c>
      <c r="K232" s="2">
        <v>340477.67</v>
      </c>
      <c r="L232" s="1" t="s">
        <v>23</v>
      </c>
      <c r="N232" s="2">
        <v>340477.67</v>
      </c>
      <c r="O232" s="1" t="s">
        <v>23</v>
      </c>
    </row>
    <row r="234" spans="1:17" x14ac:dyDescent="0.2">
      <c r="A234" s="3"/>
      <c r="B234" s="3" t="s">
        <v>33</v>
      </c>
      <c r="C234" s="3" t="s">
        <v>135</v>
      </c>
      <c r="D234" s="3"/>
      <c r="E234" s="3"/>
      <c r="F234" s="3"/>
      <c r="G234" s="3"/>
      <c r="H234" s="3"/>
      <c r="I234" s="3"/>
      <c r="J234" s="3"/>
      <c r="K234" s="4">
        <v>340477.67</v>
      </c>
      <c r="L234" s="3" t="s">
        <v>23</v>
      </c>
      <c r="M234" s="3"/>
      <c r="N234" s="4">
        <v>340477.67</v>
      </c>
      <c r="O234" s="3" t="s">
        <v>23</v>
      </c>
      <c r="P234" s="3"/>
      <c r="Q234" s="3"/>
    </row>
    <row r="236" spans="1:17" x14ac:dyDescent="0.2">
      <c r="A236" s="1" t="s">
        <v>0</v>
      </c>
      <c r="F236" s="1">
        <v>501133</v>
      </c>
    </row>
    <row r="237" spans="1:17" x14ac:dyDescent="0.2">
      <c r="A237" s="1" t="s">
        <v>1</v>
      </c>
      <c r="F237" s="1" t="s">
        <v>2</v>
      </c>
    </row>
    <row r="239" spans="1:17" x14ac:dyDescent="0.2">
      <c r="A239" s="1" t="s">
        <v>3</v>
      </c>
      <c r="F239" s="1" t="s">
        <v>136</v>
      </c>
    </row>
    <row r="240" spans="1:17" x14ac:dyDescent="0.2">
      <c r="A240" s="1" t="s">
        <v>5</v>
      </c>
      <c r="F240" s="1" t="s">
        <v>55</v>
      </c>
    </row>
    <row r="243" spans="1:17" x14ac:dyDescent="0.2">
      <c r="C243" s="1" t="s">
        <v>7</v>
      </c>
      <c r="D243" s="1" t="s">
        <v>8</v>
      </c>
      <c r="E243" s="1" t="s">
        <v>9</v>
      </c>
      <c r="G243" s="1" t="s">
        <v>10</v>
      </c>
      <c r="H243" s="1" t="s">
        <v>11</v>
      </c>
      <c r="I243" s="1" t="s">
        <v>12</v>
      </c>
      <c r="J243" s="1" t="s">
        <v>13</v>
      </c>
      <c r="K243" s="1" t="s">
        <v>14</v>
      </c>
      <c r="L243" s="1" t="s">
        <v>15</v>
      </c>
      <c r="M243" s="1" t="s">
        <v>16</v>
      </c>
      <c r="N243" s="1" t="s">
        <v>17</v>
      </c>
      <c r="O243" s="1" t="s">
        <v>18</v>
      </c>
      <c r="P243" s="1" t="s">
        <v>19</v>
      </c>
      <c r="Q243" s="1" t="s">
        <v>20</v>
      </c>
    </row>
    <row r="245" spans="1:17" x14ac:dyDescent="0.2">
      <c r="D245" s="1" t="s">
        <v>21</v>
      </c>
      <c r="E245" s="1">
        <v>103527012</v>
      </c>
      <c r="G245" s="1" t="s">
        <v>130</v>
      </c>
      <c r="I245" s="1" t="s">
        <v>130</v>
      </c>
      <c r="K245" s="2">
        <v>934000.01</v>
      </c>
      <c r="L245" s="1" t="s">
        <v>23</v>
      </c>
      <c r="N245" s="2">
        <v>228278.14</v>
      </c>
      <c r="O245" s="1" t="s">
        <v>24</v>
      </c>
      <c r="P245" s="1" t="s">
        <v>137</v>
      </c>
      <c r="Q245" s="1">
        <v>4.0914999999999999</v>
      </c>
    </row>
    <row r="246" spans="1:17" x14ac:dyDescent="0.2">
      <c r="D246" s="1" t="s">
        <v>21</v>
      </c>
      <c r="E246" s="1">
        <v>103527014</v>
      </c>
      <c r="G246" s="1" t="s">
        <v>130</v>
      </c>
      <c r="I246" s="1" t="s">
        <v>130</v>
      </c>
      <c r="K246" s="2">
        <v>68770.14</v>
      </c>
      <c r="L246" s="1" t="s">
        <v>23</v>
      </c>
      <c r="N246" s="2">
        <v>16808.05</v>
      </c>
      <c r="O246" s="1" t="s">
        <v>24</v>
      </c>
      <c r="P246" s="1" t="s">
        <v>138</v>
      </c>
      <c r="Q246" s="1">
        <v>4.0914999999999999</v>
      </c>
    </row>
    <row r="247" spans="1:17" x14ac:dyDescent="0.2">
      <c r="D247" s="1" t="s">
        <v>21</v>
      </c>
      <c r="E247" s="1">
        <v>103527441</v>
      </c>
      <c r="G247" s="1" t="s">
        <v>30</v>
      </c>
      <c r="I247" s="1" t="s">
        <v>30</v>
      </c>
      <c r="K247" s="2">
        <v>746659.58</v>
      </c>
      <c r="L247" s="1" t="s">
        <v>23</v>
      </c>
      <c r="N247" s="2">
        <v>185459.41</v>
      </c>
      <c r="O247" s="1" t="s">
        <v>24</v>
      </c>
      <c r="P247" s="1" t="s">
        <v>139</v>
      </c>
      <c r="Q247" s="1">
        <v>4.0259999999999998</v>
      </c>
    </row>
    <row r="248" spans="1:17" x14ac:dyDescent="0.2">
      <c r="D248" s="1" t="s">
        <v>21</v>
      </c>
      <c r="E248" s="1">
        <v>103527443</v>
      </c>
      <c r="G248" s="1" t="s">
        <v>30</v>
      </c>
      <c r="I248" s="1" t="s">
        <v>30</v>
      </c>
      <c r="K248" s="2">
        <v>134928.57</v>
      </c>
      <c r="L248" s="1" t="s">
        <v>23</v>
      </c>
      <c r="N248" s="2">
        <v>33514.300000000003</v>
      </c>
      <c r="O248" s="1" t="s">
        <v>24</v>
      </c>
      <c r="P248" s="1" t="s">
        <v>140</v>
      </c>
      <c r="Q248" s="1">
        <v>4.0259999999999998</v>
      </c>
    </row>
    <row r="249" spans="1:17" x14ac:dyDescent="0.2">
      <c r="D249" s="1" t="s">
        <v>21</v>
      </c>
      <c r="E249" s="1">
        <v>103527445</v>
      </c>
      <c r="G249" s="1" t="s">
        <v>30</v>
      </c>
      <c r="I249" s="1" t="s">
        <v>30</v>
      </c>
      <c r="K249" s="2">
        <v>75805.8</v>
      </c>
      <c r="L249" s="1" t="s">
        <v>23</v>
      </c>
      <c r="N249" s="2">
        <v>18829.060000000001</v>
      </c>
      <c r="O249" s="1" t="s">
        <v>24</v>
      </c>
      <c r="P249" s="1" t="s">
        <v>141</v>
      </c>
      <c r="Q249" s="1">
        <v>4.0259999999999998</v>
      </c>
    </row>
    <row r="251" spans="1:17" x14ac:dyDescent="0.2">
      <c r="B251" s="1" t="s">
        <v>32</v>
      </c>
      <c r="K251" s="2">
        <v>1960164.1</v>
      </c>
      <c r="L251" s="1" t="s">
        <v>23</v>
      </c>
      <c r="N251" s="2">
        <v>482888.96000000002</v>
      </c>
      <c r="O251" s="1" t="s">
        <v>24</v>
      </c>
    </row>
    <row r="253" spans="1:17" x14ac:dyDescent="0.2">
      <c r="A253" s="3"/>
      <c r="B253" s="3" t="s">
        <v>33</v>
      </c>
      <c r="C253" s="3" t="s">
        <v>142</v>
      </c>
      <c r="D253" s="3"/>
      <c r="E253" s="3"/>
      <c r="F253" s="3"/>
      <c r="G253" s="3"/>
      <c r="H253" s="3"/>
      <c r="I253" s="3"/>
      <c r="J253" s="3"/>
      <c r="K253" s="4">
        <v>1960164.1</v>
      </c>
      <c r="L253" s="3" t="s">
        <v>23</v>
      </c>
      <c r="M253" s="3"/>
      <c r="N253" s="4">
        <v>482888.96000000002</v>
      </c>
      <c r="O253" s="3" t="s">
        <v>24</v>
      </c>
      <c r="P253" s="3"/>
      <c r="Q253" s="3"/>
    </row>
    <row r="255" spans="1:17" x14ac:dyDescent="0.2">
      <c r="A255" s="1" t="s">
        <v>0</v>
      </c>
      <c r="F255" s="1">
        <v>501134</v>
      </c>
    </row>
    <row r="256" spans="1:17" x14ac:dyDescent="0.2">
      <c r="A256" s="1" t="s">
        <v>1</v>
      </c>
      <c r="F256" s="1" t="s">
        <v>2</v>
      </c>
    </row>
    <row r="258" spans="1:17" x14ac:dyDescent="0.2">
      <c r="A258" s="1" t="s">
        <v>3</v>
      </c>
      <c r="F258" s="1" t="s">
        <v>143</v>
      </c>
    </row>
    <row r="259" spans="1:17" x14ac:dyDescent="0.2">
      <c r="A259" s="1" t="s">
        <v>5</v>
      </c>
      <c r="F259" s="1" t="s">
        <v>55</v>
      </c>
    </row>
    <row r="262" spans="1:17" x14ac:dyDescent="0.2">
      <c r="C262" s="1" t="s">
        <v>7</v>
      </c>
      <c r="D262" s="1" t="s">
        <v>8</v>
      </c>
      <c r="E262" s="1" t="s">
        <v>9</v>
      </c>
      <c r="G262" s="1" t="s">
        <v>10</v>
      </c>
      <c r="H262" s="1" t="s">
        <v>11</v>
      </c>
      <c r="I262" s="1" t="s">
        <v>12</v>
      </c>
      <c r="J262" s="1" t="s">
        <v>13</v>
      </c>
      <c r="K262" s="1" t="s">
        <v>14</v>
      </c>
      <c r="L262" s="1" t="s">
        <v>15</v>
      </c>
      <c r="M262" s="1" t="s">
        <v>16</v>
      </c>
      <c r="N262" s="1" t="s">
        <v>17</v>
      </c>
      <c r="O262" s="1" t="s">
        <v>18</v>
      </c>
      <c r="P262" s="1" t="s">
        <v>19</v>
      </c>
      <c r="Q262" s="1" t="s">
        <v>20</v>
      </c>
    </row>
    <row r="264" spans="1:17" x14ac:dyDescent="0.2">
      <c r="D264" s="1" t="s">
        <v>21</v>
      </c>
      <c r="E264" s="1">
        <v>103527128</v>
      </c>
      <c r="G264" s="1" t="s">
        <v>44</v>
      </c>
      <c r="I264" s="1" t="s">
        <v>44</v>
      </c>
      <c r="K264" s="2">
        <v>229947.41</v>
      </c>
      <c r="L264" s="1" t="s">
        <v>23</v>
      </c>
      <c r="N264" s="2">
        <v>229947.41</v>
      </c>
      <c r="O264" s="1" t="s">
        <v>23</v>
      </c>
      <c r="P264" s="1" t="s">
        <v>144</v>
      </c>
      <c r="Q264" s="1">
        <v>1</v>
      </c>
    </row>
    <row r="265" spans="1:17" x14ac:dyDescent="0.2">
      <c r="D265" s="1" t="s">
        <v>21</v>
      </c>
      <c r="E265" s="1">
        <v>103527201</v>
      </c>
      <c r="G265" s="1" t="s">
        <v>75</v>
      </c>
      <c r="I265" s="1" t="s">
        <v>75</v>
      </c>
      <c r="K265" s="2">
        <v>223554.29</v>
      </c>
      <c r="L265" s="1" t="s">
        <v>23</v>
      </c>
      <c r="N265" s="2">
        <v>223554.29</v>
      </c>
      <c r="O265" s="1" t="s">
        <v>23</v>
      </c>
      <c r="P265" s="1" t="s">
        <v>145</v>
      </c>
      <c r="Q265" s="1">
        <v>1</v>
      </c>
    </row>
    <row r="266" spans="1:17" x14ac:dyDescent="0.2">
      <c r="D266" s="1" t="s">
        <v>21</v>
      </c>
      <c r="E266" s="1">
        <v>103527222</v>
      </c>
      <c r="G266" s="1" t="s">
        <v>67</v>
      </c>
      <c r="I266" s="1" t="s">
        <v>67</v>
      </c>
      <c r="K266" s="2">
        <v>254519.82</v>
      </c>
      <c r="L266" s="1" t="s">
        <v>23</v>
      </c>
      <c r="N266" s="2">
        <v>254519.82</v>
      </c>
      <c r="O266" s="1" t="s">
        <v>23</v>
      </c>
      <c r="P266" s="1" t="s">
        <v>146</v>
      </c>
      <c r="Q266" s="1">
        <v>1</v>
      </c>
    </row>
    <row r="267" spans="1:17" x14ac:dyDescent="0.2">
      <c r="D267" s="1" t="s">
        <v>21</v>
      </c>
      <c r="E267" s="1">
        <v>103527260</v>
      </c>
      <c r="G267" s="1" t="s">
        <v>58</v>
      </c>
      <c r="I267" s="1" t="s">
        <v>58</v>
      </c>
      <c r="K267" s="2">
        <v>257565.19</v>
      </c>
      <c r="L267" s="1" t="s">
        <v>23</v>
      </c>
      <c r="N267" s="2">
        <v>257565.19</v>
      </c>
      <c r="O267" s="1" t="s">
        <v>23</v>
      </c>
      <c r="P267" s="1" t="s">
        <v>147</v>
      </c>
      <c r="Q267" s="1">
        <v>1</v>
      </c>
    </row>
    <row r="268" spans="1:17" x14ac:dyDescent="0.2">
      <c r="D268" s="1" t="s">
        <v>21</v>
      </c>
      <c r="E268" s="1">
        <v>103527407</v>
      </c>
      <c r="G268" s="1" t="s">
        <v>50</v>
      </c>
      <c r="I268" s="1" t="s">
        <v>50</v>
      </c>
      <c r="K268" s="2">
        <v>240778.27</v>
      </c>
      <c r="L268" s="1" t="s">
        <v>23</v>
      </c>
      <c r="N268" s="2">
        <v>240778.27</v>
      </c>
      <c r="O268" s="1" t="s">
        <v>23</v>
      </c>
      <c r="P268" s="1" t="s">
        <v>148</v>
      </c>
      <c r="Q268" s="1">
        <v>1</v>
      </c>
    </row>
    <row r="269" spans="1:17" x14ac:dyDescent="0.2">
      <c r="D269" s="1" t="s">
        <v>21</v>
      </c>
      <c r="E269" s="1">
        <v>2200009748</v>
      </c>
      <c r="G269" s="1" t="s">
        <v>44</v>
      </c>
      <c r="I269" s="1" t="s">
        <v>44</v>
      </c>
      <c r="K269" s="2">
        <v>6630.05</v>
      </c>
      <c r="L269" s="1" t="s">
        <v>23</v>
      </c>
      <c r="N269" s="2">
        <v>6630.05</v>
      </c>
      <c r="O269" s="1" t="s">
        <v>23</v>
      </c>
      <c r="P269" s="1" t="s">
        <v>144</v>
      </c>
      <c r="Q269" s="1">
        <v>1</v>
      </c>
    </row>
    <row r="270" spans="1:17" x14ac:dyDescent="0.2">
      <c r="D270" s="1" t="s">
        <v>21</v>
      </c>
      <c r="E270" s="1">
        <v>2200009779</v>
      </c>
      <c r="G270" s="1" t="s">
        <v>75</v>
      </c>
      <c r="I270" s="1" t="s">
        <v>75</v>
      </c>
      <c r="K270" s="2">
        <v>6445.71</v>
      </c>
      <c r="L270" s="1" t="s">
        <v>23</v>
      </c>
      <c r="N270" s="2">
        <v>6445.71</v>
      </c>
      <c r="O270" s="1" t="s">
        <v>23</v>
      </c>
      <c r="P270" s="1" t="s">
        <v>145</v>
      </c>
      <c r="Q270" s="1">
        <v>1</v>
      </c>
    </row>
    <row r="271" spans="1:17" x14ac:dyDescent="0.2">
      <c r="D271" s="1" t="s">
        <v>21</v>
      </c>
      <c r="E271" s="1">
        <v>2200009800</v>
      </c>
      <c r="G271" s="1" t="s">
        <v>67</v>
      </c>
      <c r="I271" s="1" t="s">
        <v>67</v>
      </c>
      <c r="K271" s="2">
        <v>7285.68</v>
      </c>
      <c r="L271" s="1" t="s">
        <v>23</v>
      </c>
      <c r="N271" s="2">
        <v>7285.68</v>
      </c>
      <c r="O271" s="1" t="s">
        <v>23</v>
      </c>
      <c r="P271" s="1" t="s">
        <v>146</v>
      </c>
      <c r="Q271" s="1">
        <v>1</v>
      </c>
    </row>
    <row r="272" spans="1:17" x14ac:dyDescent="0.2">
      <c r="D272" s="1" t="s">
        <v>21</v>
      </c>
      <c r="E272" s="1">
        <v>2200009839</v>
      </c>
      <c r="G272" s="1" t="s">
        <v>58</v>
      </c>
      <c r="I272" s="1" t="s">
        <v>58</v>
      </c>
      <c r="K272" s="2">
        <v>7434.81</v>
      </c>
      <c r="L272" s="1" t="s">
        <v>23</v>
      </c>
      <c r="N272" s="2">
        <v>7434.81</v>
      </c>
      <c r="O272" s="1" t="s">
        <v>23</v>
      </c>
      <c r="P272" s="1" t="s">
        <v>147</v>
      </c>
      <c r="Q272" s="1">
        <v>1</v>
      </c>
    </row>
    <row r="273" spans="1:17" x14ac:dyDescent="0.2">
      <c r="D273" s="1" t="s">
        <v>21</v>
      </c>
      <c r="E273" s="1">
        <v>2200009868</v>
      </c>
      <c r="G273" s="1" t="s">
        <v>50</v>
      </c>
      <c r="I273" s="1" t="s">
        <v>50</v>
      </c>
      <c r="K273" s="2">
        <v>6892.33</v>
      </c>
      <c r="L273" s="1" t="s">
        <v>23</v>
      </c>
      <c r="N273" s="2">
        <v>6892.33</v>
      </c>
      <c r="O273" s="1" t="s">
        <v>23</v>
      </c>
      <c r="P273" s="1" t="s">
        <v>148</v>
      </c>
      <c r="Q273" s="1">
        <v>1</v>
      </c>
    </row>
    <row r="275" spans="1:17" x14ac:dyDescent="0.2">
      <c r="B275" s="1" t="s">
        <v>32</v>
      </c>
      <c r="K275" s="2">
        <v>1241053.56</v>
      </c>
      <c r="L275" s="1" t="s">
        <v>23</v>
      </c>
      <c r="N275" s="2">
        <v>1241053.56</v>
      </c>
      <c r="O275" s="1" t="s">
        <v>23</v>
      </c>
    </row>
    <row r="277" spans="1:17" x14ac:dyDescent="0.2">
      <c r="A277" s="3"/>
      <c r="B277" s="3" t="s">
        <v>33</v>
      </c>
      <c r="C277" s="3" t="s">
        <v>149</v>
      </c>
      <c r="D277" s="3"/>
      <c r="E277" s="3"/>
      <c r="F277" s="3"/>
      <c r="G277" s="3"/>
      <c r="H277" s="3"/>
      <c r="I277" s="3"/>
      <c r="J277" s="3"/>
      <c r="K277" s="4">
        <v>1241053.56</v>
      </c>
      <c r="L277" s="3" t="s">
        <v>23</v>
      </c>
      <c r="M277" s="3"/>
      <c r="N277" s="4">
        <v>1241053.56</v>
      </c>
      <c r="O277" s="3" t="s">
        <v>23</v>
      </c>
      <c r="P277" s="3"/>
      <c r="Q277" s="3"/>
    </row>
    <row r="279" spans="1:17" x14ac:dyDescent="0.2">
      <c r="A279" s="1" t="s">
        <v>0</v>
      </c>
      <c r="F279" s="1">
        <v>501140</v>
      </c>
    </row>
    <row r="280" spans="1:17" x14ac:dyDescent="0.2">
      <c r="A280" s="1" t="s">
        <v>1</v>
      </c>
      <c r="F280" s="1" t="s">
        <v>2</v>
      </c>
    </row>
    <row r="282" spans="1:17" x14ac:dyDescent="0.2">
      <c r="A282" s="1" t="s">
        <v>3</v>
      </c>
      <c r="F282" s="1" t="s">
        <v>150</v>
      </c>
    </row>
    <row r="283" spans="1:17" x14ac:dyDescent="0.2">
      <c r="A283" s="1" t="s">
        <v>5</v>
      </c>
      <c r="F283" s="1" t="s">
        <v>151</v>
      </c>
    </row>
    <row r="286" spans="1:17" x14ac:dyDescent="0.2">
      <c r="C286" s="1" t="s">
        <v>7</v>
      </c>
      <c r="D286" s="1" t="s">
        <v>8</v>
      </c>
      <c r="E286" s="1" t="s">
        <v>9</v>
      </c>
      <c r="G286" s="1" t="s">
        <v>10</v>
      </c>
      <c r="H286" s="1" t="s">
        <v>11</v>
      </c>
      <c r="I286" s="1" t="s">
        <v>12</v>
      </c>
      <c r="J286" s="1" t="s">
        <v>13</v>
      </c>
      <c r="K286" s="1" t="s">
        <v>14</v>
      </c>
      <c r="L286" s="1" t="s">
        <v>15</v>
      </c>
      <c r="M286" s="1" t="s">
        <v>16</v>
      </c>
      <c r="N286" s="1" t="s">
        <v>17</v>
      </c>
      <c r="O286" s="1" t="s">
        <v>18</v>
      </c>
      <c r="P286" s="1" t="s">
        <v>19</v>
      </c>
      <c r="Q286" s="1" t="s">
        <v>20</v>
      </c>
    </row>
    <row r="288" spans="1:17" x14ac:dyDescent="0.2">
      <c r="D288" s="1" t="s">
        <v>21</v>
      </c>
      <c r="E288" s="1">
        <v>103527000</v>
      </c>
      <c r="G288" s="1" t="s">
        <v>130</v>
      </c>
      <c r="I288" s="1" t="s">
        <v>130</v>
      </c>
      <c r="K288" s="2">
        <v>512730</v>
      </c>
      <c r="L288" s="1" t="s">
        <v>23</v>
      </c>
      <c r="N288" s="2">
        <v>512730</v>
      </c>
      <c r="O288" s="1" t="s">
        <v>23</v>
      </c>
      <c r="P288" s="1" t="s">
        <v>152</v>
      </c>
      <c r="Q288" s="1">
        <v>1</v>
      </c>
    </row>
    <row r="289" spans="1:17" x14ac:dyDescent="0.2">
      <c r="D289" s="1" t="s">
        <v>21</v>
      </c>
      <c r="E289" s="1">
        <v>103527027</v>
      </c>
      <c r="G289" s="1" t="s">
        <v>42</v>
      </c>
      <c r="I289" s="1" t="s">
        <v>42</v>
      </c>
      <c r="K289" s="2">
        <v>299465.03999999998</v>
      </c>
      <c r="L289" s="1" t="s">
        <v>23</v>
      </c>
      <c r="N289" s="2">
        <v>299465.03999999998</v>
      </c>
      <c r="O289" s="1" t="s">
        <v>23</v>
      </c>
      <c r="P289" s="1" t="s">
        <v>153</v>
      </c>
      <c r="Q289" s="1">
        <v>1</v>
      </c>
    </row>
    <row r="291" spans="1:17" x14ac:dyDescent="0.2">
      <c r="B291" s="1" t="s">
        <v>32</v>
      </c>
      <c r="K291" s="2">
        <v>812195.04</v>
      </c>
      <c r="L291" s="1" t="s">
        <v>23</v>
      </c>
      <c r="N291" s="2">
        <v>812195.04</v>
      </c>
      <c r="O291" s="1" t="s">
        <v>23</v>
      </c>
    </row>
    <row r="293" spans="1:17" x14ac:dyDescent="0.2">
      <c r="A293" s="3"/>
      <c r="B293" s="3" t="s">
        <v>33</v>
      </c>
      <c r="C293" s="3" t="s">
        <v>154</v>
      </c>
      <c r="D293" s="3"/>
      <c r="E293" s="3"/>
      <c r="F293" s="3"/>
      <c r="G293" s="3"/>
      <c r="H293" s="3"/>
      <c r="I293" s="3"/>
      <c r="J293" s="3"/>
      <c r="K293" s="4">
        <v>812195.04</v>
      </c>
      <c r="L293" s="3" t="s">
        <v>23</v>
      </c>
      <c r="M293" s="3"/>
      <c r="N293" s="4">
        <v>812195.04</v>
      </c>
      <c r="O293" s="3" t="s">
        <v>23</v>
      </c>
      <c r="P293" s="3"/>
      <c r="Q293" s="3"/>
    </row>
    <row r="295" spans="1:17" x14ac:dyDescent="0.2">
      <c r="A295" s="1" t="s">
        <v>0</v>
      </c>
      <c r="F295" s="1">
        <v>501142</v>
      </c>
    </row>
    <row r="296" spans="1:17" x14ac:dyDescent="0.2">
      <c r="A296" s="1" t="s">
        <v>1</v>
      </c>
      <c r="F296" s="1" t="s">
        <v>2</v>
      </c>
    </row>
    <row r="298" spans="1:17" x14ac:dyDescent="0.2">
      <c r="A298" s="1" t="s">
        <v>3</v>
      </c>
      <c r="F298" s="1" t="s">
        <v>155</v>
      </c>
    </row>
    <row r="299" spans="1:17" x14ac:dyDescent="0.2">
      <c r="A299" s="1" t="s">
        <v>5</v>
      </c>
      <c r="F299" s="1" t="s">
        <v>55</v>
      </c>
    </row>
    <row r="302" spans="1:17" x14ac:dyDescent="0.2">
      <c r="C302" s="1" t="s">
        <v>7</v>
      </c>
      <c r="D302" s="1" t="s">
        <v>8</v>
      </c>
      <c r="E302" s="1" t="s">
        <v>9</v>
      </c>
      <c r="G302" s="1" t="s">
        <v>10</v>
      </c>
      <c r="H302" s="1" t="s">
        <v>11</v>
      </c>
      <c r="I302" s="1" t="s">
        <v>12</v>
      </c>
      <c r="J302" s="1" t="s">
        <v>13</v>
      </c>
      <c r="K302" s="1" t="s">
        <v>14</v>
      </c>
      <c r="L302" s="1" t="s">
        <v>15</v>
      </c>
      <c r="M302" s="1" t="s">
        <v>16</v>
      </c>
      <c r="N302" s="1" t="s">
        <v>17</v>
      </c>
      <c r="O302" s="1" t="s">
        <v>18</v>
      </c>
      <c r="P302" s="1" t="s">
        <v>19</v>
      </c>
      <c r="Q302" s="1" t="s">
        <v>20</v>
      </c>
    </row>
    <row r="304" spans="1:17" x14ac:dyDescent="0.2">
      <c r="D304" s="1" t="s">
        <v>21</v>
      </c>
      <c r="E304" s="1">
        <v>103526974</v>
      </c>
      <c r="G304" s="1" t="s">
        <v>22</v>
      </c>
      <c r="I304" s="1" t="s">
        <v>22</v>
      </c>
      <c r="K304" s="2">
        <v>364555.61</v>
      </c>
      <c r="L304" s="1" t="s">
        <v>23</v>
      </c>
      <c r="N304" s="2">
        <v>364555.61</v>
      </c>
      <c r="O304" s="1" t="s">
        <v>23</v>
      </c>
      <c r="P304" s="1" t="s">
        <v>156</v>
      </c>
      <c r="Q304" s="1">
        <v>1</v>
      </c>
    </row>
    <row r="305" spans="1:17" x14ac:dyDescent="0.2">
      <c r="D305" s="1" t="s">
        <v>21</v>
      </c>
      <c r="E305" s="1">
        <v>103526981</v>
      </c>
      <c r="G305" s="1" t="s">
        <v>26</v>
      </c>
      <c r="I305" s="1" t="s">
        <v>26</v>
      </c>
      <c r="K305" s="2">
        <v>596124.06000000006</v>
      </c>
      <c r="L305" s="1" t="s">
        <v>23</v>
      </c>
      <c r="N305" s="2">
        <v>596124.06000000006</v>
      </c>
      <c r="O305" s="1" t="s">
        <v>23</v>
      </c>
      <c r="P305" s="1" t="s">
        <v>157</v>
      </c>
      <c r="Q305" s="1">
        <v>1</v>
      </c>
    </row>
    <row r="306" spans="1:17" x14ac:dyDescent="0.2">
      <c r="D306" s="1" t="s">
        <v>21</v>
      </c>
      <c r="E306" s="1">
        <v>103540124</v>
      </c>
      <c r="G306" s="1" t="s">
        <v>64</v>
      </c>
      <c r="I306" s="1" t="s">
        <v>64</v>
      </c>
      <c r="K306" s="2">
        <v>208502.95</v>
      </c>
      <c r="L306" s="1" t="s">
        <v>23</v>
      </c>
      <c r="N306" s="2">
        <v>208502.95</v>
      </c>
      <c r="O306" s="1" t="s">
        <v>23</v>
      </c>
      <c r="P306" s="1" t="s">
        <v>158</v>
      </c>
      <c r="Q306" s="1">
        <v>1</v>
      </c>
    </row>
    <row r="307" spans="1:17" x14ac:dyDescent="0.2">
      <c r="D307" s="1" t="s">
        <v>21</v>
      </c>
      <c r="E307" s="1">
        <v>103540125</v>
      </c>
      <c r="G307" s="1" t="s">
        <v>48</v>
      </c>
      <c r="I307" s="1" t="s">
        <v>48</v>
      </c>
      <c r="K307" s="2">
        <v>518220.37</v>
      </c>
      <c r="L307" s="1" t="s">
        <v>23</v>
      </c>
      <c r="N307" s="2">
        <v>518220.37</v>
      </c>
      <c r="O307" s="1" t="s">
        <v>23</v>
      </c>
      <c r="P307" s="1" t="s">
        <v>159</v>
      </c>
      <c r="Q307" s="1">
        <v>1</v>
      </c>
    </row>
    <row r="308" spans="1:17" x14ac:dyDescent="0.2">
      <c r="D308" s="1" t="s">
        <v>21</v>
      </c>
      <c r="E308" s="1">
        <v>103540126</v>
      </c>
      <c r="G308" s="1" t="s">
        <v>30</v>
      </c>
      <c r="I308" s="1" t="s">
        <v>30</v>
      </c>
      <c r="K308" s="2">
        <v>608936.42000000004</v>
      </c>
      <c r="L308" s="1" t="s">
        <v>23</v>
      </c>
      <c r="N308" s="2">
        <v>608936.42000000004</v>
      </c>
      <c r="O308" s="1" t="s">
        <v>23</v>
      </c>
      <c r="P308" s="1" t="s">
        <v>160</v>
      </c>
      <c r="Q308" s="1">
        <v>1</v>
      </c>
    </row>
    <row r="309" spans="1:17" x14ac:dyDescent="0.2">
      <c r="D309" s="1" t="s">
        <v>21</v>
      </c>
      <c r="E309" s="1">
        <v>103540127</v>
      </c>
      <c r="G309" s="1" t="s">
        <v>30</v>
      </c>
      <c r="I309" s="1" t="s">
        <v>30</v>
      </c>
      <c r="K309" s="2">
        <v>266574.15999999997</v>
      </c>
      <c r="L309" s="1" t="s">
        <v>23</v>
      </c>
      <c r="N309" s="2">
        <v>266574.15999999997</v>
      </c>
      <c r="O309" s="1" t="s">
        <v>23</v>
      </c>
      <c r="P309" s="1" t="s">
        <v>161</v>
      </c>
      <c r="Q309" s="1">
        <v>1</v>
      </c>
    </row>
    <row r="311" spans="1:17" x14ac:dyDescent="0.2">
      <c r="B311" s="1" t="s">
        <v>32</v>
      </c>
      <c r="K311" s="2">
        <v>2562913.5699999998</v>
      </c>
      <c r="L311" s="1" t="s">
        <v>23</v>
      </c>
      <c r="N311" s="2">
        <v>2562913.5699999998</v>
      </c>
      <c r="O311" s="1" t="s">
        <v>23</v>
      </c>
    </row>
    <row r="313" spans="1:17" x14ac:dyDescent="0.2">
      <c r="A313" s="3"/>
      <c r="B313" s="3" t="s">
        <v>33</v>
      </c>
      <c r="C313" s="3" t="s">
        <v>162</v>
      </c>
      <c r="D313" s="3"/>
      <c r="E313" s="3"/>
      <c r="F313" s="3"/>
      <c r="G313" s="3"/>
      <c r="H313" s="3"/>
      <c r="I313" s="3"/>
      <c r="J313" s="3"/>
      <c r="K313" s="4">
        <v>2562913.5699999998</v>
      </c>
      <c r="L313" s="3" t="s">
        <v>23</v>
      </c>
      <c r="M313" s="3"/>
      <c r="N313" s="4">
        <v>2562913.5699999998</v>
      </c>
      <c r="O313" s="3" t="s">
        <v>23</v>
      </c>
      <c r="P313" s="3"/>
      <c r="Q313" s="3"/>
    </row>
    <row r="315" spans="1:17" x14ac:dyDescent="0.2">
      <c r="A315" s="1" t="s">
        <v>0</v>
      </c>
      <c r="F315" s="1">
        <v>501147</v>
      </c>
    </row>
    <row r="316" spans="1:17" x14ac:dyDescent="0.2">
      <c r="A316" s="1" t="s">
        <v>1</v>
      </c>
      <c r="F316" s="1" t="s">
        <v>2</v>
      </c>
    </row>
    <row r="318" spans="1:17" x14ac:dyDescent="0.2">
      <c r="A318" s="1" t="s">
        <v>3</v>
      </c>
      <c r="F318" s="1" t="s">
        <v>163</v>
      </c>
    </row>
    <row r="319" spans="1:17" x14ac:dyDescent="0.2">
      <c r="A319" s="1" t="s">
        <v>5</v>
      </c>
      <c r="F319" s="1" t="s">
        <v>151</v>
      </c>
    </row>
    <row r="322" spans="1:17" x14ac:dyDescent="0.2">
      <c r="C322" s="1" t="s">
        <v>7</v>
      </c>
      <c r="D322" s="1" t="s">
        <v>8</v>
      </c>
      <c r="E322" s="1" t="s">
        <v>9</v>
      </c>
      <c r="G322" s="1" t="s">
        <v>10</v>
      </c>
      <c r="H322" s="1" t="s">
        <v>11</v>
      </c>
      <c r="I322" s="1" t="s">
        <v>12</v>
      </c>
      <c r="J322" s="1" t="s">
        <v>13</v>
      </c>
      <c r="K322" s="1" t="s">
        <v>14</v>
      </c>
      <c r="L322" s="1" t="s">
        <v>15</v>
      </c>
      <c r="M322" s="1" t="s">
        <v>16</v>
      </c>
      <c r="N322" s="1" t="s">
        <v>17</v>
      </c>
      <c r="O322" s="1" t="s">
        <v>18</v>
      </c>
      <c r="P322" s="1" t="s">
        <v>19</v>
      </c>
      <c r="Q322" s="1" t="s">
        <v>20</v>
      </c>
    </row>
    <row r="324" spans="1:17" x14ac:dyDescent="0.2">
      <c r="D324" s="1" t="s">
        <v>21</v>
      </c>
      <c r="E324" s="1">
        <v>103526921</v>
      </c>
      <c r="G324" s="1" t="s">
        <v>164</v>
      </c>
      <c r="I324" s="1" t="s">
        <v>164</v>
      </c>
      <c r="K324" s="2">
        <v>20000</v>
      </c>
      <c r="L324" s="1" t="s">
        <v>23</v>
      </c>
      <c r="N324" s="2">
        <v>20000</v>
      </c>
      <c r="O324" s="1" t="s">
        <v>23</v>
      </c>
      <c r="P324" s="1" t="s">
        <v>165</v>
      </c>
      <c r="Q324" s="1">
        <v>1</v>
      </c>
    </row>
    <row r="325" spans="1:17" x14ac:dyDescent="0.2">
      <c r="D325" s="1" t="s">
        <v>21</v>
      </c>
      <c r="E325" s="1">
        <v>103526993</v>
      </c>
      <c r="G325" s="1" t="s">
        <v>86</v>
      </c>
      <c r="I325" s="1" t="s">
        <v>86</v>
      </c>
      <c r="K325" s="2">
        <v>418000</v>
      </c>
      <c r="L325" s="1" t="s">
        <v>23</v>
      </c>
      <c r="N325" s="2">
        <v>418000</v>
      </c>
      <c r="O325" s="1" t="s">
        <v>23</v>
      </c>
      <c r="P325" s="1" t="s">
        <v>166</v>
      </c>
      <c r="Q325" s="1">
        <v>1</v>
      </c>
    </row>
    <row r="327" spans="1:17" x14ac:dyDescent="0.2">
      <c r="B327" s="1" t="s">
        <v>32</v>
      </c>
      <c r="K327" s="2">
        <v>438000</v>
      </c>
      <c r="L327" s="1" t="s">
        <v>23</v>
      </c>
      <c r="N327" s="2">
        <v>438000</v>
      </c>
      <c r="O327" s="1" t="s">
        <v>23</v>
      </c>
    </row>
    <row r="329" spans="1:17" x14ac:dyDescent="0.2">
      <c r="A329" s="3"/>
      <c r="B329" s="3" t="s">
        <v>33</v>
      </c>
      <c r="C329" s="3" t="s">
        <v>167</v>
      </c>
      <c r="D329" s="3"/>
      <c r="E329" s="3"/>
      <c r="F329" s="3"/>
      <c r="G329" s="3"/>
      <c r="H329" s="3"/>
      <c r="I329" s="3"/>
      <c r="J329" s="3"/>
      <c r="K329" s="4">
        <v>438000</v>
      </c>
      <c r="L329" s="3" t="s">
        <v>23</v>
      </c>
      <c r="M329" s="3"/>
      <c r="N329" s="4">
        <v>438000</v>
      </c>
      <c r="O329" s="3" t="s">
        <v>23</v>
      </c>
      <c r="P329" s="3"/>
      <c r="Q329" s="3"/>
    </row>
    <row r="331" spans="1:17" x14ac:dyDescent="0.2">
      <c r="A331" s="1" t="s">
        <v>0</v>
      </c>
      <c r="F331" s="1">
        <v>501157</v>
      </c>
    </row>
    <row r="332" spans="1:17" x14ac:dyDescent="0.2">
      <c r="A332" s="1" t="s">
        <v>1</v>
      </c>
      <c r="F332" s="1" t="s">
        <v>2</v>
      </c>
    </row>
    <row r="334" spans="1:17" x14ac:dyDescent="0.2">
      <c r="A334" s="1" t="s">
        <v>3</v>
      </c>
      <c r="F334" s="1" t="s">
        <v>168</v>
      </c>
    </row>
    <row r="335" spans="1:17" x14ac:dyDescent="0.2">
      <c r="A335" s="1" t="s">
        <v>5</v>
      </c>
      <c r="F335" s="1" t="s">
        <v>169</v>
      </c>
    </row>
    <row r="338" spans="1:17" x14ac:dyDescent="0.2">
      <c r="C338" s="1" t="s">
        <v>7</v>
      </c>
      <c r="D338" s="1" t="s">
        <v>8</v>
      </c>
      <c r="E338" s="1" t="s">
        <v>9</v>
      </c>
      <c r="G338" s="1" t="s">
        <v>10</v>
      </c>
      <c r="H338" s="1" t="s">
        <v>11</v>
      </c>
      <c r="I338" s="1" t="s">
        <v>12</v>
      </c>
      <c r="J338" s="1" t="s">
        <v>13</v>
      </c>
      <c r="K338" s="1" t="s">
        <v>14</v>
      </c>
      <c r="L338" s="1" t="s">
        <v>15</v>
      </c>
      <c r="M338" s="1" t="s">
        <v>16</v>
      </c>
      <c r="N338" s="1" t="s">
        <v>17</v>
      </c>
      <c r="O338" s="1" t="s">
        <v>18</v>
      </c>
      <c r="P338" s="1" t="s">
        <v>19</v>
      </c>
      <c r="Q338" s="1" t="s">
        <v>20</v>
      </c>
    </row>
    <row r="340" spans="1:17" x14ac:dyDescent="0.2">
      <c r="D340" s="1" t="s">
        <v>21</v>
      </c>
      <c r="E340" s="1">
        <v>103527211</v>
      </c>
      <c r="G340" s="1" t="s">
        <v>28</v>
      </c>
      <c r="I340" s="1" t="s">
        <v>28</v>
      </c>
      <c r="K340" s="2">
        <v>1595800</v>
      </c>
      <c r="L340" s="1" t="s">
        <v>23</v>
      </c>
      <c r="N340" s="2">
        <v>395000</v>
      </c>
      <c r="O340" s="1" t="s">
        <v>24</v>
      </c>
      <c r="P340" s="1" t="s">
        <v>170</v>
      </c>
      <c r="Q340" s="1">
        <v>4.04</v>
      </c>
    </row>
    <row r="341" spans="1:17" x14ac:dyDescent="0.2">
      <c r="D341" s="1" t="s">
        <v>21</v>
      </c>
      <c r="E341" s="1">
        <v>103527221</v>
      </c>
      <c r="G341" s="1" t="s">
        <v>67</v>
      </c>
      <c r="I341" s="1" t="s">
        <v>67</v>
      </c>
      <c r="K341" s="2">
        <v>1721892</v>
      </c>
      <c r="L341" s="1" t="s">
        <v>23</v>
      </c>
      <c r="N341" s="2">
        <v>426000</v>
      </c>
      <c r="O341" s="1" t="s">
        <v>24</v>
      </c>
      <c r="P341" s="1" t="s">
        <v>171</v>
      </c>
      <c r="Q341" s="1">
        <v>4.0419999999999998</v>
      </c>
    </row>
    <row r="342" spans="1:17" x14ac:dyDescent="0.2">
      <c r="D342" s="1" t="s">
        <v>21</v>
      </c>
      <c r="E342" s="1">
        <v>103527250</v>
      </c>
      <c r="G342" s="1" t="s">
        <v>48</v>
      </c>
      <c r="I342" s="1" t="s">
        <v>48</v>
      </c>
      <c r="K342" s="2">
        <v>1343988</v>
      </c>
      <c r="L342" s="1" t="s">
        <v>23</v>
      </c>
      <c r="N342" s="2">
        <v>333000</v>
      </c>
      <c r="O342" s="1" t="s">
        <v>24</v>
      </c>
      <c r="P342" s="1" t="s">
        <v>172</v>
      </c>
      <c r="Q342" s="1">
        <v>4.0359999999999996</v>
      </c>
    </row>
    <row r="343" spans="1:17" x14ac:dyDescent="0.2">
      <c r="D343" s="1" t="s">
        <v>21</v>
      </c>
      <c r="E343" s="1">
        <v>103527259</v>
      </c>
      <c r="G343" s="1" t="s">
        <v>58</v>
      </c>
      <c r="I343" s="1" t="s">
        <v>58</v>
      </c>
      <c r="K343" s="2">
        <v>2399940</v>
      </c>
      <c r="L343" s="1" t="s">
        <v>23</v>
      </c>
      <c r="N343" s="2">
        <v>597000</v>
      </c>
      <c r="O343" s="1" t="s">
        <v>24</v>
      </c>
      <c r="P343" s="1" t="s">
        <v>173</v>
      </c>
      <c r="Q343" s="1">
        <v>4.0199999999999996</v>
      </c>
    </row>
    <row r="345" spans="1:17" x14ac:dyDescent="0.2">
      <c r="B345" s="1" t="s">
        <v>32</v>
      </c>
      <c r="K345" s="2">
        <v>7061620</v>
      </c>
      <c r="L345" s="1" t="s">
        <v>23</v>
      </c>
      <c r="N345" s="2">
        <v>1751000</v>
      </c>
      <c r="O345" s="1" t="s">
        <v>24</v>
      </c>
    </row>
    <row r="347" spans="1:17" x14ac:dyDescent="0.2">
      <c r="A347" s="3"/>
      <c r="B347" s="3" t="s">
        <v>33</v>
      </c>
      <c r="C347" s="3" t="s">
        <v>174</v>
      </c>
      <c r="D347" s="3"/>
      <c r="E347" s="3"/>
      <c r="F347" s="3"/>
      <c r="G347" s="3"/>
      <c r="H347" s="3"/>
      <c r="I347" s="3"/>
      <c r="J347" s="3"/>
      <c r="K347" s="4">
        <v>7061620</v>
      </c>
      <c r="L347" s="3" t="s">
        <v>23</v>
      </c>
      <c r="M347" s="3"/>
      <c r="N347" s="4">
        <v>1751000</v>
      </c>
      <c r="O347" s="3" t="s">
        <v>24</v>
      </c>
      <c r="P347" s="3"/>
      <c r="Q347" s="3"/>
    </row>
    <row r="349" spans="1:17" x14ac:dyDescent="0.2">
      <c r="A349" s="1" t="s">
        <v>0</v>
      </c>
      <c r="F349" s="1">
        <v>501160</v>
      </c>
    </row>
    <row r="350" spans="1:17" x14ac:dyDescent="0.2">
      <c r="A350" s="1" t="s">
        <v>1</v>
      </c>
      <c r="F350" s="1" t="s">
        <v>2</v>
      </c>
    </row>
    <row r="352" spans="1:17" x14ac:dyDescent="0.2">
      <c r="A352" s="1" t="s">
        <v>3</v>
      </c>
      <c r="F352" s="1" t="s">
        <v>175</v>
      </c>
    </row>
    <row r="353" spans="1:17" x14ac:dyDescent="0.2">
      <c r="A353" s="1" t="s">
        <v>5</v>
      </c>
      <c r="F353" s="1" t="s">
        <v>176</v>
      </c>
    </row>
    <row r="356" spans="1:17" x14ac:dyDescent="0.2">
      <c r="C356" s="1" t="s">
        <v>7</v>
      </c>
      <c r="D356" s="1" t="s">
        <v>8</v>
      </c>
      <c r="E356" s="1" t="s">
        <v>9</v>
      </c>
      <c r="G356" s="1" t="s">
        <v>10</v>
      </c>
      <c r="H356" s="1" t="s">
        <v>11</v>
      </c>
      <c r="I356" s="1" t="s">
        <v>12</v>
      </c>
      <c r="J356" s="1" t="s">
        <v>13</v>
      </c>
      <c r="K356" s="1" t="s">
        <v>14</v>
      </c>
      <c r="L356" s="1" t="s">
        <v>15</v>
      </c>
      <c r="M356" s="1" t="s">
        <v>16</v>
      </c>
      <c r="N356" s="1" t="s">
        <v>17</v>
      </c>
      <c r="O356" s="1" t="s">
        <v>18</v>
      </c>
      <c r="P356" s="1" t="s">
        <v>19</v>
      </c>
      <c r="Q356" s="1" t="s">
        <v>20</v>
      </c>
    </row>
    <row r="358" spans="1:17" x14ac:dyDescent="0.2">
      <c r="D358" s="1" t="s">
        <v>21</v>
      </c>
      <c r="E358" s="1">
        <v>103526992</v>
      </c>
      <c r="G358" s="1" t="s">
        <v>86</v>
      </c>
      <c r="I358" s="1" t="s">
        <v>86</v>
      </c>
      <c r="K358" s="2">
        <v>138282.93</v>
      </c>
      <c r="L358" s="1" t="s">
        <v>23</v>
      </c>
      <c r="N358" s="2">
        <v>138282.93</v>
      </c>
      <c r="O358" s="1" t="s">
        <v>23</v>
      </c>
      <c r="P358" s="1" t="s">
        <v>177</v>
      </c>
      <c r="Q358" s="1">
        <v>1</v>
      </c>
    </row>
    <row r="359" spans="1:17" x14ac:dyDescent="0.2">
      <c r="D359" s="1" t="s">
        <v>21</v>
      </c>
      <c r="E359" s="1">
        <v>103527008</v>
      </c>
      <c r="G359" s="1" t="s">
        <v>130</v>
      </c>
      <c r="I359" s="1" t="s">
        <v>130</v>
      </c>
      <c r="K359" s="2">
        <v>27234.27</v>
      </c>
      <c r="L359" s="1" t="s">
        <v>23</v>
      </c>
      <c r="N359" s="2">
        <v>27234.27</v>
      </c>
      <c r="O359" s="1" t="s">
        <v>23</v>
      </c>
      <c r="P359" s="1" t="s">
        <v>178</v>
      </c>
      <c r="Q359" s="1">
        <v>1</v>
      </c>
    </row>
    <row r="360" spans="1:17" x14ac:dyDescent="0.2">
      <c r="D360" s="1" t="s">
        <v>21</v>
      </c>
      <c r="E360" s="1">
        <v>103527009</v>
      </c>
      <c r="G360" s="1" t="s">
        <v>130</v>
      </c>
      <c r="I360" s="1" t="s">
        <v>130</v>
      </c>
      <c r="K360" s="2">
        <v>22319.98</v>
      </c>
      <c r="L360" s="1" t="s">
        <v>23</v>
      </c>
      <c r="N360" s="2">
        <v>22319.98</v>
      </c>
      <c r="O360" s="1" t="s">
        <v>23</v>
      </c>
      <c r="P360" s="1" t="s">
        <v>179</v>
      </c>
      <c r="Q360" s="1">
        <v>1</v>
      </c>
    </row>
    <row r="361" spans="1:17" x14ac:dyDescent="0.2">
      <c r="D361" s="1" t="s">
        <v>21</v>
      </c>
      <c r="E361" s="1">
        <v>103527033</v>
      </c>
      <c r="G361" s="1" t="s">
        <v>42</v>
      </c>
      <c r="I361" s="1" t="s">
        <v>42</v>
      </c>
      <c r="K361" s="2">
        <v>87387.12</v>
      </c>
      <c r="L361" s="1" t="s">
        <v>23</v>
      </c>
      <c r="N361" s="2">
        <v>87387.12</v>
      </c>
      <c r="O361" s="1" t="s">
        <v>23</v>
      </c>
      <c r="P361" s="1" t="s">
        <v>180</v>
      </c>
      <c r="Q361" s="1">
        <v>1</v>
      </c>
    </row>
    <row r="362" spans="1:17" x14ac:dyDescent="0.2">
      <c r="D362" s="1" t="s">
        <v>21</v>
      </c>
      <c r="E362" s="1">
        <v>103527034</v>
      </c>
      <c r="G362" s="1" t="s">
        <v>42</v>
      </c>
      <c r="I362" s="1" t="s">
        <v>42</v>
      </c>
      <c r="K362" s="2">
        <v>80424.960000000006</v>
      </c>
      <c r="L362" s="1" t="s">
        <v>23</v>
      </c>
      <c r="N362" s="2">
        <v>80424.960000000006</v>
      </c>
      <c r="O362" s="1" t="s">
        <v>23</v>
      </c>
      <c r="P362" s="1" t="s">
        <v>181</v>
      </c>
      <c r="Q362" s="1">
        <v>1</v>
      </c>
    </row>
    <row r="364" spans="1:17" x14ac:dyDescent="0.2">
      <c r="B364" s="1" t="s">
        <v>32</v>
      </c>
      <c r="K364" s="2">
        <v>355649.26</v>
      </c>
      <c r="L364" s="1" t="s">
        <v>23</v>
      </c>
      <c r="N364" s="2">
        <v>355649.26</v>
      </c>
      <c r="O364" s="1" t="s">
        <v>23</v>
      </c>
    </row>
    <row r="366" spans="1:17" x14ac:dyDescent="0.2">
      <c r="A366" s="3"/>
      <c r="B366" s="3" t="s">
        <v>33</v>
      </c>
      <c r="C366" s="3" t="s">
        <v>182</v>
      </c>
      <c r="D366" s="3"/>
      <c r="E366" s="3"/>
      <c r="F366" s="3"/>
      <c r="G366" s="3"/>
      <c r="H366" s="3"/>
      <c r="I366" s="3"/>
      <c r="J366" s="3"/>
      <c r="K366" s="4">
        <v>355649.26</v>
      </c>
      <c r="L366" s="3" t="s">
        <v>23</v>
      </c>
      <c r="M366" s="3"/>
      <c r="N366" s="4">
        <v>355649.26</v>
      </c>
      <c r="O366" s="3" t="s">
        <v>23</v>
      </c>
      <c r="P366" s="3"/>
      <c r="Q366" s="3"/>
    </row>
    <row r="368" spans="1:17" x14ac:dyDescent="0.2">
      <c r="A368" s="1" t="s">
        <v>0</v>
      </c>
      <c r="F368" s="1">
        <v>501166</v>
      </c>
    </row>
    <row r="369" spans="1:17" x14ac:dyDescent="0.2">
      <c r="A369" s="1" t="s">
        <v>1</v>
      </c>
      <c r="F369" s="1" t="s">
        <v>2</v>
      </c>
    </row>
    <row r="371" spans="1:17" x14ac:dyDescent="0.2">
      <c r="A371" s="1" t="s">
        <v>3</v>
      </c>
      <c r="F371" s="1" t="s">
        <v>183</v>
      </c>
    </row>
    <row r="372" spans="1:17" x14ac:dyDescent="0.2">
      <c r="A372" s="1" t="s">
        <v>5</v>
      </c>
      <c r="F372" s="1" t="s">
        <v>55</v>
      </c>
    </row>
    <row r="375" spans="1:17" x14ac:dyDescent="0.2">
      <c r="C375" s="1" t="s">
        <v>7</v>
      </c>
      <c r="D375" s="1" t="s">
        <v>8</v>
      </c>
      <c r="E375" s="1" t="s">
        <v>9</v>
      </c>
      <c r="G375" s="1" t="s">
        <v>10</v>
      </c>
      <c r="H375" s="1" t="s">
        <v>11</v>
      </c>
      <c r="I375" s="1" t="s">
        <v>12</v>
      </c>
      <c r="J375" s="1" t="s">
        <v>13</v>
      </c>
      <c r="K375" s="1" t="s">
        <v>14</v>
      </c>
      <c r="L375" s="1" t="s">
        <v>15</v>
      </c>
      <c r="M375" s="1" t="s">
        <v>16</v>
      </c>
      <c r="N375" s="1" t="s">
        <v>17</v>
      </c>
      <c r="O375" s="1" t="s">
        <v>18</v>
      </c>
      <c r="P375" s="1" t="s">
        <v>19</v>
      </c>
      <c r="Q375" s="1" t="s">
        <v>20</v>
      </c>
    </row>
    <row r="377" spans="1:17" x14ac:dyDescent="0.2">
      <c r="D377" s="1" t="s">
        <v>21</v>
      </c>
      <c r="E377" s="1">
        <v>103526994</v>
      </c>
      <c r="G377" s="1" t="s">
        <v>86</v>
      </c>
      <c r="I377" s="1" t="s">
        <v>86</v>
      </c>
      <c r="K377" s="2">
        <v>95000</v>
      </c>
      <c r="L377" s="1" t="s">
        <v>23</v>
      </c>
      <c r="N377" s="2">
        <v>95000</v>
      </c>
      <c r="O377" s="1" t="s">
        <v>23</v>
      </c>
      <c r="P377" s="1" t="s">
        <v>184</v>
      </c>
      <c r="Q377" s="1">
        <v>1</v>
      </c>
    </row>
    <row r="378" spans="1:17" x14ac:dyDescent="0.2">
      <c r="D378" s="1" t="s">
        <v>21</v>
      </c>
      <c r="E378" s="1">
        <v>103526995</v>
      </c>
      <c r="G378" s="1" t="s">
        <v>86</v>
      </c>
      <c r="I378" s="1" t="s">
        <v>86</v>
      </c>
      <c r="K378" s="2">
        <v>119000</v>
      </c>
      <c r="L378" s="1" t="s">
        <v>23</v>
      </c>
      <c r="N378" s="2">
        <v>119000</v>
      </c>
      <c r="O378" s="1" t="s">
        <v>23</v>
      </c>
      <c r="P378" s="1" t="s">
        <v>185</v>
      </c>
      <c r="Q378" s="1">
        <v>1</v>
      </c>
    </row>
    <row r="379" spans="1:17" x14ac:dyDescent="0.2">
      <c r="D379" s="1" t="s">
        <v>21</v>
      </c>
      <c r="E379" s="1">
        <v>103526998</v>
      </c>
      <c r="G379" s="1" t="s">
        <v>86</v>
      </c>
      <c r="I379" s="1" t="s">
        <v>86</v>
      </c>
      <c r="K379" s="2">
        <v>119000</v>
      </c>
      <c r="L379" s="1" t="s">
        <v>23</v>
      </c>
      <c r="N379" s="2">
        <v>119000</v>
      </c>
      <c r="O379" s="1" t="s">
        <v>23</v>
      </c>
      <c r="P379" s="1" t="s">
        <v>186</v>
      </c>
      <c r="Q379" s="1">
        <v>1</v>
      </c>
    </row>
    <row r="380" spans="1:17" x14ac:dyDescent="0.2">
      <c r="D380" s="1" t="s">
        <v>21</v>
      </c>
      <c r="E380" s="1">
        <v>103526999</v>
      </c>
      <c r="G380" s="1" t="s">
        <v>86</v>
      </c>
      <c r="I380" s="1" t="s">
        <v>86</v>
      </c>
      <c r="K380" s="2">
        <v>95000</v>
      </c>
      <c r="L380" s="1" t="s">
        <v>23</v>
      </c>
      <c r="N380" s="2">
        <v>95000</v>
      </c>
      <c r="O380" s="1" t="s">
        <v>23</v>
      </c>
      <c r="P380" s="1" t="s">
        <v>187</v>
      </c>
      <c r="Q380" s="1">
        <v>1</v>
      </c>
    </row>
    <row r="382" spans="1:17" x14ac:dyDescent="0.2">
      <c r="B382" s="1" t="s">
        <v>32</v>
      </c>
      <c r="K382" s="2">
        <v>428000</v>
      </c>
      <c r="L382" s="1" t="s">
        <v>23</v>
      </c>
      <c r="N382" s="2">
        <v>428000</v>
      </c>
      <c r="O382" s="1" t="s">
        <v>23</v>
      </c>
    </row>
    <row r="384" spans="1:17" x14ac:dyDescent="0.2">
      <c r="A384" s="3"/>
      <c r="B384" s="3" t="s">
        <v>33</v>
      </c>
      <c r="C384" s="3" t="s">
        <v>188</v>
      </c>
      <c r="D384" s="3"/>
      <c r="E384" s="3"/>
      <c r="F384" s="3"/>
      <c r="G384" s="3"/>
      <c r="H384" s="3"/>
      <c r="I384" s="3"/>
      <c r="J384" s="3"/>
      <c r="K384" s="4">
        <v>428000</v>
      </c>
      <c r="L384" s="3" t="s">
        <v>23</v>
      </c>
      <c r="M384" s="3"/>
      <c r="N384" s="4">
        <v>428000</v>
      </c>
      <c r="O384" s="3" t="s">
        <v>23</v>
      </c>
      <c r="P384" s="3"/>
      <c r="Q384" s="3"/>
    </row>
    <row r="386" spans="1:17" x14ac:dyDescent="0.2">
      <c r="A386" s="1" t="s">
        <v>0</v>
      </c>
      <c r="F386" s="1">
        <v>501167</v>
      </c>
    </row>
    <row r="387" spans="1:17" x14ac:dyDescent="0.2">
      <c r="A387" s="1" t="s">
        <v>1</v>
      </c>
      <c r="F387" s="1" t="s">
        <v>2</v>
      </c>
    </row>
    <row r="389" spans="1:17" x14ac:dyDescent="0.2">
      <c r="A389" s="1" t="s">
        <v>3</v>
      </c>
      <c r="F389" s="1" t="s">
        <v>168</v>
      </c>
    </row>
    <row r="390" spans="1:17" x14ac:dyDescent="0.2">
      <c r="A390" s="1" t="s">
        <v>5</v>
      </c>
      <c r="F390" s="1" t="s">
        <v>189</v>
      </c>
    </row>
    <row r="393" spans="1:17" x14ac:dyDescent="0.2">
      <c r="C393" s="1" t="s">
        <v>7</v>
      </c>
      <c r="D393" s="1" t="s">
        <v>8</v>
      </c>
      <c r="E393" s="1" t="s">
        <v>9</v>
      </c>
      <c r="G393" s="1" t="s">
        <v>10</v>
      </c>
      <c r="H393" s="1" t="s">
        <v>11</v>
      </c>
      <c r="I393" s="1" t="s">
        <v>12</v>
      </c>
      <c r="J393" s="1" t="s">
        <v>13</v>
      </c>
      <c r="K393" s="1" t="s">
        <v>14</v>
      </c>
      <c r="L393" s="1" t="s">
        <v>15</v>
      </c>
      <c r="M393" s="1" t="s">
        <v>16</v>
      </c>
      <c r="N393" s="1" t="s">
        <v>17</v>
      </c>
      <c r="O393" s="1" t="s">
        <v>18</v>
      </c>
      <c r="P393" s="1" t="s">
        <v>19</v>
      </c>
      <c r="Q393" s="1" t="s">
        <v>20</v>
      </c>
    </row>
    <row r="395" spans="1:17" x14ac:dyDescent="0.2">
      <c r="D395" s="1" t="s">
        <v>21</v>
      </c>
      <c r="E395" s="1">
        <v>103527252</v>
      </c>
      <c r="G395" s="1" t="s">
        <v>48</v>
      </c>
      <c r="I395" s="1" t="s">
        <v>48</v>
      </c>
      <c r="K395" s="2">
        <v>1864632</v>
      </c>
      <c r="L395" s="1" t="s">
        <v>23</v>
      </c>
      <c r="N395" s="2">
        <v>462000</v>
      </c>
      <c r="O395" s="1" t="s">
        <v>24</v>
      </c>
      <c r="P395" s="1" t="s">
        <v>190</v>
      </c>
      <c r="Q395" s="1">
        <v>4.0359999999999996</v>
      </c>
    </row>
    <row r="397" spans="1:17" x14ac:dyDescent="0.2">
      <c r="B397" s="1" t="s">
        <v>32</v>
      </c>
      <c r="K397" s="2">
        <v>1864632</v>
      </c>
      <c r="L397" s="1" t="s">
        <v>23</v>
      </c>
      <c r="N397" s="2">
        <v>462000</v>
      </c>
      <c r="O397" s="1" t="s">
        <v>24</v>
      </c>
    </row>
    <row r="399" spans="1:17" x14ac:dyDescent="0.2">
      <c r="A399" s="3"/>
      <c r="B399" s="3" t="s">
        <v>33</v>
      </c>
      <c r="C399" s="3" t="s">
        <v>191</v>
      </c>
      <c r="D399" s="3"/>
      <c r="E399" s="3"/>
      <c r="F399" s="3"/>
      <c r="G399" s="3"/>
      <c r="H399" s="3"/>
      <c r="I399" s="3"/>
      <c r="J399" s="3"/>
      <c r="K399" s="4">
        <v>1864632</v>
      </c>
      <c r="L399" s="3" t="s">
        <v>23</v>
      </c>
      <c r="M399" s="3"/>
      <c r="N399" s="4">
        <v>462000</v>
      </c>
      <c r="O399" s="3" t="s">
        <v>24</v>
      </c>
      <c r="P399" s="3"/>
      <c r="Q399" s="3"/>
    </row>
    <row r="401" spans="1:17" x14ac:dyDescent="0.2">
      <c r="A401" s="1" t="s">
        <v>0</v>
      </c>
      <c r="F401" s="1">
        <v>501172</v>
      </c>
    </row>
    <row r="402" spans="1:17" x14ac:dyDescent="0.2">
      <c r="A402" s="1" t="s">
        <v>1</v>
      </c>
      <c r="F402" s="1" t="s">
        <v>2</v>
      </c>
    </row>
    <row r="404" spans="1:17" x14ac:dyDescent="0.2">
      <c r="A404" s="1" t="s">
        <v>3</v>
      </c>
      <c r="F404" s="1" t="s">
        <v>78</v>
      </c>
    </row>
    <row r="405" spans="1:17" x14ac:dyDescent="0.2">
      <c r="A405" s="1" t="s">
        <v>5</v>
      </c>
      <c r="F405" s="1" t="s">
        <v>169</v>
      </c>
    </row>
    <row r="408" spans="1:17" x14ac:dyDescent="0.2">
      <c r="C408" s="1" t="s">
        <v>7</v>
      </c>
      <c r="D408" s="1" t="s">
        <v>8</v>
      </c>
      <c r="E408" s="1" t="s">
        <v>9</v>
      </c>
      <c r="G408" s="1" t="s">
        <v>10</v>
      </c>
      <c r="H408" s="1" t="s">
        <v>11</v>
      </c>
      <c r="I408" s="1" t="s">
        <v>12</v>
      </c>
      <c r="J408" s="1" t="s">
        <v>13</v>
      </c>
      <c r="K408" s="1" t="s">
        <v>14</v>
      </c>
      <c r="L408" s="1" t="s">
        <v>15</v>
      </c>
      <c r="M408" s="1" t="s">
        <v>16</v>
      </c>
      <c r="N408" s="1" t="s">
        <v>17</v>
      </c>
      <c r="O408" s="1" t="s">
        <v>18</v>
      </c>
      <c r="P408" s="1" t="s">
        <v>19</v>
      </c>
      <c r="Q408" s="1" t="s">
        <v>20</v>
      </c>
    </row>
    <row r="410" spans="1:17" x14ac:dyDescent="0.2">
      <c r="D410" s="1" t="s">
        <v>21</v>
      </c>
      <c r="E410" s="1">
        <v>103526924</v>
      </c>
      <c r="G410" s="1" t="s">
        <v>164</v>
      </c>
      <c r="I410" s="1" t="s">
        <v>164</v>
      </c>
      <c r="K410" s="2">
        <v>237610.8</v>
      </c>
      <c r="L410" s="1" t="s">
        <v>23</v>
      </c>
      <c r="N410" s="2">
        <v>237610.8</v>
      </c>
      <c r="O410" s="1" t="s">
        <v>23</v>
      </c>
      <c r="P410" s="1" t="s">
        <v>192</v>
      </c>
      <c r="Q410" s="1">
        <v>1</v>
      </c>
    </row>
    <row r="411" spans="1:17" x14ac:dyDescent="0.2">
      <c r="D411" s="1" t="s">
        <v>21</v>
      </c>
      <c r="E411" s="1">
        <v>103526925</v>
      </c>
      <c r="G411" s="1" t="s">
        <v>164</v>
      </c>
      <c r="I411" s="1" t="s">
        <v>164</v>
      </c>
      <c r="K411" s="2">
        <v>231694.5</v>
      </c>
      <c r="L411" s="1" t="s">
        <v>23</v>
      </c>
      <c r="N411" s="2">
        <v>231694.5</v>
      </c>
      <c r="O411" s="1" t="s">
        <v>23</v>
      </c>
      <c r="P411" s="1" t="s">
        <v>193</v>
      </c>
      <c r="Q411" s="1">
        <v>1</v>
      </c>
    </row>
    <row r="412" spans="1:17" x14ac:dyDescent="0.2">
      <c r="D412" s="1" t="s">
        <v>21</v>
      </c>
      <c r="E412" s="1">
        <v>103526929</v>
      </c>
      <c r="G412" s="1" t="s">
        <v>36</v>
      </c>
      <c r="I412" s="1" t="s">
        <v>36</v>
      </c>
      <c r="K412" s="2">
        <v>1224891.2</v>
      </c>
      <c r="L412" s="1" t="s">
        <v>23</v>
      </c>
      <c r="N412" s="2">
        <v>1224891.2</v>
      </c>
      <c r="O412" s="1" t="s">
        <v>23</v>
      </c>
      <c r="P412" s="1" t="s">
        <v>194</v>
      </c>
      <c r="Q412" s="1">
        <v>1</v>
      </c>
    </row>
    <row r="413" spans="1:17" x14ac:dyDescent="0.2">
      <c r="D413" s="1" t="s">
        <v>21</v>
      </c>
      <c r="E413" s="1">
        <v>103527243</v>
      </c>
      <c r="G413" s="1" t="s">
        <v>48</v>
      </c>
      <c r="I413" s="1" t="s">
        <v>48</v>
      </c>
      <c r="K413" s="2">
        <v>91301.51</v>
      </c>
      <c r="L413" s="1" t="s">
        <v>23</v>
      </c>
      <c r="N413" s="2">
        <v>91301.51</v>
      </c>
      <c r="O413" s="1" t="s">
        <v>23</v>
      </c>
      <c r="P413" s="1" t="s">
        <v>195</v>
      </c>
      <c r="Q413" s="1">
        <v>1</v>
      </c>
    </row>
    <row r="415" spans="1:17" x14ac:dyDescent="0.2">
      <c r="B415" s="1" t="s">
        <v>32</v>
      </c>
      <c r="K415" s="2">
        <v>1785498.01</v>
      </c>
      <c r="L415" s="1" t="s">
        <v>23</v>
      </c>
      <c r="N415" s="2">
        <v>1785498.01</v>
      </c>
      <c r="O415" s="1" t="s">
        <v>23</v>
      </c>
    </row>
    <row r="417" spans="1:17" x14ac:dyDescent="0.2">
      <c r="A417" s="3"/>
      <c r="B417" s="3" t="s">
        <v>33</v>
      </c>
      <c r="C417" s="3" t="s">
        <v>196</v>
      </c>
      <c r="D417" s="3"/>
      <c r="E417" s="3"/>
      <c r="F417" s="3"/>
      <c r="G417" s="3"/>
      <c r="H417" s="3"/>
      <c r="I417" s="3"/>
      <c r="J417" s="3"/>
      <c r="K417" s="4">
        <v>1785498.01</v>
      </c>
      <c r="L417" s="3" t="s">
        <v>23</v>
      </c>
      <c r="M417" s="3"/>
      <c r="N417" s="4">
        <v>1785498.01</v>
      </c>
      <c r="O417" s="3" t="s">
        <v>23</v>
      </c>
      <c r="P417" s="3"/>
      <c r="Q417" s="3"/>
    </row>
    <row r="419" spans="1:17" x14ac:dyDescent="0.2">
      <c r="A419" s="1" t="s">
        <v>0</v>
      </c>
      <c r="F419" s="1">
        <v>501175</v>
      </c>
    </row>
    <row r="420" spans="1:17" x14ac:dyDescent="0.2">
      <c r="A420" s="1" t="s">
        <v>1</v>
      </c>
      <c r="F420" s="1" t="s">
        <v>2</v>
      </c>
    </row>
    <row r="422" spans="1:17" x14ac:dyDescent="0.2">
      <c r="A422" s="1" t="s">
        <v>3</v>
      </c>
      <c r="F422" s="1" t="s">
        <v>197</v>
      </c>
    </row>
    <row r="423" spans="1:17" x14ac:dyDescent="0.2">
      <c r="A423" s="1" t="s">
        <v>5</v>
      </c>
      <c r="F423" s="1" t="s">
        <v>55</v>
      </c>
    </row>
    <row r="426" spans="1:17" x14ac:dyDescent="0.2">
      <c r="C426" s="1" t="s">
        <v>7</v>
      </c>
      <c r="D426" s="1" t="s">
        <v>8</v>
      </c>
      <c r="E426" s="1" t="s">
        <v>9</v>
      </c>
      <c r="G426" s="1" t="s">
        <v>10</v>
      </c>
      <c r="H426" s="1" t="s">
        <v>11</v>
      </c>
      <c r="I426" s="1" t="s">
        <v>12</v>
      </c>
      <c r="J426" s="1" t="s">
        <v>13</v>
      </c>
      <c r="K426" s="1" t="s">
        <v>14</v>
      </c>
      <c r="L426" s="1" t="s">
        <v>15</v>
      </c>
      <c r="M426" s="1" t="s">
        <v>16</v>
      </c>
      <c r="N426" s="1" t="s">
        <v>17</v>
      </c>
      <c r="O426" s="1" t="s">
        <v>18</v>
      </c>
      <c r="P426" s="1" t="s">
        <v>19</v>
      </c>
      <c r="Q426" s="1" t="s">
        <v>20</v>
      </c>
    </row>
    <row r="428" spans="1:17" x14ac:dyDescent="0.2">
      <c r="D428" s="1" t="s">
        <v>21</v>
      </c>
      <c r="E428" s="1">
        <v>103526977</v>
      </c>
      <c r="G428" s="1" t="s">
        <v>26</v>
      </c>
      <c r="I428" s="1" t="s">
        <v>26</v>
      </c>
      <c r="K428" s="2">
        <v>150000</v>
      </c>
      <c r="L428" s="1" t="s">
        <v>23</v>
      </c>
      <c r="N428" s="2">
        <v>150000</v>
      </c>
      <c r="O428" s="1" t="s">
        <v>23</v>
      </c>
      <c r="P428" s="1" t="s">
        <v>198</v>
      </c>
      <c r="Q428" s="1">
        <v>1</v>
      </c>
    </row>
    <row r="429" spans="1:17" x14ac:dyDescent="0.2">
      <c r="D429" s="1" t="s">
        <v>21</v>
      </c>
      <c r="E429" s="1">
        <v>103526978</v>
      </c>
      <c r="G429" s="1" t="s">
        <v>26</v>
      </c>
      <c r="I429" s="1" t="s">
        <v>26</v>
      </c>
      <c r="K429" s="2">
        <v>150000</v>
      </c>
      <c r="L429" s="1" t="s">
        <v>23</v>
      </c>
      <c r="N429" s="2">
        <v>150000</v>
      </c>
      <c r="O429" s="1" t="s">
        <v>23</v>
      </c>
      <c r="P429" s="1" t="s">
        <v>199</v>
      </c>
      <c r="Q429" s="1">
        <v>1</v>
      </c>
    </row>
    <row r="431" spans="1:17" x14ac:dyDescent="0.2">
      <c r="B431" s="1" t="s">
        <v>32</v>
      </c>
      <c r="K431" s="2">
        <v>300000</v>
      </c>
      <c r="L431" s="1" t="s">
        <v>23</v>
      </c>
      <c r="N431" s="2">
        <v>300000</v>
      </c>
      <c r="O431" s="1" t="s">
        <v>23</v>
      </c>
    </row>
    <row r="433" spans="1:17" x14ac:dyDescent="0.2">
      <c r="A433" s="3"/>
      <c r="B433" s="3" t="s">
        <v>33</v>
      </c>
      <c r="C433" s="3" t="s">
        <v>200</v>
      </c>
      <c r="D433" s="3"/>
      <c r="E433" s="3"/>
      <c r="F433" s="3"/>
      <c r="G433" s="3"/>
      <c r="H433" s="3"/>
      <c r="I433" s="3"/>
      <c r="J433" s="3"/>
      <c r="K433" s="4">
        <v>300000</v>
      </c>
      <c r="L433" s="3" t="s">
        <v>23</v>
      </c>
      <c r="M433" s="3"/>
      <c r="N433" s="4">
        <v>300000</v>
      </c>
      <c r="O433" s="3" t="s">
        <v>23</v>
      </c>
      <c r="P433" s="3"/>
      <c r="Q433" s="3"/>
    </row>
    <row r="435" spans="1:17" x14ac:dyDescent="0.2">
      <c r="A435" s="1" t="s">
        <v>0</v>
      </c>
      <c r="F435" s="1">
        <v>501181</v>
      </c>
    </row>
    <row r="436" spans="1:17" x14ac:dyDescent="0.2">
      <c r="A436" s="1" t="s">
        <v>1</v>
      </c>
      <c r="F436" s="1" t="s">
        <v>2</v>
      </c>
    </row>
    <row r="438" spans="1:17" x14ac:dyDescent="0.2">
      <c r="A438" s="1" t="s">
        <v>3</v>
      </c>
      <c r="F438" s="1" t="s">
        <v>201</v>
      </c>
    </row>
    <row r="439" spans="1:17" x14ac:dyDescent="0.2">
      <c r="A439" s="1" t="s">
        <v>5</v>
      </c>
      <c r="F439" s="1" t="s">
        <v>151</v>
      </c>
    </row>
    <row r="442" spans="1:17" x14ac:dyDescent="0.2">
      <c r="C442" s="1" t="s">
        <v>7</v>
      </c>
      <c r="D442" s="1" t="s">
        <v>8</v>
      </c>
      <c r="E442" s="1" t="s">
        <v>9</v>
      </c>
      <c r="G442" s="1" t="s">
        <v>10</v>
      </c>
      <c r="H442" s="1" t="s">
        <v>11</v>
      </c>
      <c r="I442" s="1" t="s">
        <v>12</v>
      </c>
      <c r="J442" s="1" t="s">
        <v>13</v>
      </c>
      <c r="K442" s="1" t="s">
        <v>14</v>
      </c>
      <c r="L442" s="1" t="s">
        <v>15</v>
      </c>
      <c r="M442" s="1" t="s">
        <v>16</v>
      </c>
      <c r="N442" s="1" t="s">
        <v>17</v>
      </c>
      <c r="O442" s="1" t="s">
        <v>18</v>
      </c>
      <c r="P442" s="1" t="s">
        <v>19</v>
      </c>
      <c r="Q442" s="1" t="s">
        <v>20</v>
      </c>
    </row>
    <row r="444" spans="1:17" x14ac:dyDescent="0.2">
      <c r="D444" s="1" t="s">
        <v>21</v>
      </c>
      <c r="E444" s="1">
        <v>103526944</v>
      </c>
      <c r="G444" s="1" t="s">
        <v>39</v>
      </c>
      <c r="I444" s="1" t="s">
        <v>39</v>
      </c>
      <c r="K444" s="2">
        <v>2272630</v>
      </c>
      <c r="L444" s="1" t="s">
        <v>23</v>
      </c>
      <c r="N444" s="2">
        <v>2272630</v>
      </c>
      <c r="O444" s="1" t="s">
        <v>23</v>
      </c>
      <c r="P444" s="1" t="s">
        <v>202</v>
      </c>
      <c r="Q444" s="1">
        <v>1</v>
      </c>
    </row>
    <row r="445" spans="1:17" x14ac:dyDescent="0.2">
      <c r="D445" s="1" t="s">
        <v>21</v>
      </c>
      <c r="E445" s="1">
        <v>103526945</v>
      </c>
      <c r="G445" s="1" t="s">
        <v>39</v>
      </c>
      <c r="I445" s="1" t="s">
        <v>39</v>
      </c>
      <c r="K445" s="2">
        <v>139539</v>
      </c>
      <c r="L445" s="1" t="s">
        <v>23</v>
      </c>
      <c r="N445" s="2">
        <v>139539</v>
      </c>
      <c r="O445" s="1" t="s">
        <v>23</v>
      </c>
      <c r="P445" s="1" t="s">
        <v>203</v>
      </c>
      <c r="Q445" s="1">
        <v>1</v>
      </c>
    </row>
    <row r="446" spans="1:17" x14ac:dyDescent="0.2">
      <c r="D446" s="1" t="s">
        <v>21</v>
      </c>
      <c r="E446" s="1">
        <v>103527006</v>
      </c>
      <c r="G446" s="1" t="s">
        <v>130</v>
      </c>
      <c r="I446" s="1" t="s">
        <v>130</v>
      </c>
      <c r="K446" s="2">
        <v>30141.599999999999</v>
      </c>
      <c r="L446" s="1" t="s">
        <v>23</v>
      </c>
      <c r="N446" s="2">
        <v>30141.599999999999</v>
      </c>
      <c r="O446" s="1" t="s">
        <v>23</v>
      </c>
      <c r="P446" s="1" t="s">
        <v>204</v>
      </c>
      <c r="Q446" s="1">
        <v>1</v>
      </c>
    </row>
    <row r="447" spans="1:17" x14ac:dyDescent="0.2">
      <c r="D447" s="1" t="s">
        <v>21</v>
      </c>
      <c r="E447" s="1">
        <v>103527007</v>
      </c>
      <c r="G447" s="1" t="s">
        <v>130</v>
      </c>
      <c r="I447" s="1" t="s">
        <v>130</v>
      </c>
      <c r="K447" s="2">
        <v>157969.92000000001</v>
      </c>
      <c r="L447" s="1" t="s">
        <v>23</v>
      </c>
      <c r="N447" s="2">
        <v>157969.92000000001</v>
      </c>
      <c r="O447" s="1" t="s">
        <v>23</v>
      </c>
      <c r="P447" s="1" t="s">
        <v>205</v>
      </c>
      <c r="Q447" s="1">
        <v>1</v>
      </c>
    </row>
    <row r="448" spans="1:17" x14ac:dyDescent="0.2">
      <c r="D448" s="1" t="s">
        <v>21</v>
      </c>
      <c r="E448" s="1">
        <v>103527028</v>
      </c>
      <c r="G448" s="1" t="s">
        <v>42</v>
      </c>
      <c r="I448" s="1" t="s">
        <v>42</v>
      </c>
      <c r="K448" s="2">
        <v>90868</v>
      </c>
      <c r="L448" s="1" t="s">
        <v>23</v>
      </c>
      <c r="N448" s="2">
        <v>90868</v>
      </c>
      <c r="O448" s="1" t="s">
        <v>23</v>
      </c>
      <c r="P448" s="1" t="s">
        <v>206</v>
      </c>
      <c r="Q448" s="1">
        <v>1</v>
      </c>
    </row>
    <row r="449" spans="1:17" x14ac:dyDescent="0.2">
      <c r="D449" s="1" t="s">
        <v>21</v>
      </c>
      <c r="E449" s="1">
        <v>103527029</v>
      </c>
      <c r="G449" s="1" t="s">
        <v>42</v>
      </c>
      <c r="I449" s="1" t="s">
        <v>42</v>
      </c>
      <c r="K449" s="2">
        <v>502134.6</v>
      </c>
      <c r="L449" s="1" t="s">
        <v>23</v>
      </c>
      <c r="N449" s="2">
        <v>502134.6</v>
      </c>
      <c r="O449" s="1" t="s">
        <v>23</v>
      </c>
      <c r="P449" s="1" t="s">
        <v>207</v>
      </c>
      <c r="Q449" s="1">
        <v>1</v>
      </c>
    </row>
    <row r="450" spans="1:17" x14ac:dyDescent="0.2">
      <c r="D450" s="1" t="s">
        <v>21</v>
      </c>
      <c r="E450" s="1">
        <v>103527030</v>
      </c>
      <c r="G450" s="1" t="s">
        <v>42</v>
      </c>
      <c r="I450" s="1" t="s">
        <v>42</v>
      </c>
      <c r="K450" s="2">
        <v>34100</v>
      </c>
      <c r="L450" s="1" t="s">
        <v>23</v>
      </c>
      <c r="N450" s="2">
        <v>34100</v>
      </c>
      <c r="O450" s="1" t="s">
        <v>23</v>
      </c>
      <c r="P450" s="1" t="s">
        <v>208</v>
      </c>
      <c r="Q450" s="1">
        <v>1</v>
      </c>
    </row>
    <row r="451" spans="1:17" x14ac:dyDescent="0.2">
      <c r="D451" s="1" t="s">
        <v>21</v>
      </c>
      <c r="E451" s="1">
        <v>103527031</v>
      </c>
      <c r="G451" s="1" t="s">
        <v>42</v>
      </c>
      <c r="I451" s="1" t="s">
        <v>42</v>
      </c>
      <c r="K451" s="2">
        <v>54313.4</v>
      </c>
      <c r="L451" s="1" t="s">
        <v>23</v>
      </c>
      <c r="N451" s="2">
        <v>54313.4</v>
      </c>
      <c r="O451" s="1" t="s">
        <v>23</v>
      </c>
      <c r="P451" s="1" t="s">
        <v>209</v>
      </c>
      <c r="Q451" s="1">
        <v>1</v>
      </c>
    </row>
    <row r="452" spans="1:17" x14ac:dyDescent="0.2">
      <c r="D452" s="1" t="s">
        <v>21</v>
      </c>
      <c r="E452" s="1">
        <v>103527032</v>
      </c>
      <c r="G452" s="1" t="s">
        <v>42</v>
      </c>
      <c r="I452" s="1" t="s">
        <v>42</v>
      </c>
      <c r="K452" s="2">
        <v>46134</v>
      </c>
      <c r="L452" s="1" t="s">
        <v>23</v>
      </c>
      <c r="N452" s="2">
        <v>46134</v>
      </c>
      <c r="O452" s="1" t="s">
        <v>23</v>
      </c>
      <c r="P452" s="1" t="s">
        <v>210</v>
      </c>
      <c r="Q452" s="1">
        <v>1</v>
      </c>
    </row>
    <row r="453" spans="1:17" x14ac:dyDescent="0.2">
      <c r="D453" s="1" t="s">
        <v>21</v>
      </c>
      <c r="E453" s="1">
        <v>103527402</v>
      </c>
      <c r="G453" s="1" t="s">
        <v>50</v>
      </c>
      <c r="I453" s="1" t="s">
        <v>50</v>
      </c>
      <c r="K453" s="2">
        <v>862416.2</v>
      </c>
      <c r="L453" s="1" t="s">
        <v>23</v>
      </c>
      <c r="N453" s="2">
        <v>862416.2</v>
      </c>
      <c r="O453" s="1" t="s">
        <v>23</v>
      </c>
      <c r="P453" s="1" t="s">
        <v>211</v>
      </c>
      <c r="Q453" s="1">
        <v>1</v>
      </c>
    </row>
    <row r="454" spans="1:17" x14ac:dyDescent="0.2">
      <c r="D454" s="1" t="s">
        <v>21</v>
      </c>
      <c r="E454" s="1">
        <v>103527403</v>
      </c>
      <c r="G454" s="1" t="s">
        <v>50</v>
      </c>
      <c r="I454" s="1" t="s">
        <v>50</v>
      </c>
      <c r="K454" s="2">
        <v>1017765.11</v>
      </c>
      <c r="L454" s="1" t="s">
        <v>23</v>
      </c>
      <c r="N454" s="2">
        <v>1017765.11</v>
      </c>
      <c r="O454" s="1" t="s">
        <v>23</v>
      </c>
      <c r="P454" s="1" t="s">
        <v>212</v>
      </c>
      <c r="Q454" s="1">
        <v>1</v>
      </c>
    </row>
    <row r="455" spans="1:17" x14ac:dyDescent="0.2">
      <c r="D455" s="1" t="s">
        <v>21</v>
      </c>
      <c r="E455" s="1">
        <v>103527404</v>
      </c>
      <c r="G455" s="1" t="s">
        <v>50</v>
      </c>
      <c r="I455" s="1" t="s">
        <v>50</v>
      </c>
      <c r="K455" s="2">
        <v>161119.04999999999</v>
      </c>
      <c r="L455" s="1" t="s">
        <v>23</v>
      </c>
      <c r="N455" s="2">
        <v>161119.04999999999</v>
      </c>
      <c r="O455" s="1" t="s">
        <v>23</v>
      </c>
      <c r="P455" s="1" t="s">
        <v>213</v>
      </c>
      <c r="Q455" s="1">
        <v>1</v>
      </c>
    </row>
    <row r="456" spans="1:17" x14ac:dyDescent="0.2">
      <c r="D456" s="1" t="s">
        <v>21</v>
      </c>
      <c r="E456" s="1">
        <v>103527405</v>
      </c>
      <c r="G456" s="1" t="s">
        <v>50</v>
      </c>
      <c r="I456" s="1" t="s">
        <v>50</v>
      </c>
      <c r="K456" s="2">
        <v>171637.43</v>
      </c>
      <c r="L456" s="1" t="s">
        <v>23</v>
      </c>
      <c r="N456" s="2">
        <v>171637.43</v>
      </c>
      <c r="O456" s="1" t="s">
        <v>23</v>
      </c>
      <c r="P456" s="1" t="s">
        <v>214</v>
      </c>
      <c r="Q456" s="1">
        <v>1</v>
      </c>
    </row>
    <row r="457" spans="1:17" x14ac:dyDescent="0.2">
      <c r="D457" s="1" t="s">
        <v>21</v>
      </c>
      <c r="E457" s="1">
        <v>103527420</v>
      </c>
      <c r="G457" s="1" t="s">
        <v>30</v>
      </c>
      <c r="I457" s="1" t="s">
        <v>30</v>
      </c>
      <c r="K457" s="2">
        <v>30624</v>
      </c>
      <c r="L457" s="1" t="s">
        <v>23</v>
      </c>
      <c r="N457" s="2">
        <v>30624</v>
      </c>
      <c r="O457" s="1" t="s">
        <v>23</v>
      </c>
      <c r="P457" s="1" t="s">
        <v>215</v>
      </c>
      <c r="Q457" s="1">
        <v>1</v>
      </c>
    </row>
    <row r="459" spans="1:17" x14ac:dyDescent="0.2">
      <c r="B459" s="1" t="s">
        <v>32</v>
      </c>
      <c r="K459" s="2">
        <v>5571392.3099999996</v>
      </c>
      <c r="L459" s="1" t="s">
        <v>23</v>
      </c>
      <c r="N459" s="2">
        <v>5571392.3099999996</v>
      </c>
      <c r="O459" s="1" t="s">
        <v>23</v>
      </c>
    </row>
    <row r="461" spans="1:17" x14ac:dyDescent="0.2">
      <c r="A461" s="3"/>
      <c r="B461" s="3" t="s">
        <v>33</v>
      </c>
      <c r="C461" s="3" t="s">
        <v>216</v>
      </c>
      <c r="D461" s="3"/>
      <c r="E461" s="3"/>
      <c r="F461" s="3"/>
      <c r="G461" s="3"/>
      <c r="H461" s="3"/>
      <c r="I461" s="3"/>
      <c r="J461" s="3"/>
      <c r="K461" s="4">
        <v>5571392.3099999996</v>
      </c>
      <c r="L461" s="3" t="s">
        <v>23</v>
      </c>
      <c r="M461" s="3"/>
      <c r="N461" s="4">
        <v>5571392.3099999996</v>
      </c>
      <c r="O461" s="3" t="s">
        <v>23</v>
      </c>
      <c r="P461" s="3"/>
      <c r="Q461" s="3"/>
    </row>
    <row r="463" spans="1:17" x14ac:dyDescent="0.2">
      <c r="A463" s="1" t="s">
        <v>0</v>
      </c>
      <c r="F463" s="1">
        <v>501183</v>
      </c>
    </row>
    <row r="464" spans="1:17" x14ac:dyDescent="0.2">
      <c r="A464" s="1" t="s">
        <v>1</v>
      </c>
      <c r="F464" s="1" t="s">
        <v>2</v>
      </c>
    </row>
    <row r="466" spans="1:17" x14ac:dyDescent="0.2">
      <c r="A466" s="1" t="s">
        <v>3</v>
      </c>
      <c r="F466" s="1" t="s">
        <v>217</v>
      </c>
    </row>
    <row r="467" spans="1:17" x14ac:dyDescent="0.2">
      <c r="A467" s="1" t="s">
        <v>5</v>
      </c>
      <c r="F467" s="1" t="s">
        <v>55</v>
      </c>
    </row>
    <row r="470" spans="1:17" x14ac:dyDescent="0.2">
      <c r="C470" s="1" t="s">
        <v>7</v>
      </c>
      <c r="D470" s="1" t="s">
        <v>8</v>
      </c>
      <c r="E470" s="1" t="s">
        <v>9</v>
      </c>
      <c r="G470" s="1" t="s">
        <v>10</v>
      </c>
      <c r="H470" s="1" t="s">
        <v>11</v>
      </c>
      <c r="I470" s="1" t="s">
        <v>12</v>
      </c>
      <c r="J470" s="1" t="s">
        <v>13</v>
      </c>
      <c r="K470" s="1" t="s">
        <v>14</v>
      </c>
      <c r="L470" s="1" t="s">
        <v>15</v>
      </c>
      <c r="M470" s="1" t="s">
        <v>16</v>
      </c>
      <c r="N470" s="1" t="s">
        <v>17</v>
      </c>
      <c r="O470" s="1" t="s">
        <v>18</v>
      </c>
      <c r="P470" s="1" t="s">
        <v>19</v>
      </c>
      <c r="Q470" s="1" t="s">
        <v>20</v>
      </c>
    </row>
    <row r="472" spans="1:17" x14ac:dyDescent="0.2">
      <c r="D472" s="1" t="s">
        <v>21</v>
      </c>
      <c r="E472" s="1">
        <v>103527200</v>
      </c>
      <c r="G472" s="1" t="s">
        <v>75</v>
      </c>
      <c r="I472" s="1" t="s">
        <v>75</v>
      </c>
      <c r="K472" s="2">
        <v>302400</v>
      </c>
      <c r="L472" s="1" t="s">
        <v>23</v>
      </c>
      <c r="N472" s="2">
        <v>75411.47</v>
      </c>
      <c r="O472" s="1" t="s">
        <v>24</v>
      </c>
      <c r="P472" s="1" t="s">
        <v>218</v>
      </c>
      <c r="Q472" s="1">
        <v>4.01</v>
      </c>
    </row>
    <row r="474" spans="1:17" x14ac:dyDescent="0.2">
      <c r="B474" s="1" t="s">
        <v>32</v>
      </c>
      <c r="K474" s="2">
        <v>302400</v>
      </c>
      <c r="L474" s="1" t="s">
        <v>23</v>
      </c>
      <c r="N474" s="2">
        <v>75411.47</v>
      </c>
      <c r="O474" s="1" t="s">
        <v>24</v>
      </c>
    </row>
    <row r="476" spans="1:17" x14ac:dyDescent="0.2">
      <c r="A476" s="3"/>
      <c r="B476" s="3" t="s">
        <v>33</v>
      </c>
      <c r="C476" s="3" t="s">
        <v>219</v>
      </c>
      <c r="D476" s="3"/>
      <c r="E476" s="3"/>
      <c r="F476" s="3"/>
      <c r="G476" s="3"/>
      <c r="H476" s="3"/>
      <c r="I476" s="3"/>
      <c r="J476" s="3"/>
      <c r="K476" s="4">
        <v>302400</v>
      </c>
      <c r="L476" s="3" t="s">
        <v>23</v>
      </c>
      <c r="M476" s="3"/>
      <c r="N476" s="4">
        <v>75411.47</v>
      </c>
      <c r="O476" s="3" t="s">
        <v>24</v>
      </c>
      <c r="P476" s="3"/>
      <c r="Q476" s="3"/>
    </row>
    <row r="478" spans="1:17" x14ac:dyDescent="0.2">
      <c r="A478" s="1" t="s">
        <v>0</v>
      </c>
      <c r="F478" s="1">
        <v>501184</v>
      </c>
    </row>
    <row r="479" spans="1:17" x14ac:dyDescent="0.2">
      <c r="A479" s="1" t="s">
        <v>1</v>
      </c>
      <c r="F479" s="1" t="s">
        <v>2</v>
      </c>
    </row>
    <row r="481" spans="1:17" x14ac:dyDescent="0.2">
      <c r="A481" s="1" t="s">
        <v>3</v>
      </c>
      <c r="F481" s="1" t="s">
        <v>220</v>
      </c>
    </row>
    <row r="482" spans="1:17" x14ac:dyDescent="0.2">
      <c r="A482" s="1" t="s">
        <v>5</v>
      </c>
      <c r="F482" s="1" t="s">
        <v>221</v>
      </c>
    </row>
    <row r="485" spans="1:17" x14ac:dyDescent="0.2">
      <c r="C485" s="1" t="s">
        <v>7</v>
      </c>
      <c r="D485" s="1" t="s">
        <v>8</v>
      </c>
      <c r="E485" s="1" t="s">
        <v>9</v>
      </c>
      <c r="G485" s="1" t="s">
        <v>10</v>
      </c>
      <c r="H485" s="1" t="s">
        <v>11</v>
      </c>
      <c r="I485" s="1" t="s">
        <v>12</v>
      </c>
      <c r="J485" s="1" t="s">
        <v>13</v>
      </c>
      <c r="K485" s="1" t="s">
        <v>14</v>
      </c>
      <c r="L485" s="1" t="s">
        <v>15</v>
      </c>
      <c r="M485" s="1" t="s">
        <v>16</v>
      </c>
      <c r="N485" s="1" t="s">
        <v>17</v>
      </c>
      <c r="O485" s="1" t="s">
        <v>18</v>
      </c>
      <c r="P485" s="1" t="s">
        <v>19</v>
      </c>
      <c r="Q485" s="1" t="s">
        <v>20</v>
      </c>
    </row>
    <row r="487" spans="1:17" x14ac:dyDescent="0.2">
      <c r="D487" s="1" t="s">
        <v>21</v>
      </c>
      <c r="E487" s="1">
        <v>103527162</v>
      </c>
      <c r="G487" s="1" t="s">
        <v>86</v>
      </c>
      <c r="I487" s="1" t="s">
        <v>86</v>
      </c>
      <c r="K487" s="2">
        <v>86400</v>
      </c>
      <c r="L487" s="1" t="s">
        <v>23</v>
      </c>
      <c r="N487" s="2">
        <v>86400</v>
      </c>
      <c r="O487" s="1" t="s">
        <v>23</v>
      </c>
      <c r="P487" s="1" t="s">
        <v>222</v>
      </c>
      <c r="Q487" s="1">
        <v>1</v>
      </c>
    </row>
    <row r="489" spans="1:17" x14ac:dyDescent="0.2">
      <c r="B489" s="1" t="s">
        <v>32</v>
      </c>
      <c r="K489" s="2">
        <v>86400</v>
      </c>
      <c r="L489" s="1" t="s">
        <v>23</v>
      </c>
      <c r="N489" s="2">
        <v>86400</v>
      </c>
      <c r="O489" s="1" t="s">
        <v>23</v>
      </c>
    </row>
    <row r="491" spans="1:17" x14ac:dyDescent="0.2">
      <c r="A491" s="3"/>
      <c r="B491" s="3" t="s">
        <v>33</v>
      </c>
      <c r="C491" s="3" t="s">
        <v>223</v>
      </c>
      <c r="D491" s="3"/>
      <c r="E491" s="3"/>
      <c r="F491" s="3"/>
      <c r="G491" s="3"/>
      <c r="H491" s="3"/>
      <c r="I491" s="3"/>
      <c r="J491" s="3"/>
      <c r="K491" s="4">
        <v>86400</v>
      </c>
      <c r="L491" s="3" t="s">
        <v>23</v>
      </c>
      <c r="M491" s="3"/>
      <c r="N491" s="4">
        <v>86400</v>
      </c>
      <c r="O491" s="3" t="s">
        <v>23</v>
      </c>
      <c r="P491" s="3"/>
      <c r="Q491" s="3"/>
    </row>
    <row r="493" spans="1:17" x14ac:dyDescent="0.2">
      <c r="A493" s="1" t="s">
        <v>0</v>
      </c>
      <c r="F493" s="1">
        <v>501191</v>
      </c>
    </row>
    <row r="494" spans="1:17" x14ac:dyDescent="0.2">
      <c r="A494" s="1" t="s">
        <v>1</v>
      </c>
      <c r="F494" s="1" t="s">
        <v>2</v>
      </c>
    </row>
    <row r="496" spans="1:17" x14ac:dyDescent="0.2">
      <c r="A496" s="1" t="s">
        <v>3</v>
      </c>
      <c r="F496" s="1" t="s">
        <v>224</v>
      </c>
    </row>
    <row r="497" spans="1:17" x14ac:dyDescent="0.2">
      <c r="A497" s="1" t="s">
        <v>5</v>
      </c>
      <c r="F497" s="1" t="s">
        <v>225</v>
      </c>
    </row>
    <row r="500" spans="1:17" x14ac:dyDescent="0.2">
      <c r="C500" s="1" t="s">
        <v>7</v>
      </c>
      <c r="D500" s="1" t="s">
        <v>8</v>
      </c>
      <c r="E500" s="1" t="s">
        <v>9</v>
      </c>
      <c r="G500" s="1" t="s">
        <v>10</v>
      </c>
      <c r="H500" s="1" t="s">
        <v>11</v>
      </c>
      <c r="I500" s="1" t="s">
        <v>12</v>
      </c>
      <c r="J500" s="1" t="s">
        <v>13</v>
      </c>
      <c r="K500" s="1" t="s">
        <v>14</v>
      </c>
      <c r="L500" s="1" t="s">
        <v>15</v>
      </c>
      <c r="M500" s="1" t="s">
        <v>16</v>
      </c>
      <c r="N500" s="1" t="s">
        <v>17</v>
      </c>
      <c r="O500" s="1" t="s">
        <v>18</v>
      </c>
      <c r="P500" s="1" t="s">
        <v>19</v>
      </c>
      <c r="Q500" s="1" t="s">
        <v>20</v>
      </c>
    </row>
    <row r="502" spans="1:17" x14ac:dyDescent="0.2">
      <c r="D502" s="1" t="s">
        <v>21</v>
      </c>
      <c r="E502" s="1">
        <v>103540059</v>
      </c>
      <c r="G502" s="1" t="s">
        <v>50</v>
      </c>
      <c r="I502" s="1" t="s">
        <v>50</v>
      </c>
      <c r="K502" s="2">
        <v>1344640</v>
      </c>
      <c r="L502" s="1" t="s">
        <v>23</v>
      </c>
      <c r="N502" s="2">
        <v>1344640</v>
      </c>
      <c r="O502" s="1" t="s">
        <v>23</v>
      </c>
      <c r="P502" s="1" t="s">
        <v>226</v>
      </c>
      <c r="Q502" s="1">
        <v>1</v>
      </c>
    </row>
    <row r="504" spans="1:17" x14ac:dyDescent="0.2">
      <c r="B504" s="1" t="s">
        <v>32</v>
      </c>
      <c r="K504" s="2">
        <v>1344640</v>
      </c>
      <c r="L504" s="1" t="s">
        <v>23</v>
      </c>
      <c r="N504" s="2">
        <v>1344640</v>
      </c>
      <c r="O504" s="1" t="s">
        <v>23</v>
      </c>
    </row>
    <row r="506" spans="1:17" x14ac:dyDescent="0.2">
      <c r="A506" s="3"/>
      <c r="B506" s="3" t="s">
        <v>33</v>
      </c>
      <c r="C506" s="3" t="s">
        <v>227</v>
      </c>
      <c r="D506" s="3"/>
      <c r="E506" s="3"/>
      <c r="F506" s="3"/>
      <c r="G506" s="3"/>
      <c r="H506" s="3"/>
      <c r="I506" s="3"/>
      <c r="J506" s="3"/>
      <c r="K506" s="4">
        <v>1344640</v>
      </c>
      <c r="L506" s="3" t="s">
        <v>23</v>
      </c>
      <c r="M506" s="3"/>
      <c r="N506" s="4">
        <v>1344640</v>
      </c>
      <c r="O506" s="3" t="s">
        <v>23</v>
      </c>
      <c r="P506" s="3"/>
      <c r="Q506" s="3"/>
    </row>
    <row r="508" spans="1:17" x14ac:dyDescent="0.2">
      <c r="A508" s="1" t="s">
        <v>0</v>
      </c>
      <c r="F508" s="1">
        <v>501195</v>
      </c>
    </row>
    <row r="509" spans="1:17" x14ac:dyDescent="0.2">
      <c r="A509" s="1" t="s">
        <v>1</v>
      </c>
      <c r="F509" s="1" t="s">
        <v>2</v>
      </c>
    </row>
    <row r="511" spans="1:17" x14ac:dyDescent="0.2">
      <c r="A511" s="1" t="s">
        <v>3</v>
      </c>
      <c r="F511" s="1" t="s">
        <v>150</v>
      </c>
    </row>
    <row r="512" spans="1:17" x14ac:dyDescent="0.2">
      <c r="A512" s="1" t="s">
        <v>5</v>
      </c>
      <c r="F512" s="1" t="s">
        <v>228</v>
      </c>
    </row>
    <row r="515" spans="1:17" x14ac:dyDescent="0.2">
      <c r="C515" s="1" t="s">
        <v>7</v>
      </c>
      <c r="D515" s="1" t="s">
        <v>8</v>
      </c>
      <c r="E515" s="1" t="s">
        <v>9</v>
      </c>
      <c r="G515" s="1" t="s">
        <v>10</v>
      </c>
      <c r="H515" s="1" t="s">
        <v>11</v>
      </c>
      <c r="I515" s="1" t="s">
        <v>12</v>
      </c>
      <c r="J515" s="1" t="s">
        <v>13</v>
      </c>
      <c r="K515" s="1" t="s">
        <v>14</v>
      </c>
      <c r="L515" s="1" t="s">
        <v>15</v>
      </c>
      <c r="M515" s="1" t="s">
        <v>16</v>
      </c>
      <c r="N515" s="1" t="s">
        <v>17</v>
      </c>
      <c r="O515" s="1" t="s">
        <v>18</v>
      </c>
      <c r="P515" s="1" t="s">
        <v>19</v>
      </c>
      <c r="Q515" s="1" t="s">
        <v>20</v>
      </c>
    </row>
    <row r="517" spans="1:17" x14ac:dyDescent="0.2">
      <c r="D517" s="1" t="s">
        <v>21</v>
      </c>
      <c r="E517" s="1">
        <v>103526937</v>
      </c>
      <c r="G517" s="1" t="s">
        <v>36</v>
      </c>
      <c r="I517" s="1" t="s">
        <v>36</v>
      </c>
      <c r="K517" s="2">
        <v>366000</v>
      </c>
      <c r="L517" s="1" t="s">
        <v>23</v>
      </c>
      <c r="N517" s="2">
        <v>366000</v>
      </c>
      <c r="O517" s="1" t="s">
        <v>23</v>
      </c>
      <c r="P517" s="1" t="s">
        <v>229</v>
      </c>
      <c r="Q517" s="1">
        <v>1</v>
      </c>
    </row>
    <row r="518" spans="1:17" x14ac:dyDescent="0.2">
      <c r="D518" s="1" t="s">
        <v>21</v>
      </c>
      <c r="E518" s="1">
        <v>103527001</v>
      </c>
      <c r="G518" s="1" t="s">
        <v>130</v>
      </c>
      <c r="I518" s="1" t="s">
        <v>130</v>
      </c>
      <c r="K518" s="2">
        <v>110000</v>
      </c>
      <c r="L518" s="1" t="s">
        <v>23</v>
      </c>
      <c r="N518" s="2">
        <v>110000</v>
      </c>
      <c r="O518" s="1" t="s">
        <v>23</v>
      </c>
      <c r="P518" s="1" t="s">
        <v>230</v>
      </c>
      <c r="Q518" s="1">
        <v>1</v>
      </c>
    </row>
    <row r="519" spans="1:17" x14ac:dyDescent="0.2">
      <c r="D519" s="1" t="s">
        <v>21</v>
      </c>
      <c r="E519" s="1">
        <v>103527002</v>
      </c>
      <c r="G519" s="1" t="s">
        <v>130</v>
      </c>
      <c r="I519" s="1" t="s">
        <v>130</v>
      </c>
      <c r="K519" s="2">
        <v>126360</v>
      </c>
      <c r="L519" s="1" t="s">
        <v>23</v>
      </c>
      <c r="N519" s="2">
        <v>126360</v>
      </c>
      <c r="O519" s="1" t="s">
        <v>23</v>
      </c>
      <c r="P519" s="1" t="s">
        <v>231</v>
      </c>
      <c r="Q519" s="1">
        <v>1</v>
      </c>
    </row>
    <row r="521" spans="1:17" x14ac:dyDescent="0.2">
      <c r="B521" s="1" t="s">
        <v>32</v>
      </c>
      <c r="K521" s="2">
        <v>602360</v>
      </c>
      <c r="L521" s="1" t="s">
        <v>23</v>
      </c>
      <c r="N521" s="2">
        <v>602360</v>
      </c>
      <c r="O521" s="1" t="s">
        <v>23</v>
      </c>
    </row>
    <row r="523" spans="1:17" x14ac:dyDescent="0.2">
      <c r="A523" s="3"/>
      <c r="B523" s="3" t="s">
        <v>33</v>
      </c>
      <c r="C523" s="3" t="s">
        <v>232</v>
      </c>
      <c r="D523" s="3"/>
      <c r="E523" s="3"/>
      <c r="F523" s="3"/>
      <c r="G523" s="3"/>
      <c r="H523" s="3"/>
      <c r="I523" s="3"/>
      <c r="J523" s="3"/>
      <c r="K523" s="4">
        <v>602360</v>
      </c>
      <c r="L523" s="3" t="s">
        <v>23</v>
      </c>
      <c r="M523" s="3"/>
      <c r="N523" s="4">
        <v>602360</v>
      </c>
      <c r="O523" s="3" t="s">
        <v>23</v>
      </c>
      <c r="P523" s="3"/>
      <c r="Q523" s="3"/>
    </row>
    <row r="525" spans="1:17" x14ac:dyDescent="0.2">
      <c r="A525" s="1" t="s">
        <v>0</v>
      </c>
      <c r="F525" s="1">
        <v>501201</v>
      </c>
    </row>
    <row r="526" spans="1:17" x14ac:dyDescent="0.2">
      <c r="A526" s="1" t="s">
        <v>1</v>
      </c>
      <c r="F526" s="1" t="s">
        <v>2</v>
      </c>
    </row>
    <row r="528" spans="1:17" x14ac:dyDescent="0.2">
      <c r="A528" s="1" t="s">
        <v>3</v>
      </c>
      <c r="F528" s="1" t="s">
        <v>233</v>
      </c>
    </row>
    <row r="529" spans="1:17" x14ac:dyDescent="0.2">
      <c r="A529" s="1" t="s">
        <v>5</v>
      </c>
      <c r="F529" s="1" t="s">
        <v>228</v>
      </c>
    </row>
    <row r="532" spans="1:17" x14ac:dyDescent="0.2">
      <c r="C532" s="1" t="s">
        <v>7</v>
      </c>
      <c r="D532" s="1" t="s">
        <v>8</v>
      </c>
      <c r="E532" s="1" t="s">
        <v>9</v>
      </c>
      <c r="G532" s="1" t="s">
        <v>10</v>
      </c>
      <c r="H532" s="1" t="s">
        <v>11</v>
      </c>
      <c r="I532" s="1" t="s">
        <v>12</v>
      </c>
      <c r="J532" s="1" t="s">
        <v>13</v>
      </c>
      <c r="K532" s="1" t="s">
        <v>14</v>
      </c>
      <c r="L532" s="1" t="s">
        <v>15</v>
      </c>
      <c r="M532" s="1" t="s">
        <v>16</v>
      </c>
      <c r="N532" s="1" t="s">
        <v>17</v>
      </c>
      <c r="O532" s="1" t="s">
        <v>18</v>
      </c>
      <c r="P532" s="1" t="s">
        <v>19</v>
      </c>
      <c r="Q532" s="1" t="s">
        <v>20</v>
      </c>
    </row>
    <row r="534" spans="1:17" x14ac:dyDescent="0.2">
      <c r="D534" s="1" t="s">
        <v>21</v>
      </c>
      <c r="E534" s="1">
        <v>103527288</v>
      </c>
      <c r="G534" s="1" t="s">
        <v>50</v>
      </c>
      <c r="I534" s="1" t="s">
        <v>50</v>
      </c>
      <c r="K534" s="2">
        <v>705982.18</v>
      </c>
      <c r="L534" s="1" t="s">
        <v>23</v>
      </c>
      <c r="N534" s="2">
        <v>705982.18</v>
      </c>
      <c r="O534" s="1" t="s">
        <v>23</v>
      </c>
      <c r="P534" s="1" t="s">
        <v>234</v>
      </c>
      <c r="Q534" s="1">
        <v>1</v>
      </c>
    </row>
    <row r="535" spans="1:17" x14ac:dyDescent="0.2">
      <c r="D535" s="1" t="s">
        <v>21</v>
      </c>
      <c r="E535" s="1">
        <v>103527332</v>
      </c>
      <c r="G535" s="1" t="s">
        <v>50</v>
      </c>
      <c r="I535" s="1" t="s">
        <v>50</v>
      </c>
      <c r="K535" s="2">
        <v>696949.95</v>
      </c>
      <c r="L535" s="1" t="s">
        <v>23</v>
      </c>
      <c r="N535" s="2">
        <v>696949.95</v>
      </c>
      <c r="O535" s="1" t="s">
        <v>23</v>
      </c>
      <c r="P535" s="1" t="s">
        <v>235</v>
      </c>
      <c r="Q535" s="1">
        <v>1</v>
      </c>
    </row>
    <row r="536" spans="1:17" x14ac:dyDescent="0.2">
      <c r="D536" s="1" t="s">
        <v>21</v>
      </c>
      <c r="E536" s="1">
        <v>103527398</v>
      </c>
      <c r="G536" s="1" t="s">
        <v>50</v>
      </c>
      <c r="I536" s="1" t="s">
        <v>50</v>
      </c>
      <c r="K536" s="2">
        <v>891425.4</v>
      </c>
      <c r="L536" s="1" t="s">
        <v>23</v>
      </c>
      <c r="N536" s="2">
        <v>891425.4</v>
      </c>
      <c r="O536" s="1" t="s">
        <v>23</v>
      </c>
      <c r="P536" s="1" t="s">
        <v>236</v>
      </c>
      <c r="Q536" s="1">
        <v>1</v>
      </c>
    </row>
    <row r="537" spans="1:17" x14ac:dyDescent="0.2">
      <c r="D537" s="1" t="s">
        <v>21</v>
      </c>
      <c r="E537" s="1">
        <v>103527399</v>
      </c>
      <c r="G537" s="1" t="s">
        <v>50</v>
      </c>
      <c r="I537" s="1" t="s">
        <v>50</v>
      </c>
      <c r="K537" s="2">
        <v>974750.9</v>
      </c>
      <c r="L537" s="1" t="s">
        <v>23</v>
      </c>
      <c r="N537" s="2">
        <v>974750.9</v>
      </c>
      <c r="O537" s="1" t="s">
        <v>23</v>
      </c>
      <c r="P537" s="1" t="s">
        <v>237</v>
      </c>
      <c r="Q537" s="1">
        <v>1</v>
      </c>
    </row>
    <row r="538" spans="1:17" x14ac:dyDescent="0.2">
      <c r="D538" s="1" t="s">
        <v>21</v>
      </c>
      <c r="E538" s="1">
        <v>103527400</v>
      </c>
      <c r="G538" s="1" t="s">
        <v>50</v>
      </c>
      <c r="I538" s="1" t="s">
        <v>50</v>
      </c>
      <c r="K538" s="2">
        <v>1109197.26</v>
      </c>
      <c r="L538" s="1" t="s">
        <v>23</v>
      </c>
      <c r="N538" s="2">
        <v>1109197.26</v>
      </c>
      <c r="O538" s="1" t="s">
        <v>23</v>
      </c>
      <c r="P538" s="1" t="s">
        <v>238</v>
      </c>
      <c r="Q538" s="1">
        <v>1</v>
      </c>
    </row>
    <row r="539" spans="1:17" x14ac:dyDescent="0.2">
      <c r="D539" s="1" t="s">
        <v>21</v>
      </c>
      <c r="E539" s="1">
        <v>103527401</v>
      </c>
      <c r="G539" s="1" t="s">
        <v>50</v>
      </c>
      <c r="I539" s="1" t="s">
        <v>50</v>
      </c>
      <c r="K539" s="2">
        <v>837855.98</v>
      </c>
      <c r="L539" s="1" t="s">
        <v>23</v>
      </c>
      <c r="N539" s="2">
        <v>837855.98</v>
      </c>
      <c r="O539" s="1" t="s">
        <v>23</v>
      </c>
      <c r="P539" s="1" t="s">
        <v>239</v>
      </c>
      <c r="Q539" s="1">
        <v>1</v>
      </c>
    </row>
    <row r="540" spans="1:17" x14ac:dyDescent="0.2">
      <c r="D540" s="1" t="s">
        <v>21</v>
      </c>
      <c r="E540" s="1">
        <v>103527427</v>
      </c>
      <c r="G540" s="1" t="s">
        <v>30</v>
      </c>
      <c r="I540" s="1" t="s">
        <v>30</v>
      </c>
      <c r="K540" s="2">
        <v>909882.69</v>
      </c>
      <c r="L540" s="1" t="s">
        <v>23</v>
      </c>
      <c r="N540" s="2">
        <v>909882.69</v>
      </c>
      <c r="O540" s="1" t="s">
        <v>23</v>
      </c>
      <c r="P540" s="1" t="s">
        <v>240</v>
      </c>
      <c r="Q540" s="1">
        <v>1</v>
      </c>
    </row>
    <row r="541" spans="1:17" x14ac:dyDescent="0.2">
      <c r="D541" s="1" t="s">
        <v>21</v>
      </c>
      <c r="E541" s="1">
        <v>103527428</v>
      </c>
      <c r="G541" s="1" t="s">
        <v>30</v>
      </c>
      <c r="I541" s="1" t="s">
        <v>30</v>
      </c>
      <c r="K541" s="2">
        <v>657555.57999999996</v>
      </c>
      <c r="L541" s="1" t="s">
        <v>23</v>
      </c>
      <c r="N541" s="2">
        <v>657555.57999999996</v>
      </c>
      <c r="O541" s="1" t="s">
        <v>23</v>
      </c>
      <c r="P541" s="1" t="s">
        <v>241</v>
      </c>
      <c r="Q541" s="1">
        <v>1</v>
      </c>
    </row>
    <row r="542" spans="1:17" x14ac:dyDescent="0.2">
      <c r="D542" s="1" t="s">
        <v>21</v>
      </c>
      <c r="E542" s="1">
        <v>2200009851</v>
      </c>
      <c r="G542" s="1" t="s">
        <v>50</v>
      </c>
      <c r="I542" s="1" t="s">
        <v>50</v>
      </c>
      <c r="K542" s="2">
        <v>18217.82</v>
      </c>
      <c r="L542" s="1" t="s">
        <v>23</v>
      </c>
      <c r="N542" s="2">
        <v>18217.82</v>
      </c>
      <c r="O542" s="1" t="s">
        <v>23</v>
      </c>
      <c r="P542" s="1" t="s">
        <v>234</v>
      </c>
      <c r="Q542" s="1">
        <v>1</v>
      </c>
    </row>
    <row r="543" spans="1:17" x14ac:dyDescent="0.2">
      <c r="D543" s="1" t="s">
        <v>21</v>
      </c>
      <c r="E543" s="1">
        <v>2200009853</v>
      </c>
      <c r="G543" s="1" t="s">
        <v>50</v>
      </c>
      <c r="I543" s="1" t="s">
        <v>50</v>
      </c>
      <c r="K543" s="2">
        <v>18750.05</v>
      </c>
      <c r="L543" s="1" t="s">
        <v>23</v>
      </c>
      <c r="N543" s="2">
        <v>18750.05</v>
      </c>
      <c r="O543" s="1" t="s">
        <v>23</v>
      </c>
      <c r="P543" s="1" t="s">
        <v>235</v>
      </c>
      <c r="Q543" s="1">
        <v>1</v>
      </c>
    </row>
    <row r="544" spans="1:17" x14ac:dyDescent="0.2">
      <c r="D544" s="1" t="s">
        <v>21</v>
      </c>
      <c r="E544" s="1">
        <v>2200009855</v>
      </c>
      <c r="G544" s="1" t="s">
        <v>50</v>
      </c>
      <c r="I544" s="1" t="s">
        <v>50</v>
      </c>
      <c r="K544" s="2">
        <v>18924.599999999999</v>
      </c>
      <c r="L544" s="1" t="s">
        <v>23</v>
      </c>
      <c r="N544" s="2">
        <v>18924.599999999999</v>
      </c>
      <c r="O544" s="1" t="s">
        <v>23</v>
      </c>
      <c r="P544" s="1" t="s">
        <v>236</v>
      </c>
      <c r="Q544" s="1">
        <v>1</v>
      </c>
    </row>
    <row r="545" spans="1:17" x14ac:dyDescent="0.2">
      <c r="D545" s="1" t="s">
        <v>21</v>
      </c>
      <c r="E545" s="1">
        <v>2200009857</v>
      </c>
      <c r="G545" s="1" t="s">
        <v>50</v>
      </c>
      <c r="I545" s="1" t="s">
        <v>50</v>
      </c>
      <c r="K545" s="2">
        <v>22299.1</v>
      </c>
      <c r="L545" s="1" t="s">
        <v>23</v>
      </c>
      <c r="N545" s="2">
        <v>22299.1</v>
      </c>
      <c r="O545" s="1" t="s">
        <v>23</v>
      </c>
      <c r="P545" s="1" t="s">
        <v>237</v>
      </c>
      <c r="Q545" s="1">
        <v>1</v>
      </c>
    </row>
    <row r="546" spans="1:17" x14ac:dyDescent="0.2">
      <c r="D546" s="1" t="s">
        <v>21</v>
      </c>
      <c r="E546" s="1">
        <v>2200009859</v>
      </c>
      <c r="G546" s="1" t="s">
        <v>50</v>
      </c>
      <c r="I546" s="1" t="s">
        <v>50</v>
      </c>
      <c r="K546" s="2">
        <v>30652.74</v>
      </c>
      <c r="L546" s="1" t="s">
        <v>23</v>
      </c>
      <c r="N546" s="2">
        <v>30652.74</v>
      </c>
      <c r="O546" s="1" t="s">
        <v>23</v>
      </c>
      <c r="P546" s="1" t="s">
        <v>238</v>
      </c>
      <c r="Q546" s="1">
        <v>1</v>
      </c>
    </row>
    <row r="547" spans="1:17" x14ac:dyDescent="0.2">
      <c r="D547" s="1" t="s">
        <v>21</v>
      </c>
      <c r="E547" s="1">
        <v>2200009861</v>
      </c>
      <c r="G547" s="1" t="s">
        <v>50</v>
      </c>
      <c r="I547" s="1" t="s">
        <v>50</v>
      </c>
      <c r="K547" s="2">
        <v>18094.02</v>
      </c>
      <c r="L547" s="1" t="s">
        <v>23</v>
      </c>
      <c r="N547" s="2">
        <v>18094.02</v>
      </c>
      <c r="O547" s="1" t="s">
        <v>23</v>
      </c>
      <c r="P547" s="1" t="s">
        <v>239</v>
      </c>
      <c r="Q547" s="1">
        <v>1</v>
      </c>
    </row>
    <row r="548" spans="1:17" x14ac:dyDescent="0.2">
      <c r="D548" s="1" t="s">
        <v>21</v>
      </c>
      <c r="E548" s="1">
        <v>2200009895</v>
      </c>
      <c r="G548" s="1" t="s">
        <v>30</v>
      </c>
      <c r="I548" s="1" t="s">
        <v>30</v>
      </c>
      <c r="K548" s="2">
        <v>18317.310000000001</v>
      </c>
      <c r="L548" s="1" t="s">
        <v>23</v>
      </c>
      <c r="N548" s="2">
        <v>18317.310000000001</v>
      </c>
      <c r="O548" s="1" t="s">
        <v>23</v>
      </c>
      <c r="P548" s="1" t="s">
        <v>240</v>
      </c>
      <c r="Q548" s="1">
        <v>1</v>
      </c>
    </row>
    <row r="549" spans="1:17" x14ac:dyDescent="0.2">
      <c r="D549" s="1" t="s">
        <v>21</v>
      </c>
      <c r="E549" s="1">
        <v>2200009897</v>
      </c>
      <c r="G549" s="1" t="s">
        <v>30</v>
      </c>
      <c r="I549" s="1" t="s">
        <v>30</v>
      </c>
      <c r="K549" s="2">
        <v>15644.42</v>
      </c>
      <c r="L549" s="1" t="s">
        <v>23</v>
      </c>
      <c r="N549" s="2">
        <v>15644.42</v>
      </c>
      <c r="O549" s="1" t="s">
        <v>23</v>
      </c>
      <c r="P549" s="1" t="s">
        <v>241</v>
      </c>
      <c r="Q549" s="1">
        <v>1</v>
      </c>
    </row>
    <row r="551" spans="1:17" x14ac:dyDescent="0.2">
      <c r="B551" s="1" t="s">
        <v>32</v>
      </c>
      <c r="K551" s="2">
        <v>6944500</v>
      </c>
      <c r="L551" s="1" t="s">
        <v>23</v>
      </c>
      <c r="N551" s="2">
        <v>6944500</v>
      </c>
      <c r="O551" s="1" t="s">
        <v>23</v>
      </c>
    </row>
    <row r="553" spans="1:17" x14ac:dyDescent="0.2">
      <c r="A553" s="3"/>
      <c r="B553" s="3" t="s">
        <v>33</v>
      </c>
      <c r="C553" s="3" t="s">
        <v>242</v>
      </c>
      <c r="D553" s="3"/>
      <c r="E553" s="3"/>
      <c r="F553" s="3"/>
      <c r="G553" s="3"/>
      <c r="H553" s="3"/>
      <c r="I553" s="3"/>
      <c r="J553" s="3"/>
      <c r="K553" s="4">
        <v>6944500</v>
      </c>
      <c r="L553" s="3" t="s">
        <v>23</v>
      </c>
      <c r="M553" s="3"/>
      <c r="N553" s="4">
        <v>6944500</v>
      </c>
      <c r="O553" s="3" t="s">
        <v>23</v>
      </c>
      <c r="P553" s="3"/>
      <c r="Q553" s="3"/>
    </row>
    <row r="555" spans="1:17" x14ac:dyDescent="0.2">
      <c r="A555" s="1" t="s">
        <v>0</v>
      </c>
      <c r="F555" s="1">
        <v>501220</v>
      </c>
    </row>
    <row r="556" spans="1:17" x14ac:dyDescent="0.2">
      <c r="A556" s="1" t="s">
        <v>1</v>
      </c>
      <c r="F556" s="1" t="s">
        <v>2</v>
      </c>
    </row>
    <row r="558" spans="1:17" x14ac:dyDescent="0.2">
      <c r="A558" s="1" t="s">
        <v>3</v>
      </c>
      <c r="F558" s="1" t="s">
        <v>243</v>
      </c>
    </row>
    <row r="559" spans="1:17" x14ac:dyDescent="0.2">
      <c r="A559" s="1" t="s">
        <v>5</v>
      </c>
      <c r="F559" s="1" t="s">
        <v>55</v>
      </c>
    </row>
    <row r="562" spans="1:17" x14ac:dyDescent="0.2">
      <c r="C562" s="1" t="s">
        <v>7</v>
      </c>
      <c r="D562" s="1" t="s">
        <v>8</v>
      </c>
      <c r="E562" s="1" t="s">
        <v>9</v>
      </c>
      <c r="G562" s="1" t="s">
        <v>10</v>
      </c>
      <c r="H562" s="1" t="s">
        <v>11</v>
      </c>
      <c r="I562" s="1" t="s">
        <v>12</v>
      </c>
      <c r="J562" s="1" t="s">
        <v>13</v>
      </c>
      <c r="K562" s="1" t="s">
        <v>14</v>
      </c>
      <c r="L562" s="1" t="s">
        <v>15</v>
      </c>
      <c r="M562" s="1" t="s">
        <v>16</v>
      </c>
      <c r="N562" s="1" t="s">
        <v>17</v>
      </c>
      <c r="O562" s="1" t="s">
        <v>18</v>
      </c>
      <c r="P562" s="1" t="s">
        <v>19</v>
      </c>
      <c r="Q562" s="1" t="s">
        <v>20</v>
      </c>
    </row>
    <row r="564" spans="1:17" x14ac:dyDescent="0.2">
      <c r="D564" s="1" t="s">
        <v>21</v>
      </c>
      <c r="E564" s="1">
        <v>103527257</v>
      </c>
      <c r="G564" s="1" t="s">
        <v>58</v>
      </c>
      <c r="I564" s="1" t="s">
        <v>58</v>
      </c>
      <c r="K564" s="2">
        <v>1976000</v>
      </c>
      <c r="L564" s="1" t="s">
        <v>23</v>
      </c>
      <c r="N564" s="2">
        <v>1976000</v>
      </c>
      <c r="O564" s="1" t="s">
        <v>23</v>
      </c>
      <c r="P564" s="1" t="s">
        <v>244</v>
      </c>
      <c r="Q564" s="1">
        <v>1</v>
      </c>
    </row>
    <row r="565" spans="1:17" x14ac:dyDescent="0.2">
      <c r="D565" s="1" t="s">
        <v>21</v>
      </c>
      <c r="E565" s="1">
        <v>103527414</v>
      </c>
      <c r="G565" s="1" t="s">
        <v>50</v>
      </c>
      <c r="I565" s="1" t="s">
        <v>50</v>
      </c>
      <c r="K565" s="2">
        <v>1163250</v>
      </c>
      <c r="L565" s="1" t="s">
        <v>23</v>
      </c>
      <c r="N565" s="2">
        <v>1163250</v>
      </c>
      <c r="O565" s="1" t="s">
        <v>23</v>
      </c>
      <c r="P565" s="1" t="s">
        <v>245</v>
      </c>
      <c r="Q565" s="1">
        <v>1</v>
      </c>
    </row>
    <row r="566" spans="1:17" x14ac:dyDescent="0.2">
      <c r="D566" s="1" t="s">
        <v>21</v>
      </c>
      <c r="E566" s="1">
        <v>103527415</v>
      </c>
      <c r="G566" s="1" t="s">
        <v>50</v>
      </c>
      <c r="I566" s="1" t="s">
        <v>50</v>
      </c>
      <c r="K566" s="2">
        <v>2325000</v>
      </c>
      <c r="L566" s="1" t="s">
        <v>23</v>
      </c>
      <c r="N566" s="2">
        <v>2325000</v>
      </c>
      <c r="O566" s="1" t="s">
        <v>23</v>
      </c>
      <c r="P566" s="1" t="s">
        <v>246</v>
      </c>
      <c r="Q566" s="1">
        <v>1</v>
      </c>
    </row>
    <row r="567" spans="1:17" x14ac:dyDescent="0.2">
      <c r="D567" s="1" t="s">
        <v>21</v>
      </c>
      <c r="E567" s="1">
        <v>103527416</v>
      </c>
      <c r="G567" s="1" t="s">
        <v>50</v>
      </c>
      <c r="I567" s="1" t="s">
        <v>50</v>
      </c>
      <c r="K567" s="2">
        <v>1163250</v>
      </c>
      <c r="L567" s="1" t="s">
        <v>23</v>
      </c>
      <c r="N567" s="2">
        <v>1163250</v>
      </c>
      <c r="O567" s="1" t="s">
        <v>23</v>
      </c>
      <c r="P567" s="1" t="s">
        <v>247</v>
      </c>
      <c r="Q567" s="1">
        <v>1</v>
      </c>
    </row>
    <row r="568" spans="1:17" x14ac:dyDescent="0.2">
      <c r="D568" s="1" t="s">
        <v>21</v>
      </c>
      <c r="E568" s="1">
        <v>103527417</v>
      </c>
      <c r="G568" s="1" t="s">
        <v>50</v>
      </c>
      <c r="I568" s="1" t="s">
        <v>50</v>
      </c>
      <c r="K568" s="2">
        <v>940000</v>
      </c>
      <c r="L568" s="1" t="s">
        <v>23</v>
      </c>
      <c r="N568" s="2">
        <v>940000</v>
      </c>
      <c r="O568" s="1" t="s">
        <v>23</v>
      </c>
      <c r="P568" s="1" t="s">
        <v>248</v>
      </c>
      <c r="Q568" s="1">
        <v>1</v>
      </c>
    </row>
    <row r="570" spans="1:17" x14ac:dyDescent="0.2">
      <c r="B570" s="1" t="s">
        <v>32</v>
      </c>
      <c r="K570" s="2">
        <v>7567500</v>
      </c>
      <c r="L570" s="1" t="s">
        <v>23</v>
      </c>
      <c r="N570" s="2">
        <v>7567500</v>
      </c>
      <c r="O570" s="1" t="s">
        <v>23</v>
      </c>
    </row>
    <row r="572" spans="1:17" x14ac:dyDescent="0.2">
      <c r="A572" s="3"/>
      <c r="B572" s="3" t="s">
        <v>33</v>
      </c>
      <c r="C572" s="3" t="s">
        <v>249</v>
      </c>
      <c r="D572" s="3"/>
      <c r="E572" s="3"/>
      <c r="F572" s="3"/>
      <c r="G572" s="3"/>
      <c r="H572" s="3"/>
      <c r="I572" s="3"/>
      <c r="J572" s="3"/>
      <c r="K572" s="4">
        <v>7567500</v>
      </c>
      <c r="L572" s="3" t="s">
        <v>23</v>
      </c>
      <c r="M572" s="3"/>
      <c r="N572" s="4">
        <v>7567500</v>
      </c>
      <c r="O572" s="3" t="s">
        <v>23</v>
      </c>
      <c r="P572" s="3"/>
      <c r="Q572" s="3"/>
    </row>
    <row r="574" spans="1:17" x14ac:dyDescent="0.2">
      <c r="A574" s="1" t="s">
        <v>0</v>
      </c>
      <c r="F574" s="1">
        <v>501222</v>
      </c>
    </row>
    <row r="575" spans="1:17" x14ac:dyDescent="0.2">
      <c r="A575" s="1" t="s">
        <v>1</v>
      </c>
      <c r="F575" s="1" t="s">
        <v>2</v>
      </c>
    </row>
    <row r="577" spans="1:17" x14ac:dyDescent="0.2">
      <c r="A577" s="1" t="s">
        <v>3</v>
      </c>
      <c r="F577" s="1" t="s">
        <v>250</v>
      </c>
    </row>
    <row r="578" spans="1:17" x14ac:dyDescent="0.2">
      <c r="A578" s="1" t="s">
        <v>5</v>
      </c>
      <c r="F578" s="1" t="s">
        <v>221</v>
      </c>
    </row>
    <row r="581" spans="1:17" x14ac:dyDescent="0.2">
      <c r="C581" s="1" t="s">
        <v>7</v>
      </c>
      <c r="D581" s="1" t="s">
        <v>8</v>
      </c>
      <c r="E581" s="1" t="s">
        <v>9</v>
      </c>
      <c r="G581" s="1" t="s">
        <v>10</v>
      </c>
      <c r="H581" s="1" t="s">
        <v>11</v>
      </c>
      <c r="I581" s="1" t="s">
        <v>12</v>
      </c>
      <c r="J581" s="1" t="s">
        <v>13</v>
      </c>
      <c r="K581" s="1" t="s">
        <v>14</v>
      </c>
      <c r="L581" s="1" t="s">
        <v>15</v>
      </c>
      <c r="M581" s="1" t="s">
        <v>16</v>
      </c>
      <c r="N581" s="1" t="s">
        <v>17</v>
      </c>
      <c r="O581" s="1" t="s">
        <v>18</v>
      </c>
      <c r="P581" s="1" t="s">
        <v>19</v>
      </c>
      <c r="Q581" s="1" t="s">
        <v>20</v>
      </c>
    </row>
    <row r="583" spans="1:17" x14ac:dyDescent="0.2">
      <c r="D583" s="1" t="s">
        <v>21</v>
      </c>
      <c r="E583" s="1">
        <v>103527280</v>
      </c>
      <c r="G583" s="1" t="s">
        <v>58</v>
      </c>
      <c r="I583" s="1" t="s">
        <v>58</v>
      </c>
      <c r="K583" s="2">
        <v>8043566.3600000003</v>
      </c>
      <c r="L583" s="1" t="s">
        <v>23</v>
      </c>
      <c r="N583" s="2">
        <v>1998401.58</v>
      </c>
      <c r="O583" s="1" t="s">
        <v>24</v>
      </c>
      <c r="P583" s="1" t="s">
        <v>251</v>
      </c>
      <c r="Q583" s="1">
        <v>4.0250000000000004</v>
      </c>
    </row>
    <row r="585" spans="1:17" x14ac:dyDescent="0.2">
      <c r="B585" s="1" t="s">
        <v>32</v>
      </c>
      <c r="K585" s="2">
        <v>8043566.3600000003</v>
      </c>
      <c r="L585" s="1" t="s">
        <v>23</v>
      </c>
      <c r="N585" s="2">
        <v>1998401.58</v>
      </c>
      <c r="O585" s="1" t="s">
        <v>24</v>
      </c>
    </row>
    <row r="587" spans="1:17" x14ac:dyDescent="0.2">
      <c r="A587" s="3"/>
      <c r="B587" s="3" t="s">
        <v>33</v>
      </c>
      <c r="C587" s="3" t="s">
        <v>252</v>
      </c>
      <c r="D587" s="3"/>
      <c r="E587" s="3"/>
      <c r="F587" s="3"/>
      <c r="G587" s="3"/>
      <c r="H587" s="3"/>
      <c r="I587" s="3"/>
      <c r="J587" s="3"/>
      <c r="K587" s="4">
        <v>8043566.3600000003</v>
      </c>
      <c r="L587" s="3" t="s">
        <v>23</v>
      </c>
      <c r="M587" s="3"/>
      <c r="N587" s="4">
        <v>1998401.58</v>
      </c>
      <c r="O587" s="3" t="s">
        <v>24</v>
      </c>
      <c r="P587" s="3"/>
      <c r="Q587" s="3"/>
    </row>
    <row r="589" spans="1:17" x14ac:dyDescent="0.2">
      <c r="A589" s="1" t="s">
        <v>0</v>
      </c>
      <c r="F589" s="1">
        <v>501225</v>
      </c>
    </row>
    <row r="590" spans="1:17" x14ac:dyDescent="0.2">
      <c r="A590" s="1" t="s">
        <v>1</v>
      </c>
      <c r="F590" s="1" t="s">
        <v>2</v>
      </c>
    </row>
    <row r="592" spans="1:17" x14ac:dyDescent="0.2">
      <c r="A592" s="1" t="s">
        <v>3</v>
      </c>
      <c r="F592" s="1" t="s">
        <v>253</v>
      </c>
    </row>
    <row r="593" spans="1:17" x14ac:dyDescent="0.2">
      <c r="A593" s="1" t="s">
        <v>5</v>
      </c>
      <c r="F593" s="1" t="s">
        <v>55</v>
      </c>
    </row>
    <row r="596" spans="1:17" x14ac:dyDescent="0.2">
      <c r="C596" s="1" t="s">
        <v>7</v>
      </c>
      <c r="D596" s="1" t="s">
        <v>8</v>
      </c>
      <c r="E596" s="1" t="s">
        <v>9</v>
      </c>
      <c r="G596" s="1" t="s">
        <v>10</v>
      </c>
      <c r="H596" s="1" t="s">
        <v>11</v>
      </c>
      <c r="I596" s="1" t="s">
        <v>12</v>
      </c>
      <c r="J596" s="1" t="s">
        <v>13</v>
      </c>
      <c r="K596" s="1" t="s">
        <v>14</v>
      </c>
      <c r="L596" s="1" t="s">
        <v>15</v>
      </c>
      <c r="M596" s="1" t="s">
        <v>16</v>
      </c>
      <c r="N596" s="1" t="s">
        <v>17</v>
      </c>
      <c r="O596" s="1" t="s">
        <v>18</v>
      </c>
      <c r="P596" s="1" t="s">
        <v>19</v>
      </c>
      <c r="Q596" s="1" t="s">
        <v>20</v>
      </c>
    </row>
    <row r="598" spans="1:17" x14ac:dyDescent="0.2">
      <c r="D598" s="1" t="s">
        <v>21</v>
      </c>
      <c r="E598" s="1">
        <v>103527050</v>
      </c>
      <c r="G598" s="1" t="s">
        <v>64</v>
      </c>
      <c r="I598" s="1" t="s">
        <v>64</v>
      </c>
      <c r="K598" s="2">
        <v>490000</v>
      </c>
      <c r="L598" s="1" t="s">
        <v>23</v>
      </c>
      <c r="N598" s="2">
        <v>490000</v>
      </c>
      <c r="O598" s="1" t="s">
        <v>23</v>
      </c>
      <c r="P598" s="1" t="s">
        <v>254</v>
      </c>
      <c r="Q598" s="1">
        <v>1</v>
      </c>
    </row>
    <row r="600" spans="1:17" x14ac:dyDescent="0.2">
      <c r="B600" s="1" t="s">
        <v>32</v>
      </c>
      <c r="K600" s="2">
        <v>490000</v>
      </c>
      <c r="L600" s="1" t="s">
        <v>23</v>
      </c>
      <c r="N600" s="2">
        <v>490000</v>
      </c>
      <c r="O600" s="1" t="s">
        <v>23</v>
      </c>
    </row>
    <row r="602" spans="1:17" x14ac:dyDescent="0.2">
      <c r="A602" s="3"/>
      <c r="B602" s="3" t="s">
        <v>33</v>
      </c>
      <c r="C602" s="3" t="s">
        <v>255</v>
      </c>
      <c r="D602" s="3"/>
      <c r="E602" s="3"/>
      <c r="F602" s="3"/>
      <c r="G602" s="3"/>
      <c r="H602" s="3"/>
      <c r="I602" s="3"/>
      <c r="J602" s="3"/>
      <c r="K602" s="4">
        <v>490000</v>
      </c>
      <c r="L602" s="3" t="s">
        <v>23</v>
      </c>
      <c r="M602" s="3"/>
      <c r="N602" s="4">
        <v>490000</v>
      </c>
      <c r="O602" s="3" t="s">
        <v>23</v>
      </c>
      <c r="P602" s="3"/>
      <c r="Q602" s="3"/>
    </row>
    <row r="604" spans="1:17" x14ac:dyDescent="0.2">
      <c r="A604" s="1" t="s">
        <v>0</v>
      </c>
      <c r="F604" s="1">
        <v>501234</v>
      </c>
    </row>
    <row r="605" spans="1:17" x14ac:dyDescent="0.2">
      <c r="A605" s="1" t="s">
        <v>1</v>
      </c>
      <c r="F605" s="1" t="s">
        <v>2</v>
      </c>
    </row>
    <row r="607" spans="1:17" x14ac:dyDescent="0.2">
      <c r="A607" s="1" t="s">
        <v>3</v>
      </c>
      <c r="F607" s="1" t="s">
        <v>256</v>
      </c>
    </row>
    <row r="608" spans="1:17" x14ac:dyDescent="0.2">
      <c r="A608" s="1" t="s">
        <v>5</v>
      </c>
      <c r="F608" s="1" t="s">
        <v>257</v>
      </c>
    </row>
    <row r="611" spans="1:17" x14ac:dyDescent="0.2">
      <c r="C611" s="1" t="s">
        <v>7</v>
      </c>
      <c r="D611" s="1" t="s">
        <v>8</v>
      </c>
      <c r="E611" s="1" t="s">
        <v>9</v>
      </c>
      <c r="G611" s="1" t="s">
        <v>10</v>
      </c>
      <c r="H611" s="1" t="s">
        <v>11</v>
      </c>
      <c r="I611" s="1" t="s">
        <v>12</v>
      </c>
      <c r="J611" s="1" t="s">
        <v>13</v>
      </c>
      <c r="K611" s="1" t="s">
        <v>14</v>
      </c>
      <c r="L611" s="1" t="s">
        <v>15</v>
      </c>
      <c r="M611" s="1" t="s">
        <v>16</v>
      </c>
      <c r="N611" s="1" t="s">
        <v>17</v>
      </c>
      <c r="O611" s="1" t="s">
        <v>18</v>
      </c>
      <c r="P611" s="1" t="s">
        <v>19</v>
      </c>
      <c r="Q611" s="1" t="s">
        <v>20</v>
      </c>
    </row>
    <row r="613" spans="1:17" x14ac:dyDescent="0.2">
      <c r="D613" s="1" t="s">
        <v>21</v>
      </c>
      <c r="E613" s="1">
        <v>103527164</v>
      </c>
      <c r="G613" s="1" t="s">
        <v>130</v>
      </c>
      <c r="I613" s="1" t="s">
        <v>130</v>
      </c>
      <c r="K613" s="2">
        <v>708908.88</v>
      </c>
      <c r="L613" s="1" t="s">
        <v>23</v>
      </c>
      <c r="N613" s="2">
        <v>708908.88</v>
      </c>
      <c r="O613" s="1" t="s">
        <v>23</v>
      </c>
      <c r="P613" s="1" t="s">
        <v>258</v>
      </c>
      <c r="Q613" s="1">
        <v>1</v>
      </c>
    </row>
    <row r="615" spans="1:17" x14ac:dyDescent="0.2">
      <c r="B615" s="1" t="s">
        <v>32</v>
      </c>
      <c r="K615" s="2">
        <v>708908.88</v>
      </c>
      <c r="L615" s="1" t="s">
        <v>23</v>
      </c>
      <c r="N615" s="2">
        <v>708908.88</v>
      </c>
      <c r="O615" s="1" t="s">
        <v>23</v>
      </c>
    </row>
    <row r="617" spans="1:17" x14ac:dyDescent="0.2">
      <c r="A617" s="3"/>
      <c r="B617" s="3" t="s">
        <v>33</v>
      </c>
      <c r="C617" s="3" t="s">
        <v>259</v>
      </c>
      <c r="D617" s="3"/>
      <c r="E617" s="3"/>
      <c r="F617" s="3"/>
      <c r="G617" s="3"/>
      <c r="H617" s="3"/>
      <c r="I617" s="3"/>
      <c r="J617" s="3"/>
      <c r="K617" s="4">
        <v>708908.88</v>
      </c>
      <c r="L617" s="3" t="s">
        <v>23</v>
      </c>
      <c r="M617" s="3"/>
      <c r="N617" s="4">
        <v>708908.88</v>
      </c>
      <c r="O617" s="3" t="s">
        <v>23</v>
      </c>
      <c r="P617" s="3"/>
      <c r="Q617" s="3"/>
    </row>
    <row r="619" spans="1:17" x14ac:dyDescent="0.2">
      <c r="A619" s="1" t="s">
        <v>0</v>
      </c>
      <c r="F619" s="1">
        <v>501235</v>
      </c>
    </row>
    <row r="620" spans="1:17" x14ac:dyDescent="0.2">
      <c r="A620" s="1" t="s">
        <v>1</v>
      </c>
      <c r="F620" s="1" t="s">
        <v>2</v>
      </c>
    </row>
    <row r="622" spans="1:17" x14ac:dyDescent="0.2">
      <c r="A622" s="1" t="s">
        <v>3</v>
      </c>
      <c r="F622" s="1" t="s">
        <v>260</v>
      </c>
    </row>
    <row r="623" spans="1:17" x14ac:dyDescent="0.2">
      <c r="A623" s="1" t="s">
        <v>5</v>
      </c>
      <c r="F623" s="1" t="s">
        <v>221</v>
      </c>
    </row>
    <row r="626" spans="1:17" x14ac:dyDescent="0.2">
      <c r="C626" s="1" t="s">
        <v>7</v>
      </c>
      <c r="D626" s="1" t="s">
        <v>8</v>
      </c>
      <c r="E626" s="1" t="s">
        <v>9</v>
      </c>
      <c r="G626" s="1" t="s">
        <v>10</v>
      </c>
      <c r="H626" s="1" t="s">
        <v>11</v>
      </c>
      <c r="I626" s="1" t="s">
        <v>12</v>
      </c>
      <c r="J626" s="1" t="s">
        <v>13</v>
      </c>
      <c r="K626" s="1" t="s">
        <v>14</v>
      </c>
      <c r="L626" s="1" t="s">
        <v>15</v>
      </c>
      <c r="M626" s="1" t="s">
        <v>16</v>
      </c>
      <c r="N626" s="1" t="s">
        <v>17</v>
      </c>
      <c r="O626" s="1" t="s">
        <v>18</v>
      </c>
      <c r="P626" s="1" t="s">
        <v>19</v>
      </c>
      <c r="Q626" s="1" t="s">
        <v>20</v>
      </c>
    </row>
    <row r="628" spans="1:17" x14ac:dyDescent="0.2">
      <c r="D628" s="1" t="s">
        <v>21</v>
      </c>
      <c r="E628" s="1">
        <v>103527202</v>
      </c>
      <c r="G628" s="1" t="s">
        <v>75</v>
      </c>
      <c r="I628" s="1" t="s">
        <v>75</v>
      </c>
      <c r="K628" s="2">
        <v>1393454.44</v>
      </c>
      <c r="L628" s="1" t="s">
        <v>23</v>
      </c>
      <c r="N628" s="2">
        <v>343046.39</v>
      </c>
      <c r="O628" s="1" t="s">
        <v>24</v>
      </c>
      <c r="P628" s="1" t="s">
        <v>261</v>
      </c>
      <c r="Q628" s="1">
        <v>4.0620000000000003</v>
      </c>
    </row>
    <row r="630" spans="1:17" x14ac:dyDescent="0.2">
      <c r="B630" s="1" t="s">
        <v>32</v>
      </c>
      <c r="K630" s="2">
        <v>1393454.44</v>
      </c>
      <c r="L630" s="1" t="s">
        <v>23</v>
      </c>
      <c r="N630" s="2">
        <v>343046.39</v>
      </c>
      <c r="O630" s="1" t="s">
        <v>24</v>
      </c>
    </row>
    <row r="632" spans="1:17" x14ac:dyDescent="0.2">
      <c r="A632" s="3"/>
      <c r="B632" s="3" t="s">
        <v>33</v>
      </c>
      <c r="C632" s="3" t="s">
        <v>262</v>
      </c>
      <c r="D632" s="3"/>
      <c r="E632" s="3"/>
      <c r="F632" s="3"/>
      <c r="G632" s="3"/>
      <c r="H632" s="3"/>
      <c r="I632" s="3"/>
      <c r="J632" s="3"/>
      <c r="K632" s="4">
        <v>1393454.44</v>
      </c>
      <c r="L632" s="3" t="s">
        <v>23</v>
      </c>
      <c r="M632" s="3"/>
      <c r="N632" s="4">
        <v>343046.39</v>
      </c>
      <c r="O632" s="3" t="s">
        <v>24</v>
      </c>
      <c r="P632" s="3"/>
      <c r="Q632" s="3"/>
    </row>
    <row r="634" spans="1:17" x14ac:dyDescent="0.2">
      <c r="A634" s="1" t="s">
        <v>0</v>
      </c>
      <c r="F634" s="1">
        <v>501241</v>
      </c>
    </row>
    <row r="635" spans="1:17" x14ac:dyDescent="0.2">
      <c r="A635" s="1" t="s">
        <v>1</v>
      </c>
      <c r="F635" s="1" t="s">
        <v>2</v>
      </c>
    </row>
    <row r="637" spans="1:17" x14ac:dyDescent="0.2">
      <c r="A637" s="1" t="s">
        <v>3</v>
      </c>
      <c r="F637" s="1" t="s">
        <v>263</v>
      </c>
    </row>
    <row r="638" spans="1:17" x14ac:dyDescent="0.2">
      <c r="A638" s="1" t="s">
        <v>5</v>
      </c>
      <c r="F638" s="1" t="s">
        <v>264</v>
      </c>
    </row>
    <row r="641" spans="1:17" x14ac:dyDescent="0.2">
      <c r="C641" s="1" t="s">
        <v>7</v>
      </c>
      <c r="D641" s="1" t="s">
        <v>8</v>
      </c>
      <c r="E641" s="1" t="s">
        <v>9</v>
      </c>
      <c r="G641" s="1" t="s">
        <v>10</v>
      </c>
      <c r="H641" s="1" t="s">
        <v>11</v>
      </c>
      <c r="I641" s="1" t="s">
        <v>12</v>
      </c>
      <c r="J641" s="1" t="s">
        <v>13</v>
      </c>
      <c r="K641" s="1" t="s">
        <v>14</v>
      </c>
      <c r="L641" s="1" t="s">
        <v>15</v>
      </c>
      <c r="M641" s="1" t="s">
        <v>16</v>
      </c>
      <c r="N641" s="1" t="s">
        <v>17</v>
      </c>
      <c r="O641" s="1" t="s">
        <v>18</v>
      </c>
      <c r="P641" s="1" t="s">
        <v>19</v>
      </c>
      <c r="Q641" s="1" t="s">
        <v>20</v>
      </c>
    </row>
    <row r="643" spans="1:17" x14ac:dyDescent="0.2">
      <c r="D643" s="1" t="s">
        <v>21</v>
      </c>
      <c r="E643" s="1">
        <v>103527254</v>
      </c>
      <c r="G643" s="1" t="s">
        <v>58</v>
      </c>
      <c r="I643" s="1" t="s">
        <v>58</v>
      </c>
      <c r="K643" s="2">
        <v>9317302.9299999997</v>
      </c>
      <c r="L643" s="1" t="s">
        <v>23</v>
      </c>
      <c r="N643" s="2">
        <v>2314857.87</v>
      </c>
      <c r="O643" s="1" t="s">
        <v>24</v>
      </c>
      <c r="P643" s="1" t="s">
        <v>265</v>
      </c>
      <c r="Q643" s="1">
        <v>4.0250000000000004</v>
      </c>
    </row>
    <row r="644" spans="1:17" x14ac:dyDescent="0.2">
      <c r="D644" s="1" t="s">
        <v>21</v>
      </c>
      <c r="E644" s="1">
        <v>103527255</v>
      </c>
      <c r="G644" s="1" t="s">
        <v>58</v>
      </c>
      <c r="I644" s="1" t="s">
        <v>58</v>
      </c>
      <c r="K644" s="2">
        <v>9316397.2599999998</v>
      </c>
      <c r="L644" s="1" t="s">
        <v>23</v>
      </c>
      <c r="N644" s="2">
        <v>2314632.86</v>
      </c>
      <c r="O644" s="1" t="s">
        <v>24</v>
      </c>
      <c r="P644" s="1" t="s">
        <v>266</v>
      </c>
      <c r="Q644" s="1">
        <v>4.0250000000000004</v>
      </c>
    </row>
    <row r="645" spans="1:17" x14ac:dyDescent="0.2">
      <c r="D645" s="1" t="s">
        <v>21</v>
      </c>
      <c r="E645" s="1">
        <v>103527256</v>
      </c>
      <c r="G645" s="1" t="s">
        <v>58</v>
      </c>
      <c r="I645" s="1" t="s">
        <v>58</v>
      </c>
      <c r="K645" s="2">
        <v>9767230.6300000008</v>
      </c>
      <c r="L645" s="1" t="s">
        <v>23</v>
      </c>
      <c r="N645" s="2">
        <v>2426641.15</v>
      </c>
      <c r="O645" s="1" t="s">
        <v>24</v>
      </c>
      <c r="P645" s="1" t="s">
        <v>267</v>
      </c>
      <c r="Q645" s="1">
        <v>4.0250000000000004</v>
      </c>
    </row>
    <row r="647" spans="1:17" x14ac:dyDescent="0.2">
      <c r="B647" s="1" t="s">
        <v>32</v>
      </c>
      <c r="K647" s="2">
        <v>28400930.82</v>
      </c>
      <c r="L647" s="1" t="s">
        <v>23</v>
      </c>
      <c r="N647" s="2">
        <v>7056131.8799999999</v>
      </c>
      <c r="O647" s="1" t="s">
        <v>24</v>
      </c>
    </row>
    <row r="649" spans="1:17" x14ac:dyDescent="0.2">
      <c r="A649" s="3"/>
      <c r="B649" s="3" t="s">
        <v>33</v>
      </c>
      <c r="C649" s="3" t="s">
        <v>268</v>
      </c>
      <c r="D649" s="3"/>
      <c r="E649" s="3"/>
      <c r="F649" s="3"/>
      <c r="G649" s="3"/>
      <c r="H649" s="3"/>
      <c r="I649" s="3"/>
      <c r="J649" s="3"/>
      <c r="K649" s="4">
        <v>28400930.82</v>
      </c>
      <c r="L649" s="3" t="s">
        <v>23</v>
      </c>
      <c r="M649" s="3"/>
      <c r="N649" s="4">
        <v>7056131.8799999999</v>
      </c>
      <c r="O649" s="3" t="s">
        <v>24</v>
      </c>
      <c r="P649" s="3"/>
      <c r="Q649" s="3"/>
    </row>
    <row r="651" spans="1:17" x14ac:dyDescent="0.2">
      <c r="A651" s="1" t="s">
        <v>0</v>
      </c>
      <c r="F651" s="1">
        <v>501261</v>
      </c>
    </row>
    <row r="652" spans="1:17" x14ac:dyDescent="0.2">
      <c r="A652" s="1" t="s">
        <v>1</v>
      </c>
      <c r="F652" s="1" t="s">
        <v>2</v>
      </c>
    </row>
    <row r="654" spans="1:17" x14ac:dyDescent="0.2">
      <c r="A654" s="1" t="s">
        <v>3</v>
      </c>
      <c r="F654" s="1" t="s">
        <v>269</v>
      </c>
    </row>
    <row r="655" spans="1:17" x14ac:dyDescent="0.2">
      <c r="A655" s="1" t="s">
        <v>5</v>
      </c>
      <c r="F655" s="1" t="s">
        <v>55</v>
      </c>
    </row>
    <row r="658" spans="1:17" x14ac:dyDescent="0.2">
      <c r="C658" s="1" t="s">
        <v>7</v>
      </c>
      <c r="D658" s="1" t="s">
        <v>8</v>
      </c>
      <c r="E658" s="1" t="s">
        <v>9</v>
      </c>
      <c r="G658" s="1" t="s">
        <v>10</v>
      </c>
      <c r="H658" s="1" t="s">
        <v>11</v>
      </c>
      <c r="I658" s="1" t="s">
        <v>12</v>
      </c>
      <c r="J658" s="1" t="s">
        <v>13</v>
      </c>
      <c r="K658" s="1" t="s">
        <v>14</v>
      </c>
      <c r="L658" s="1" t="s">
        <v>15</v>
      </c>
      <c r="M658" s="1" t="s">
        <v>16</v>
      </c>
      <c r="N658" s="1" t="s">
        <v>17</v>
      </c>
      <c r="O658" s="1" t="s">
        <v>18</v>
      </c>
      <c r="P658" s="1" t="s">
        <v>19</v>
      </c>
      <c r="Q658" s="1" t="s">
        <v>20</v>
      </c>
    </row>
    <row r="660" spans="1:17" x14ac:dyDescent="0.2">
      <c r="D660" s="1" t="s">
        <v>21</v>
      </c>
      <c r="E660" s="1">
        <v>103544918</v>
      </c>
      <c r="G660" s="1" t="s">
        <v>58</v>
      </c>
      <c r="I660" s="1" t="s">
        <v>58</v>
      </c>
      <c r="K660" s="2">
        <v>841181.9</v>
      </c>
      <c r="L660" s="1" t="s">
        <v>23</v>
      </c>
      <c r="N660" s="2">
        <v>841181.9</v>
      </c>
      <c r="O660" s="1" t="s">
        <v>23</v>
      </c>
      <c r="P660" s="1" t="s">
        <v>270</v>
      </c>
      <c r="Q660" s="1">
        <v>1</v>
      </c>
    </row>
    <row r="662" spans="1:17" x14ac:dyDescent="0.2">
      <c r="B662" s="1" t="s">
        <v>32</v>
      </c>
      <c r="K662" s="2">
        <v>841181.9</v>
      </c>
      <c r="L662" s="1" t="s">
        <v>23</v>
      </c>
      <c r="N662" s="2">
        <v>841181.9</v>
      </c>
      <c r="O662" s="1" t="s">
        <v>23</v>
      </c>
    </row>
    <row r="664" spans="1:17" x14ac:dyDescent="0.2">
      <c r="A664" s="3"/>
      <c r="B664" s="3" t="s">
        <v>33</v>
      </c>
      <c r="C664" s="3" t="s">
        <v>271</v>
      </c>
      <c r="D664" s="3"/>
      <c r="E664" s="3"/>
      <c r="F664" s="3"/>
      <c r="G664" s="3"/>
      <c r="H664" s="3"/>
      <c r="I664" s="3"/>
      <c r="J664" s="3"/>
      <c r="K664" s="4">
        <v>841181.9</v>
      </c>
      <c r="L664" s="3" t="s">
        <v>23</v>
      </c>
      <c r="M664" s="3"/>
      <c r="N664" s="4">
        <v>841181.9</v>
      </c>
      <c r="O664" s="3" t="s">
        <v>23</v>
      </c>
      <c r="P664" s="3"/>
      <c r="Q664" s="3"/>
    </row>
    <row r="666" spans="1:17" x14ac:dyDescent="0.2">
      <c r="A666" s="1" t="s">
        <v>0</v>
      </c>
      <c r="F666" s="1">
        <v>501275</v>
      </c>
    </row>
    <row r="667" spans="1:17" x14ac:dyDescent="0.2">
      <c r="A667" s="1" t="s">
        <v>1</v>
      </c>
      <c r="F667" s="1" t="s">
        <v>2</v>
      </c>
    </row>
    <row r="669" spans="1:17" x14ac:dyDescent="0.2">
      <c r="A669" s="1" t="s">
        <v>3</v>
      </c>
      <c r="F669" s="1" t="s">
        <v>175</v>
      </c>
    </row>
    <row r="670" spans="1:17" x14ac:dyDescent="0.2">
      <c r="A670" s="1" t="s">
        <v>5</v>
      </c>
      <c r="F670" s="1" t="s">
        <v>272</v>
      </c>
    </row>
    <row r="673" spans="3:17" x14ac:dyDescent="0.2">
      <c r="C673" s="1" t="s">
        <v>7</v>
      </c>
      <c r="D673" s="1" t="s">
        <v>8</v>
      </c>
      <c r="E673" s="1" t="s">
        <v>9</v>
      </c>
      <c r="G673" s="1" t="s">
        <v>10</v>
      </c>
      <c r="H673" s="1" t="s">
        <v>11</v>
      </c>
      <c r="I673" s="1" t="s">
        <v>12</v>
      </c>
      <c r="J673" s="1" t="s">
        <v>13</v>
      </c>
      <c r="K673" s="1" t="s">
        <v>14</v>
      </c>
      <c r="L673" s="1" t="s">
        <v>15</v>
      </c>
      <c r="M673" s="1" t="s">
        <v>16</v>
      </c>
      <c r="N673" s="1" t="s">
        <v>17</v>
      </c>
      <c r="O673" s="1" t="s">
        <v>18</v>
      </c>
      <c r="P673" s="1" t="s">
        <v>19</v>
      </c>
      <c r="Q673" s="1" t="s">
        <v>20</v>
      </c>
    </row>
    <row r="675" spans="3:17" x14ac:dyDescent="0.2">
      <c r="D675" s="1" t="s">
        <v>21</v>
      </c>
      <c r="E675" s="1">
        <v>103527010</v>
      </c>
      <c r="G675" s="1" t="s">
        <v>130</v>
      </c>
      <c r="I675" s="1" t="s">
        <v>130</v>
      </c>
      <c r="K675" s="2">
        <v>87304.62</v>
      </c>
      <c r="L675" s="1" t="s">
        <v>23</v>
      </c>
      <c r="N675" s="2">
        <v>87304.62</v>
      </c>
      <c r="O675" s="1" t="s">
        <v>23</v>
      </c>
      <c r="P675" s="1" t="s">
        <v>273</v>
      </c>
      <c r="Q675" s="1">
        <v>1</v>
      </c>
    </row>
    <row r="676" spans="3:17" x14ac:dyDescent="0.2">
      <c r="D676" s="1" t="s">
        <v>21</v>
      </c>
      <c r="E676" s="1">
        <v>103527011</v>
      </c>
      <c r="G676" s="1" t="s">
        <v>130</v>
      </c>
      <c r="I676" s="1" t="s">
        <v>130</v>
      </c>
      <c r="K676" s="2">
        <v>26649</v>
      </c>
      <c r="L676" s="1" t="s">
        <v>23</v>
      </c>
      <c r="N676" s="2">
        <v>26649</v>
      </c>
      <c r="O676" s="1" t="s">
        <v>23</v>
      </c>
      <c r="P676" s="1" t="s">
        <v>274</v>
      </c>
      <c r="Q676" s="1">
        <v>1</v>
      </c>
    </row>
    <row r="677" spans="3:17" x14ac:dyDescent="0.2">
      <c r="D677" s="1" t="s">
        <v>21</v>
      </c>
      <c r="E677" s="1">
        <v>103527035</v>
      </c>
      <c r="G677" s="1" t="s">
        <v>42</v>
      </c>
      <c r="I677" s="1" t="s">
        <v>42</v>
      </c>
      <c r="K677" s="2">
        <v>290413.40999999997</v>
      </c>
      <c r="L677" s="1" t="s">
        <v>23</v>
      </c>
      <c r="N677" s="2">
        <v>290413.40999999997</v>
      </c>
      <c r="O677" s="1" t="s">
        <v>23</v>
      </c>
      <c r="P677" s="1" t="s">
        <v>275</v>
      </c>
      <c r="Q677" s="1">
        <v>1</v>
      </c>
    </row>
    <row r="678" spans="3:17" x14ac:dyDescent="0.2">
      <c r="D678" s="1" t="s">
        <v>21</v>
      </c>
      <c r="E678" s="1">
        <v>103527153</v>
      </c>
      <c r="G678" s="1" t="s">
        <v>46</v>
      </c>
      <c r="I678" s="1" t="s">
        <v>46</v>
      </c>
      <c r="K678" s="2">
        <v>137472.14000000001</v>
      </c>
      <c r="L678" s="1" t="s">
        <v>23</v>
      </c>
      <c r="N678" s="2">
        <v>137472.14000000001</v>
      </c>
      <c r="O678" s="1" t="s">
        <v>23</v>
      </c>
      <c r="P678" s="1" t="s">
        <v>276</v>
      </c>
      <c r="Q678" s="1">
        <v>1</v>
      </c>
    </row>
    <row r="679" spans="3:17" x14ac:dyDescent="0.2">
      <c r="D679" s="1" t="s">
        <v>21</v>
      </c>
      <c r="E679" s="1">
        <v>103527154</v>
      </c>
      <c r="G679" s="1" t="s">
        <v>46</v>
      </c>
      <c r="I679" s="1" t="s">
        <v>46</v>
      </c>
      <c r="K679" s="2">
        <v>51230.38</v>
      </c>
      <c r="L679" s="1" t="s">
        <v>23</v>
      </c>
      <c r="N679" s="2">
        <v>51230.38</v>
      </c>
      <c r="O679" s="1" t="s">
        <v>23</v>
      </c>
      <c r="P679" s="1" t="s">
        <v>277</v>
      </c>
      <c r="Q679" s="1">
        <v>1</v>
      </c>
    </row>
    <row r="680" spans="3:17" x14ac:dyDescent="0.2">
      <c r="D680" s="1" t="s">
        <v>21</v>
      </c>
      <c r="E680" s="1">
        <v>103527155</v>
      </c>
      <c r="G680" s="1" t="s">
        <v>46</v>
      </c>
      <c r="I680" s="1" t="s">
        <v>46</v>
      </c>
      <c r="K680" s="2">
        <v>103170.08</v>
      </c>
      <c r="L680" s="1" t="s">
        <v>23</v>
      </c>
      <c r="N680" s="2">
        <v>103170.08</v>
      </c>
      <c r="O680" s="1" t="s">
        <v>23</v>
      </c>
      <c r="P680" s="1" t="s">
        <v>278</v>
      </c>
      <c r="Q680" s="1">
        <v>1</v>
      </c>
    </row>
    <row r="681" spans="3:17" x14ac:dyDescent="0.2">
      <c r="D681" s="1" t="s">
        <v>21</v>
      </c>
      <c r="E681" s="1">
        <v>103527156</v>
      </c>
      <c r="G681" s="1" t="s">
        <v>46</v>
      </c>
      <c r="I681" s="1" t="s">
        <v>46</v>
      </c>
      <c r="K681" s="2">
        <v>31868.1</v>
      </c>
      <c r="L681" s="1" t="s">
        <v>23</v>
      </c>
      <c r="N681" s="2">
        <v>31868.1</v>
      </c>
      <c r="O681" s="1" t="s">
        <v>23</v>
      </c>
      <c r="P681" s="1" t="s">
        <v>279</v>
      </c>
      <c r="Q681" s="1">
        <v>1</v>
      </c>
    </row>
    <row r="682" spans="3:17" x14ac:dyDescent="0.2">
      <c r="D682" s="1" t="s">
        <v>21</v>
      </c>
      <c r="E682" s="1">
        <v>103527157</v>
      </c>
      <c r="G682" s="1" t="s">
        <v>46</v>
      </c>
      <c r="I682" s="1" t="s">
        <v>46</v>
      </c>
      <c r="K682" s="2">
        <v>224220.53</v>
      </c>
      <c r="L682" s="1" t="s">
        <v>23</v>
      </c>
      <c r="N682" s="2">
        <v>224220.53</v>
      </c>
      <c r="O682" s="1" t="s">
        <v>23</v>
      </c>
      <c r="P682" s="1" t="s">
        <v>280</v>
      </c>
      <c r="Q682" s="1">
        <v>1</v>
      </c>
    </row>
    <row r="683" spans="3:17" x14ac:dyDescent="0.2">
      <c r="D683" s="1" t="s">
        <v>21</v>
      </c>
      <c r="E683" s="1">
        <v>103527158</v>
      </c>
      <c r="G683" s="1" t="s">
        <v>46</v>
      </c>
      <c r="I683" s="1" t="s">
        <v>46</v>
      </c>
      <c r="K683" s="2">
        <v>130241.76</v>
      </c>
      <c r="L683" s="1" t="s">
        <v>23</v>
      </c>
      <c r="N683" s="2">
        <v>130241.76</v>
      </c>
      <c r="O683" s="1" t="s">
        <v>23</v>
      </c>
      <c r="P683" s="1" t="s">
        <v>281</v>
      </c>
      <c r="Q683" s="1">
        <v>1</v>
      </c>
    </row>
    <row r="684" spans="3:17" x14ac:dyDescent="0.2">
      <c r="D684" s="1" t="s">
        <v>21</v>
      </c>
      <c r="E684" s="1">
        <v>103527159</v>
      </c>
      <c r="G684" s="1" t="s">
        <v>46</v>
      </c>
      <c r="I684" s="1" t="s">
        <v>46</v>
      </c>
      <c r="K684" s="2">
        <v>86169.42</v>
      </c>
      <c r="L684" s="1" t="s">
        <v>23</v>
      </c>
      <c r="N684" s="2">
        <v>86169.42</v>
      </c>
      <c r="O684" s="1" t="s">
        <v>23</v>
      </c>
      <c r="P684" s="1" t="s">
        <v>282</v>
      </c>
      <c r="Q684" s="1">
        <v>1</v>
      </c>
    </row>
    <row r="685" spans="3:17" x14ac:dyDescent="0.2">
      <c r="D685" s="1" t="s">
        <v>21</v>
      </c>
      <c r="E685" s="1">
        <v>103527160</v>
      </c>
      <c r="G685" s="1" t="s">
        <v>46</v>
      </c>
      <c r="I685" s="1" t="s">
        <v>46</v>
      </c>
      <c r="K685" s="2">
        <v>8577.36</v>
      </c>
      <c r="L685" s="1" t="s">
        <v>23</v>
      </c>
      <c r="N685" s="2">
        <v>8577.36</v>
      </c>
      <c r="O685" s="1" t="s">
        <v>23</v>
      </c>
      <c r="P685" s="1" t="s">
        <v>283</v>
      </c>
      <c r="Q685" s="1">
        <v>1</v>
      </c>
    </row>
    <row r="686" spans="3:17" x14ac:dyDescent="0.2">
      <c r="D686" s="1" t="s">
        <v>21</v>
      </c>
      <c r="E686" s="1">
        <v>103527161</v>
      </c>
      <c r="G686" s="1" t="s">
        <v>46</v>
      </c>
      <c r="I686" s="1" t="s">
        <v>46</v>
      </c>
      <c r="K686" s="2">
        <v>25831.5</v>
      </c>
      <c r="L686" s="1" t="s">
        <v>23</v>
      </c>
      <c r="N686" s="2">
        <v>25831.5</v>
      </c>
      <c r="O686" s="1" t="s">
        <v>23</v>
      </c>
      <c r="P686" s="1" t="s">
        <v>284</v>
      </c>
      <c r="Q686" s="1">
        <v>1</v>
      </c>
    </row>
    <row r="687" spans="3:17" x14ac:dyDescent="0.2">
      <c r="D687" s="1" t="s">
        <v>21</v>
      </c>
      <c r="E687" s="1">
        <v>103527419</v>
      </c>
      <c r="G687" s="1" t="s">
        <v>30</v>
      </c>
      <c r="I687" s="1" t="s">
        <v>30</v>
      </c>
      <c r="K687" s="2">
        <v>237196.05</v>
      </c>
      <c r="L687" s="1" t="s">
        <v>23</v>
      </c>
      <c r="N687" s="2">
        <v>237196.05</v>
      </c>
      <c r="O687" s="1" t="s">
        <v>23</v>
      </c>
      <c r="P687" s="1" t="s">
        <v>285</v>
      </c>
      <c r="Q687" s="1">
        <v>1</v>
      </c>
    </row>
    <row r="689" spans="1:17" x14ac:dyDescent="0.2">
      <c r="B689" s="1" t="s">
        <v>32</v>
      </c>
      <c r="K689" s="2">
        <v>1440344.35</v>
      </c>
      <c r="L689" s="1" t="s">
        <v>23</v>
      </c>
      <c r="N689" s="2">
        <v>1440344.35</v>
      </c>
      <c r="O689" s="1" t="s">
        <v>23</v>
      </c>
    </row>
    <row r="691" spans="1:17" x14ac:dyDescent="0.2">
      <c r="A691" s="3"/>
      <c r="B691" s="3" t="s">
        <v>33</v>
      </c>
      <c r="C691" s="3" t="s">
        <v>286</v>
      </c>
      <c r="D691" s="3"/>
      <c r="E691" s="3"/>
      <c r="F691" s="3"/>
      <c r="G691" s="3"/>
      <c r="H691" s="3"/>
      <c r="I691" s="3"/>
      <c r="J691" s="3"/>
      <c r="K691" s="4">
        <v>1440344.35</v>
      </c>
      <c r="L691" s="3" t="s">
        <v>23</v>
      </c>
      <c r="M691" s="3"/>
      <c r="N691" s="4">
        <v>1440344.35</v>
      </c>
      <c r="O691" s="3" t="s">
        <v>23</v>
      </c>
      <c r="P691" s="3"/>
      <c r="Q691" s="3"/>
    </row>
    <row r="693" spans="1:17" x14ac:dyDescent="0.2">
      <c r="A693" s="1" t="s">
        <v>0</v>
      </c>
      <c r="F693" s="1">
        <v>501285</v>
      </c>
    </row>
    <row r="694" spans="1:17" x14ac:dyDescent="0.2">
      <c r="A694" s="1" t="s">
        <v>1</v>
      </c>
      <c r="F694" s="1" t="s">
        <v>2</v>
      </c>
    </row>
    <row r="696" spans="1:17" x14ac:dyDescent="0.2">
      <c r="A696" s="1" t="s">
        <v>3</v>
      </c>
      <c r="F696" s="1" t="s">
        <v>287</v>
      </c>
    </row>
    <row r="697" spans="1:17" x14ac:dyDescent="0.2">
      <c r="A697" s="1" t="s">
        <v>5</v>
      </c>
      <c r="F697" s="1" t="s">
        <v>55</v>
      </c>
    </row>
    <row r="700" spans="1:17" x14ac:dyDescent="0.2">
      <c r="C700" s="1" t="s">
        <v>7</v>
      </c>
      <c r="D700" s="1" t="s">
        <v>8</v>
      </c>
      <c r="E700" s="1" t="s">
        <v>9</v>
      </c>
      <c r="G700" s="1" t="s">
        <v>10</v>
      </c>
      <c r="H700" s="1" t="s">
        <v>11</v>
      </c>
      <c r="I700" s="1" t="s">
        <v>12</v>
      </c>
      <c r="J700" s="1" t="s">
        <v>13</v>
      </c>
      <c r="K700" s="1" t="s">
        <v>14</v>
      </c>
      <c r="L700" s="1" t="s">
        <v>15</v>
      </c>
      <c r="M700" s="1" t="s">
        <v>16</v>
      </c>
      <c r="N700" s="1" t="s">
        <v>17</v>
      </c>
      <c r="O700" s="1" t="s">
        <v>18</v>
      </c>
      <c r="P700" s="1" t="s">
        <v>19</v>
      </c>
      <c r="Q700" s="1" t="s">
        <v>20</v>
      </c>
    </row>
    <row r="702" spans="1:17" x14ac:dyDescent="0.2">
      <c r="D702" s="1" t="s">
        <v>21</v>
      </c>
      <c r="E702" s="1">
        <v>103526923</v>
      </c>
      <c r="G702" s="1" t="s">
        <v>164</v>
      </c>
      <c r="I702" s="1" t="s">
        <v>164</v>
      </c>
      <c r="K702" s="2">
        <v>120288</v>
      </c>
      <c r="L702" s="1" t="s">
        <v>23</v>
      </c>
      <c r="N702" s="2">
        <v>120288</v>
      </c>
      <c r="O702" s="1" t="s">
        <v>23</v>
      </c>
      <c r="P702" s="1" t="s">
        <v>288</v>
      </c>
      <c r="Q702" s="1">
        <v>1</v>
      </c>
    </row>
    <row r="703" spans="1:17" x14ac:dyDescent="0.2">
      <c r="D703" s="1" t="s">
        <v>21</v>
      </c>
      <c r="E703" s="1">
        <v>103527247</v>
      </c>
      <c r="G703" s="1" t="s">
        <v>48</v>
      </c>
      <c r="I703" s="1" t="s">
        <v>48</v>
      </c>
      <c r="K703" s="2">
        <v>490322</v>
      </c>
      <c r="L703" s="1" t="s">
        <v>23</v>
      </c>
      <c r="N703" s="2">
        <v>490322</v>
      </c>
      <c r="O703" s="1" t="s">
        <v>23</v>
      </c>
      <c r="P703" s="1" t="s">
        <v>289</v>
      </c>
      <c r="Q703" s="1">
        <v>1</v>
      </c>
    </row>
    <row r="704" spans="1:17" x14ac:dyDescent="0.2">
      <c r="D704" s="1" t="s">
        <v>21</v>
      </c>
      <c r="E704" s="1">
        <v>103527248</v>
      </c>
      <c r="G704" s="1" t="s">
        <v>48</v>
      </c>
      <c r="I704" s="1" t="s">
        <v>48</v>
      </c>
      <c r="K704" s="2">
        <v>531370</v>
      </c>
      <c r="L704" s="1" t="s">
        <v>23</v>
      </c>
      <c r="N704" s="2">
        <v>531370</v>
      </c>
      <c r="O704" s="1" t="s">
        <v>23</v>
      </c>
      <c r="P704" s="1" t="s">
        <v>290</v>
      </c>
      <c r="Q704" s="1">
        <v>1</v>
      </c>
    </row>
    <row r="706" spans="1:17" x14ac:dyDescent="0.2">
      <c r="B706" s="1" t="s">
        <v>32</v>
      </c>
      <c r="K706" s="2">
        <v>1141980</v>
      </c>
      <c r="L706" s="1" t="s">
        <v>23</v>
      </c>
      <c r="N706" s="2">
        <v>1141980</v>
      </c>
      <c r="O706" s="1" t="s">
        <v>23</v>
      </c>
    </row>
    <row r="708" spans="1:17" x14ac:dyDescent="0.2">
      <c r="A708" s="3"/>
      <c r="B708" s="3" t="s">
        <v>33</v>
      </c>
      <c r="C708" s="3" t="s">
        <v>291</v>
      </c>
      <c r="D708" s="3"/>
      <c r="E708" s="3"/>
      <c r="F708" s="3"/>
      <c r="G708" s="3"/>
      <c r="H708" s="3"/>
      <c r="I708" s="3"/>
      <c r="J708" s="3"/>
      <c r="K708" s="4">
        <v>1141980</v>
      </c>
      <c r="L708" s="3" t="s">
        <v>23</v>
      </c>
      <c r="M708" s="3"/>
      <c r="N708" s="4">
        <v>1141980</v>
      </c>
      <c r="O708" s="3" t="s">
        <v>23</v>
      </c>
      <c r="P708" s="3"/>
      <c r="Q708" s="3"/>
    </row>
    <row r="710" spans="1:17" x14ac:dyDescent="0.2">
      <c r="A710" s="1" t="s">
        <v>0</v>
      </c>
      <c r="F710" s="1">
        <v>501286</v>
      </c>
    </row>
    <row r="711" spans="1:17" x14ac:dyDescent="0.2">
      <c r="A711" s="1" t="s">
        <v>1</v>
      </c>
      <c r="F711" s="1" t="s">
        <v>2</v>
      </c>
    </row>
    <row r="713" spans="1:17" x14ac:dyDescent="0.2">
      <c r="A713" s="1" t="s">
        <v>3</v>
      </c>
      <c r="F713" s="1" t="s">
        <v>292</v>
      </c>
    </row>
    <row r="714" spans="1:17" x14ac:dyDescent="0.2">
      <c r="A714" s="1" t="s">
        <v>5</v>
      </c>
      <c r="F714" s="1" t="s">
        <v>293</v>
      </c>
    </row>
    <row r="717" spans="1:17" x14ac:dyDescent="0.2">
      <c r="C717" s="1" t="s">
        <v>7</v>
      </c>
      <c r="D717" s="1" t="s">
        <v>8</v>
      </c>
      <c r="E717" s="1" t="s">
        <v>9</v>
      </c>
      <c r="G717" s="1" t="s">
        <v>10</v>
      </c>
      <c r="H717" s="1" t="s">
        <v>11</v>
      </c>
      <c r="I717" s="1" t="s">
        <v>12</v>
      </c>
      <c r="J717" s="1" t="s">
        <v>13</v>
      </c>
      <c r="K717" s="1" t="s">
        <v>14</v>
      </c>
      <c r="L717" s="1" t="s">
        <v>15</v>
      </c>
      <c r="M717" s="1" t="s">
        <v>16</v>
      </c>
      <c r="N717" s="1" t="s">
        <v>17</v>
      </c>
      <c r="O717" s="1" t="s">
        <v>18</v>
      </c>
      <c r="P717" s="1" t="s">
        <v>19</v>
      </c>
      <c r="Q717" s="1" t="s">
        <v>20</v>
      </c>
    </row>
    <row r="719" spans="1:17" x14ac:dyDescent="0.2">
      <c r="D719" s="1" t="s">
        <v>21</v>
      </c>
      <c r="E719" s="1">
        <v>103526941</v>
      </c>
      <c r="G719" s="1" t="s">
        <v>39</v>
      </c>
      <c r="I719" s="1" t="s">
        <v>39</v>
      </c>
      <c r="K719" s="2">
        <v>1273780</v>
      </c>
      <c r="L719" s="1" t="s">
        <v>23</v>
      </c>
      <c r="N719" s="2">
        <v>1273780</v>
      </c>
      <c r="O719" s="1" t="s">
        <v>23</v>
      </c>
      <c r="P719" s="1" t="s">
        <v>294</v>
      </c>
      <c r="Q719" s="1">
        <v>1</v>
      </c>
    </row>
    <row r="721" spans="1:17" x14ac:dyDescent="0.2">
      <c r="B721" s="1" t="s">
        <v>32</v>
      </c>
      <c r="K721" s="2">
        <v>1273780</v>
      </c>
      <c r="L721" s="1" t="s">
        <v>23</v>
      </c>
      <c r="N721" s="2">
        <v>1273780</v>
      </c>
      <c r="O721" s="1" t="s">
        <v>23</v>
      </c>
    </row>
    <row r="723" spans="1:17" x14ac:dyDescent="0.2">
      <c r="A723" s="3"/>
      <c r="B723" s="3" t="s">
        <v>33</v>
      </c>
      <c r="C723" s="3" t="s">
        <v>295</v>
      </c>
      <c r="D723" s="3"/>
      <c r="E723" s="3"/>
      <c r="F723" s="3"/>
      <c r="G723" s="3"/>
      <c r="H723" s="3"/>
      <c r="I723" s="3"/>
      <c r="J723" s="3"/>
      <c r="K723" s="4">
        <v>1273780</v>
      </c>
      <c r="L723" s="3" t="s">
        <v>23</v>
      </c>
      <c r="M723" s="3"/>
      <c r="N723" s="4">
        <v>1273780</v>
      </c>
      <c r="O723" s="3" t="s">
        <v>23</v>
      </c>
      <c r="P723" s="3"/>
      <c r="Q723" s="3"/>
    </row>
    <row r="725" spans="1:17" x14ac:dyDescent="0.2">
      <c r="A725" s="1" t="s">
        <v>0</v>
      </c>
      <c r="F725" s="1">
        <v>501291</v>
      </c>
    </row>
    <row r="726" spans="1:17" x14ac:dyDescent="0.2">
      <c r="A726" s="1" t="s">
        <v>1</v>
      </c>
      <c r="F726" s="1" t="s">
        <v>2</v>
      </c>
    </row>
    <row r="728" spans="1:17" x14ac:dyDescent="0.2">
      <c r="A728" s="1" t="s">
        <v>3</v>
      </c>
      <c r="F728" s="1" t="s">
        <v>78</v>
      </c>
    </row>
    <row r="729" spans="1:17" x14ac:dyDescent="0.2">
      <c r="A729" s="1" t="s">
        <v>5</v>
      </c>
      <c r="F729" s="1" t="s">
        <v>189</v>
      </c>
    </row>
    <row r="732" spans="1:17" x14ac:dyDescent="0.2">
      <c r="C732" s="1" t="s">
        <v>7</v>
      </c>
      <c r="D732" s="1" t="s">
        <v>8</v>
      </c>
      <c r="E732" s="1" t="s">
        <v>9</v>
      </c>
      <c r="G732" s="1" t="s">
        <v>10</v>
      </c>
      <c r="H732" s="1" t="s">
        <v>11</v>
      </c>
      <c r="I732" s="1" t="s">
        <v>12</v>
      </c>
      <c r="J732" s="1" t="s">
        <v>13</v>
      </c>
      <c r="K732" s="1" t="s">
        <v>14</v>
      </c>
      <c r="L732" s="1" t="s">
        <v>15</v>
      </c>
      <c r="M732" s="1" t="s">
        <v>16</v>
      </c>
      <c r="N732" s="1" t="s">
        <v>17</v>
      </c>
      <c r="O732" s="1" t="s">
        <v>18</v>
      </c>
      <c r="P732" s="1" t="s">
        <v>19</v>
      </c>
      <c r="Q732" s="1" t="s">
        <v>20</v>
      </c>
    </row>
    <row r="734" spans="1:17" x14ac:dyDescent="0.2">
      <c r="D734" s="1" t="s">
        <v>21</v>
      </c>
      <c r="E734" s="1">
        <v>103526932</v>
      </c>
      <c r="G734" s="1" t="s">
        <v>36</v>
      </c>
      <c r="I734" s="1" t="s">
        <v>36</v>
      </c>
      <c r="K734" s="2">
        <v>974776</v>
      </c>
      <c r="L734" s="1" t="s">
        <v>23</v>
      </c>
      <c r="N734" s="2">
        <v>974776</v>
      </c>
      <c r="O734" s="1" t="s">
        <v>23</v>
      </c>
      <c r="P734" s="1" t="s">
        <v>296</v>
      </c>
      <c r="Q734" s="1">
        <v>1</v>
      </c>
    </row>
    <row r="735" spans="1:17" x14ac:dyDescent="0.2">
      <c r="D735" s="1" t="s">
        <v>21</v>
      </c>
      <c r="E735" s="1">
        <v>103526958</v>
      </c>
      <c r="G735" s="1" t="s">
        <v>22</v>
      </c>
      <c r="I735" s="1" t="s">
        <v>22</v>
      </c>
      <c r="K735" s="2">
        <v>501303.75</v>
      </c>
      <c r="L735" s="1" t="s">
        <v>23</v>
      </c>
      <c r="N735" s="2">
        <v>501303.75</v>
      </c>
      <c r="O735" s="1" t="s">
        <v>23</v>
      </c>
      <c r="P735" s="1" t="s">
        <v>297</v>
      </c>
      <c r="Q735" s="1">
        <v>1</v>
      </c>
    </row>
    <row r="736" spans="1:17" x14ac:dyDescent="0.2">
      <c r="D736" s="1" t="s">
        <v>21</v>
      </c>
      <c r="E736" s="1">
        <v>103526959</v>
      </c>
      <c r="G736" s="1" t="s">
        <v>22</v>
      </c>
      <c r="I736" s="1" t="s">
        <v>22</v>
      </c>
      <c r="K736" s="2">
        <v>161162</v>
      </c>
      <c r="L736" s="1" t="s">
        <v>23</v>
      </c>
      <c r="N736" s="2">
        <v>161162</v>
      </c>
      <c r="O736" s="1" t="s">
        <v>23</v>
      </c>
      <c r="P736" s="1" t="s">
        <v>298</v>
      </c>
      <c r="Q736" s="1">
        <v>1</v>
      </c>
    </row>
    <row r="737" spans="1:17" x14ac:dyDescent="0.2">
      <c r="D737" s="1" t="s">
        <v>21</v>
      </c>
      <c r="E737" s="1">
        <v>103526960</v>
      </c>
      <c r="G737" s="1" t="s">
        <v>22</v>
      </c>
      <c r="I737" s="1" t="s">
        <v>22</v>
      </c>
      <c r="K737" s="2">
        <v>976521</v>
      </c>
      <c r="L737" s="1" t="s">
        <v>23</v>
      </c>
      <c r="N737" s="2">
        <v>976521</v>
      </c>
      <c r="O737" s="1" t="s">
        <v>23</v>
      </c>
      <c r="P737" s="1" t="s">
        <v>299</v>
      </c>
      <c r="Q737" s="1">
        <v>1</v>
      </c>
    </row>
    <row r="738" spans="1:17" x14ac:dyDescent="0.2">
      <c r="D738" s="1" t="s">
        <v>21</v>
      </c>
      <c r="E738" s="1">
        <v>103526961</v>
      </c>
      <c r="G738" s="1" t="s">
        <v>22</v>
      </c>
      <c r="I738" s="1" t="s">
        <v>22</v>
      </c>
      <c r="K738" s="2">
        <v>249972.5</v>
      </c>
      <c r="L738" s="1" t="s">
        <v>23</v>
      </c>
      <c r="N738" s="2">
        <v>249972.5</v>
      </c>
      <c r="O738" s="1" t="s">
        <v>23</v>
      </c>
      <c r="P738" s="1" t="s">
        <v>300</v>
      </c>
      <c r="Q738" s="1">
        <v>1</v>
      </c>
    </row>
    <row r="739" spans="1:17" x14ac:dyDescent="0.2">
      <c r="D739" s="1" t="s">
        <v>21</v>
      </c>
      <c r="E739" s="1">
        <v>103526996</v>
      </c>
      <c r="G739" s="1" t="s">
        <v>86</v>
      </c>
      <c r="I739" s="1" t="s">
        <v>86</v>
      </c>
      <c r="K739" s="2">
        <v>2402142</v>
      </c>
      <c r="L739" s="1" t="s">
        <v>23</v>
      </c>
      <c r="N739" s="2">
        <v>2402142</v>
      </c>
      <c r="O739" s="1" t="s">
        <v>23</v>
      </c>
      <c r="P739" s="1" t="s">
        <v>301</v>
      </c>
      <c r="Q739" s="1">
        <v>1</v>
      </c>
    </row>
    <row r="740" spans="1:17" x14ac:dyDescent="0.2">
      <c r="D740" s="1" t="s">
        <v>21</v>
      </c>
      <c r="E740" s="1">
        <v>103527003</v>
      </c>
      <c r="G740" s="1" t="s">
        <v>130</v>
      </c>
      <c r="I740" s="1" t="s">
        <v>130</v>
      </c>
      <c r="K740" s="2">
        <v>2738567.5</v>
      </c>
      <c r="L740" s="1" t="s">
        <v>23</v>
      </c>
      <c r="N740" s="2">
        <v>2738567.5</v>
      </c>
      <c r="O740" s="1" t="s">
        <v>23</v>
      </c>
      <c r="P740" s="1" t="s">
        <v>302</v>
      </c>
      <c r="Q740" s="1">
        <v>1</v>
      </c>
    </row>
    <row r="741" spans="1:17" x14ac:dyDescent="0.2">
      <c r="D741" s="1" t="s">
        <v>21</v>
      </c>
      <c r="E741" s="1">
        <v>103527004</v>
      </c>
      <c r="G741" s="1" t="s">
        <v>130</v>
      </c>
      <c r="I741" s="1" t="s">
        <v>130</v>
      </c>
      <c r="K741" s="2">
        <v>279601</v>
      </c>
      <c r="L741" s="1" t="s">
        <v>23</v>
      </c>
      <c r="N741" s="2">
        <v>279601</v>
      </c>
      <c r="O741" s="1" t="s">
        <v>23</v>
      </c>
      <c r="P741" s="1" t="s">
        <v>303</v>
      </c>
      <c r="Q741" s="1">
        <v>1</v>
      </c>
    </row>
    <row r="742" spans="1:17" x14ac:dyDescent="0.2">
      <c r="D742" s="1" t="s">
        <v>21</v>
      </c>
      <c r="E742" s="1">
        <v>103527005</v>
      </c>
      <c r="G742" s="1" t="s">
        <v>130</v>
      </c>
      <c r="I742" s="1" t="s">
        <v>130</v>
      </c>
      <c r="K742" s="2">
        <v>279601</v>
      </c>
      <c r="L742" s="1" t="s">
        <v>23</v>
      </c>
      <c r="N742" s="2">
        <v>279601</v>
      </c>
      <c r="O742" s="1" t="s">
        <v>23</v>
      </c>
      <c r="P742" s="1" t="s">
        <v>304</v>
      </c>
      <c r="Q742" s="1">
        <v>1</v>
      </c>
    </row>
    <row r="743" spans="1:17" x14ac:dyDescent="0.2">
      <c r="D743" s="1" t="s">
        <v>21</v>
      </c>
      <c r="E743" s="1">
        <v>103527039</v>
      </c>
      <c r="G743" s="1" t="s">
        <v>104</v>
      </c>
      <c r="I743" s="1" t="s">
        <v>104</v>
      </c>
      <c r="K743" s="2">
        <v>951085</v>
      </c>
      <c r="L743" s="1" t="s">
        <v>23</v>
      </c>
      <c r="N743" s="2">
        <v>951085</v>
      </c>
      <c r="O743" s="1" t="s">
        <v>23</v>
      </c>
      <c r="P743" s="1" t="s">
        <v>305</v>
      </c>
      <c r="Q743" s="1">
        <v>1</v>
      </c>
    </row>
    <row r="744" spans="1:17" x14ac:dyDescent="0.2">
      <c r="D744" s="1" t="s">
        <v>21</v>
      </c>
      <c r="E744" s="1">
        <v>103527040</v>
      </c>
      <c r="G744" s="1" t="s">
        <v>104</v>
      </c>
      <c r="I744" s="1" t="s">
        <v>104</v>
      </c>
      <c r="K744" s="2">
        <v>252532.8</v>
      </c>
      <c r="L744" s="1" t="s">
        <v>23</v>
      </c>
      <c r="N744" s="2">
        <v>252532.8</v>
      </c>
      <c r="O744" s="1" t="s">
        <v>23</v>
      </c>
      <c r="P744" s="1" t="s">
        <v>306</v>
      </c>
      <c r="Q744" s="1">
        <v>1</v>
      </c>
    </row>
    <row r="745" spans="1:17" x14ac:dyDescent="0.2">
      <c r="D745" s="1" t="s">
        <v>21</v>
      </c>
      <c r="E745" s="1">
        <v>103527041</v>
      </c>
      <c r="G745" s="1" t="s">
        <v>104</v>
      </c>
      <c r="I745" s="1" t="s">
        <v>104</v>
      </c>
      <c r="K745" s="2">
        <v>966720</v>
      </c>
      <c r="L745" s="1" t="s">
        <v>23</v>
      </c>
      <c r="N745" s="2">
        <v>966720</v>
      </c>
      <c r="O745" s="1" t="s">
        <v>23</v>
      </c>
      <c r="P745" s="1" t="s">
        <v>307</v>
      </c>
      <c r="Q745" s="1">
        <v>1</v>
      </c>
    </row>
    <row r="746" spans="1:17" x14ac:dyDescent="0.2">
      <c r="D746" s="1" t="s">
        <v>21</v>
      </c>
      <c r="E746" s="1">
        <v>103527198</v>
      </c>
      <c r="G746" s="1" t="s">
        <v>75</v>
      </c>
      <c r="I746" s="1" t="s">
        <v>75</v>
      </c>
      <c r="K746" s="2">
        <v>5401813.71</v>
      </c>
      <c r="L746" s="1" t="s">
        <v>23</v>
      </c>
      <c r="N746" s="2">
        <v>5401813.71</v>
      </c>
      <c r="O746" s="1" t="s">
        <v>23</v>
      </c>
      <c r="P746" s="1" t="s">
        <v>308</v>
      </c>
      <c r="Q746" s="1">
        <v>1</v>
      </c>
    </row>
    <row r="748" spans="1:17" x14ac:dyDescent="0.2">
      <c r="B748" s="1" t="s">
        <v>32</v>
      </c>
      <c r="K748" s="2">
        <v>16135798.26</v>
      </c>
      <c r="L748" s="1" t="s">
        <v>23</v>
      </c>
      <c r="N748" s="2">
        <v>16135798.26</v>
      </c>
      <c r="O748" s="1" t="s">
        <v>23</v>
      </c>
    </row>
    <row r="750" spans="1:17" x14ac:dyDescent="0.2">
      <c r="A750" s="3"/>
      <c r="B750" s="3" t="s">
        <v>33</v>
      </c>
      <c r="C750" s="3" t="s">
        <v>309</v>
      </c>
      <c r="D750" s="3"/>
      <c r="E750" s="3"/>
      <c r="F750" s="3"/>
      <c r="G750" s="3"/>
      <c r="H750" s="3"/>
      <c r="I750" s="3"/>
      <c r="J750" s="3"/>
      <c r="K750" s="4">
        <v>16135798.26</v>
      </c>
      <c r="L750" s="3" t="s">
        <v>23</v>
      </c>
      <c r="M750" s="3"/>
      <c r="N750" s="4">
        <v>16135798.26</v>
      </c>
      <c r="O750" s="3" t="s">
        <v>23</v>
      </c>
      <c r="P750" s="3"/>
      <c r="Q750" s="3"/>
    </row>
    <row r="752" spans="1:17" x14ac:dyDescent="0.2">
      <c r="A752" s="1" t="s">
        <v>0</v>
      </c>
      <c r="F752" s="1">
        <v>501293</v>
      </c>
    </row>
    <row r="753" spans="1:17" x14ac:dyDescent="0.2">
      <c r="A753" s="1" t="s">
        <v>1</v>
      </c>
      <c r="F753" s="1" t="s">
        <v>2</v>
      </c>
    </row>
    <row r="755" spans="1:17" x14ac:dyDescent="0.2">
      <c r="A755" s="1" t="s">
        <v>3</v>
      </c>
      <c r="F755" s="1" t="s">
        <v>310</v>
      </c>
    </row>
    <row r="756" spans="1:17" x14ac:dyDescent="0.2">
      <c r="A756" s="1" t="s">
        <v>5</v>
      </c>
      <c r="F756" s="1" t="s">
        <v>55</v>
      </c>
    </row>
    <row r="759" spans="1:17" x14ac:dyDescent="0.2">
      <c r="C759" s="1" t="s">
        <v>7</v>
      </c>
      <c r="D759" s="1" t="s">
        <v>8</v>
      </c>
      <c r="E759" s="1" t="s">
        <v>9</v>
      </c>
      <c r="G759" s="1" t="s">
        <v>10</v>
      </c>
      <c r="H759" s="1" t="s">
        <v>11</v>
      </c>
      <c r="I759" s="1" t="s">
        <v>12</v>
      </c>
      <c r="J759" s="1" t="s">
        <v>13</v>
      </c>
      <c r="K759" s="1" t="s">
        <v>14</v>
      </c>
      <c r="L759" s="1" t="s">
        <v>15</v>
      </c>
      <c r="M759" s="1" t="s">
        <v>16</v>
      </c>
      <c r="N759" s="1" t="s">
        <v>17</v>
      </c>
      <c r="O759" s="1" t="s">
        <v>18</v>
      </c>
      <c r="P759" s="1" t="s">
        <v>19</v>
      </c>
      <c r="Q759" s="1" t="s">
        <v>20</v>
      </c>
    </row>
    <row r="761" spans="1:17" x14ac:dyDescent="0.2">
      <c r="D761" s="1" t="s">
        <v>21</v>
      </c>
      <c r="E761" s="1">
        <v>103526957</v>
      </c>
      <c r="G761" s="1" t="s">
        <v>22</v>
      </c>
      <c r="I761" s="1" t="s">
        <v>22</v>
      </c>
      <c r="K761" s="2">
        <v>581787.85</v>
      </c>
      <c r="L761" s="1" t="s">
        <v>23</v>
      </c>
      <c r="N761" s="2">
        <v>581787.85</v>
      </c>
      <c r="O761" s="1" t="s">
        <v>23</v>
      </c>
      <c r="P761" s="1" t="s">
        <v>311</v>
      </c>
      <c r="Q761" s="1">
        <v>1</v>
      </c>
    </row>
    <row r="763" spans="1:17" x14ac:dyDescent="0.2">
      <c r="B763" s="1" t="s">
        <v>32</v>
      </c>
      <c r="K763" s="2">
        <v>581787.85</v>
      </c>
      <c r="L763" s="1" t="s">
        <v>23</v>
      </c>
      <c r="N763" s="2">
        <v>581787.85</v>
      </c>
      <c r="O763" s="1" t="s">
        <v>23</v>
      </c>
    </row>
    <row r="765" spans="1:17" x14ac:dyDescent="0.2">
      <c r="A765" s="3"/>
      <c r="B765" s="3" t="s">
        <v>33</v>
      </c>
      <c r="C765" s="3" t="s">
        <v>312</v>
      </c>
      <c r="D765" s="3"/>
      <c r="E765" s="3"/>
      <c r="F765" s="3"/>
      <c r="G765" s="3"/>
      <c r="H765" s="3"/>
      <c r="I765" s="3"/>
      <c r="J765" s="3"/>
      <c r="K765" s="4">
        <v>581787.85</v>
      </c>
      <c r="L765" s="3" t="s">
        <v>23</v>
      </c>
      <c r="M765" s="3"/>
      <c r="N765" s="4">
        <v>581787.85</v>
      </c>
      <c r="O765" s="3" t="s">
        <v>23</v>
      </c>
      <c r="P765" s="3"/>
      <c r="Q765" s="3"/>
    </row>
    <row r="767" spans="1:17" x14ac:dyDescent="0.2">
      <c r="A767" s="1" t="s">
        <v>0</v>
      </c>
      <c r="F767" s="1">
        <v>501298</v>
      </c>
    </row>
    <row r="768" spans="1:17" x14ac:dyDescent="0.2">
      <c r="A768" s="1" t="s">
        <v>1</v>
      </c>
      <c r="F768" s="1" t="s">
        <v>2</v>
      </c>
    </row>
    <row r="770" spans="1:17" x14ac:dyDescent="0.2">
      <c r="A770" s="1" t="s">
        <v>3</v>
      </c>
      <c r="F770" s="1" t="s">
        <v>313</v>
      </c>
    </row>
    <row r="771" spans="1:17" x14ac:dyDescent="0.2">
      <c r="A771" s="1" t="s">
        <v>5</v>
      </c>
      <c r="F771" s="1" t="s">
        <v>314</v>
      </c>
    </row>
    <row r="774" spans="1:17" x14ac:dyDescent="0.2">
      <c r="C774" s="1" t="s">
        <v>7</v>
      </c>
      <c r="D774" s="1" t="s">
        <v>8</v>
      </c>
      <c r="E774" s="1" t="s">
        <v>9</v>
      </c>
      <c r="G774" s="1" t="s">
        <v>10</v>
      </c>
      <c r="H774" s="1" t="s">
        <v>11</v>
      </c>
      <c r="I774" s="1" t="s">
        <v>12</v>
      </c>
      <c r="J774" s="1" t="s">
        <v>13</v>
      </c>
      <c r="K774" s="1" t="s">
        <v>14</v>
      </c>
      <c r="L774" s="1" t="s">
        <v>15</v>
      </c>
      <c r="M774" s="1" t="s">
        <v>16</v>
      </c>
      <c r="N774" s="1" t="s">
        <v>17</v>
      </c>
      <c r="O774" s="1" t="s">
        <v>18</v>
      </c>
      <c r="P774" s="1" t="s">
        <v>19</v>
      </c>
      <c r="Q774" s="1" t="s">
        <v>20</v>
      </c>
    </row>
    <row r="776" spans="1:17" x14ac:dyDescent="0.2">
      <c r="D776" s="1" t="s">
        <v>21</v>
      </c>
      <c r="E776" s="1">
        <v>103527167</v>
      </c>
      <c r="G776" s="1" t="s">
        <v>64</v>
      </c>
      <c r="I776" s="1" t="s">
        <v>64</v>
      </c>
      <c r="K776" s="2">
        <v>294924.99</v>
      </c>
      <c r="L776" s="1" t="s">
        <v>23</v>
      </c>
      <c r="N776" s="2">
        <v>72170.559999999998</v>
      </c>
      <c r="O776" s="1" t="s">
        <v>24</v>
      </c>
      <c r="P776" s="1" t="s">
        <v>315</v>
      </c>
      <c r="Q776" s="1">
        <v>4.0865</v>
      </c>
    </row>
    <row r="778" spans="1:17" x14ac:dyDescent="0.2">
      <c r="B778" s="1" t="s">
        <v>32</v>
      </c>
      <c r="K778" s="2">
        <v>294924.99</v>
      </c>
      <c r="L778" s="1" t="s">
        <v>23</v>
      </c>
      <c r="N778" s="2">
        <v>72170.559999999998</v>
      </c>
      <c r="O778" s="1" t="s">
        <v>24</v>
      </c>
    </row>
    <row r="780" spans="1:17" x14ac:dyDescent="0.2">
      <c r="A780" s="3"/>
      <c r="B780" s="3" t="s">
        <v>33</v>
      </c>
      <c r="C780" s="3" t="s">
        <v>316</v>
      </c>
      <c r="D780" s="3"/>
      <c r="E780" s="3"/>
      <c r="F780" s="3"/>
      <c r="G780" s="3"/>
      <c r="H780" s="3"/>
      <c r="I780" s="3"/>
      <c r="J780" s="3"/>
      <c r="K780" s="4">
        <v>294924.99</v>
      </c>
      <c r="L780" s="3" t="s">
        <v>23</v>
      </c>
      <c r="M780" s="3"/>
      <c r="N780" s="4">
        <v>72170.559999999998</v>
      </c>
      <c r="O780" s="3" t="s">
        <v>24</v>
      </c>
      <c r="P780" s="3"/>
      <c r="Q780" s="3"/>
    </row>
    <row r="782" spans="1:17" x14ac:dyDescent="0.2">
      <c r="A782" s="1" t="s">
        <v>0</v>
      </c>
      <c r="F782" s="1">
        <v>501302</v>
      </c>
    </row>
    <row r="783" spans="1:17" x14ac:dyDescent="0.2">
      <c r="A783" s="1" t="s">
        <v>1</v>
      </c>
      <c r="F783" s="1" t="s">
        <v>2</v>
      </c>
    </row>
    <row r="785" spans="1:17" x14ac:dyDescent="0.2">
      <c r="A785" s="1" t="s">
        <v>3</v>
      </c>
      <c r="F785" s="1" t="s">
        <v>317</v>
      </c>
    </row>
    <row r="786" spans="1:17" x14ac:dyDescent="0.2">
      <c r="A786" s="1" t="s">
        <v>5</v>
      </c>
      <c r="F786" s="1" t="s">
        <v>221</v>
      </c>
    </row>
    <row r="789" spans="1:17" x14ac:dyDescent="0.2">
      <c r="C789" s="1" t="s">
        <v>7</v>
      </c>
      <c r="D789" s="1" t="s">
        <v>8</v>
      </c>
      <c r="E789" s="1" t="s">
        <v>9</v>
      </c>
      <c r="G789" s="1" t="s">
        <v>10</v>
      </c>
      <c r="H789" s="1" t="s">
        <v>11</v>
      </c>
      <c r="I789" s="1" t="s">
        <v>12</v>
      </c>
      <c r="J789" s="1" t="s">
        <v>13</v>
      </c>
      <c r="K789" s="1" t="s">
        <v>14</v>
      </c>
      <c r="L789" s="1" t="s">
        <v>15</v>
      </c>
      <c r="M789" s="1" t="s">
        <v>16</v>
      </c>
      <c r="N789" s="1" t="s">
        <v>17</v>
      </c>
      <c r="O789" s="1" t="s">
        <v>18</v>
      </c>
      <c r="P789" s="1" t="s">
        <v>19</v>
      </c>
      <c r="Q789" s="1" t="s">
        <v>20</v>
      </c>
    </row>
    <row r="791" spans="1:17" x14ac:dyDescent="0.2">
      <c r="D791" s="1" t="s">
        <v>21</v>
      </c>
      <c r="E791" s="1">
        <v>103540060</v>
      </c>
      <c r="G791" s="1" t="s">
        <v>30</v>
      </c>
      <c r="I791" s="1" t="s">
        <v>30</v>
      </c>
      <c r="K791" s="2">
        <v>625347.93000000005</v>
      </c>
      <c r="L791" s="1" t="s">
        <v>23</v>
      </c>
      <c r="N791" s="2">
        <v>625347.93000000005</v>
      </c>
      <c r="O791" s="1" t="s">
        <v>23</v>
      </c>
      <c r="P791" s="1" t="s">
        <v>318</v>
      </c>
      <c r="Q791" s="1">
        <v>1</v>
      </c>
    </row>
    <row r="793" spans="1:17" x14ac:dyDescent="0.2">
      <c r="B793" s="1" t="s">
        <v>32</v>
      </c>
      <c r="K793" s="2">
        <v>625347.93000000005</v>
      </c>
      <c r="L793" s="1" t="s">
        <v>23</v>
      </c>
      <c r="N793" s="2">
        <v>625347.93000000005</v>
      </c>
      <c r="O793" s="1" t="s">
        <v>23</v>
      </c>
    </row>
    <row r="795" spans="1:17" x14ac:dyDescent="0.2">
      <c r="A795" s="3"/>
      <c r="B795" s="3" t="s">
        <v>33</v>
      </c>
      <c r="C795" s="3" t="s">
        <v>319</v>
      </c>
      <c r="D795" s="3"/>
      <c r="E795" s="3"/>
      <c r="F795" s="3"/>
      <c r="G795" s="3"/>
      <c r="H795" s="3"/>
      <c r="I795" s="3"/>
      <c r="J795" s="3"/>
      <c r="K795" s="4">
        <v>625347.93000000005</v>
      </c>
      <c r="L795" s="3" t="s">
        <v>23</v>
      </c>
      <c r="M795" s="3"/>
      <c r="N795" s="4">
        <v>625347.93000000005</v>
      </c>
      <c r="O795" s="3" t="s">
        <v>23</v>
      </c>
      <c r="P795" s="3"/>
      <c r="Q795" s="3"/>
    </row>
    <row r="797" spans="1:17" x14ac:dyDescent="0.2">
      <c r="A797" s="1" t="s">
        <v>0</v>
      </c>
      <c r="F797" s="1">
        <v>501320</v>
      </c>
    </row>
    <row r="798" spans="1:17" x14ac:dyDescent="0.2">
      <c r="A798" s="1" t="s">
        <v>1</v>
      </c>
      <c r="F798" s="1" t="s">
        <v>2</v>
      </c>
    </row>
    <row r="800" spans="1:17" x14ac:dyDescent="0.2">
      <c r="A800" s="1" t="s">
        <v>3</v>
      </c>
      <c r="F800" s="1" t="s">
        <v>233</v>
      </c>
    </row>
    <row r="801" spans="1:17" x14ac:dyDescent="0.2">
      <c r="A801" s="1" t="s">
        <v>5</v>
      </c>
      <c r="F801" s="1" t="s">
        <v>151</v>
      </c>
    </row>
    <row r="804" spans="1:17" x14ac:dyDescent="0.2">
      <c r="C804" s="1" t="s">
        <v>7</v>
      </c>
      <c r="D804" s="1" t="s">
        <v>8</v>
      </c>
      <c r="E804" s="1" t="s">
        <v>9</v>
      </c>
      <c r="G804" s="1" t="s">
        <v>10</v>
      </c>
      <c r="H804" s="1" t="s">
        <v>11</v>
      </c>
      <c r="I804" s="1" t="s">
        <v>12</v>
      </c>
      <c r="J804" s="1" t="s">
        <v>13</v>
      </c>
      <c r="K804" s="1" t="s">
        <v>14</v>
      </c>
      <c r="L804" s="1" t="s">
        <v>15</v>
      </c>
      <c r="M804" s="1" t="s">
        <v>16</v>
      </c>
      <c r="N804" s="1" t="s">
        <v>17</v>
      </c>
      <c r="O804" s="1" t="s">
        <v>18</v>
      </c>
      <c r="P804" s="1" t="s">
        <v>19</v>
      </c>
      <c r="Q804" s="1" t="s">
        <v>20</v>
      </c>
    </row>
    <row r="806" spans="1:17" x14ac:dyDescent="0.2">
      <c r="D806" s="1" t="s">
        <v>21</v>
      </c>
      <c r="E806" s="1">
        <v>103527287</v>
      </c>
      <c r="G806" s="1" t="s">
        <v>50</v>
      </c>
      <c r="I806" s="1" t="s">
        <v>50</v>
      </c>
      <c r="K806" s="2">
        <v>683443.93</v>
      </c>
      <c r="L806" s="1" t="s">
        <v>23</v>
      </c>
      <c r="N806" s="2">
        <v>683443.93</v>
      </c>
      <c r="O806" s="1" t="s">
        <v>23</v>
      </c>
      <c r="P806" s="1" t="s">
        <v>320</v>
      </c>
      <c r="Q806" s="1">
        <v>1</v>
      </c>
    </row>
    <row r="807" spans="1:17" x14ac:dyDescent="0.2">
      <c r="D807" s="1" t="s">
        <v>21</v>
      </c>
      <c r="E807" s="1">
        <v>103527426</v>
      </c>
      <c r="G807" s="1" t="s">
        <v>30</v>
      </c>
      <c r="I807" s="1" t="s">
        <v>30</v>
      </c>
      <c r="K807" s="2">
        <v>1129579.1200000001</v>
      </c>
      <c r="L807" s="1" t="s">
        <v>23</v>
      </c>
      <c r="N807" s="2">
        <v>1129579.1200000001</v>
      </c>
      <c r="O807" s="1" t="s">
        <v>23</v>
      </c>
      <c r="P807" s="1" t="s">
        <v>321</v>
      </c>
      <c r="Q807" s="1">
        <v>1</v>
      </c>
    </row>
    <row r="808" spans="1:17" x14ac:dyDescent="0.2">
      <c r="D808" s="1" t="s">
        <v>21</v>
      </c>
      <c r="E808" s="1">
        <v>2200009849</v>
      </c>
      <c r="G808" s="1" t="s">
        <v>50</v>
      </c>
      <c r="I808" s="1" t="s">
        <v>50</v>
      </c>
      <c r="K808" s="2">
        <v>12706.07</v>
      </c>
      <c r="L808" s="1" t="s">
        <v>23</v>
      </c>
      <c r="N808" s="2">
        <v>12706.07</v>
      </c>
      <c r="O808" s="1" t="s">
        <v>23</v>
      </c>
      <c r="P808" s="1" t="s">
        <v>320</v>
      </c>
      <c r="Q808" s="1">
        <v>1</v>
      </c>
    </row>
    <row r="809" spans="1:17" x14ac:dyDescent="0.2">
      <c r="D809" s="1" t="s">
        <v>21</v>
      </c>
      <c r="E809" s="1">
        <v>2200009892</v>
      </c>
      <c r="G809" s="1" t="s">
        <v>30</v>
      </c>
      <c r="I809" s="1" t="s">
        <v>30</v>
      </c>
      <c r="K809" s="2">
        <v>21320.880000000001</v>
      </c>
      <c r="L809" s="1" t="s">
        <v>23</v>
      </c>
      <c r="N809" s="2">
        <v>21320.880000000001</v>
      </c>
      <c r="O809" s="1" t="s">
        <v>23</v>
      </c>
      <c r="P809" s="1" t="s">
        <v>321</v>
      </c>
      <c r="Q809" s="1">
        <v>1</v>
      </c>
    </row>
    <row r="811" spans="1:17" x14ac:dyDescent="0.2">
      <c r="B811" s="1" t="s">
        <v>32</v>
      </c>
      <c r="K811" s="2">
        <v>1847050</v>
      </c>
      <c r="L811" s="1" t="s">
        <v>23</v>
      </c>
      <c r="N811" s="2">
        <v>1847050</v>
      </c>
      <c r="O811" s="1" t="s">
        <v>23</v>
      </c>
    </row>
    <row r="813" spans="1:17" x14ac:dyDescent="0.2">
      <c r="A813" s="3"/>
      <c r="B813" s="3" t="s">
        <v>33</v>
      </c>
      <c r="C813" s="3" t="s">
        <v>322</v>
      </c>
      <c r="D813" s="3"/>
      <c r="E813" s="3"/>
      <c r="F813" s="3"/>
      <c r="G813" s="3"/>
      <c r="H813" s="3"/>
      <c r="I813" s="3"/>
      <c r="J813" s="3"/>
      <c r="K813" s="4">
        <v>1847050</v>
      </c>
      <c r="L813" s="3" t="s">
        <v>23</v>
      </c>
      <c r="M813" s="3"/>
      <c r="N813" s="4">
        <v>1847050</v>
      </c>
      <c r="O813" s="3" t="s">
        <v>23</v>
      </c>
      <c r="P813" s="3"/>
      <c r="Q813" s="3"/>
    </row>
    <row r="815" spans="1:17" x14ac:dyDescent="0.2">
      <c r="A815" s="1" t="s">
        <v>0</v>
      </c>
      <c r="F815" s="1">
        <v>501322</v>
      </c>
    </row>
    <row r="816" spans="1:17" x14ac:dyDescent="0.2">
      <c r="A816" s="1" t="s">
        <v>1</v>
      </c>
      <c r="F816" s="1" t="s">
        <v>2</v>
      </c>
    </row>
    <row r="818" spans="1:17" x14ac:dyDescent="0.2">
      <c r="A818" s="1" t="s">
        <v>3</v>
      </c>
      <c r="F818" s="1" t="s">
        <v>323</v>
      </c>
    </row>
    <row r="819" spans="1:17" x14ac:dyDescent="0.2">
      <c r="A819" s="1" t="s">
        <v>5</v>
      </c>
      <c r="F819" s="1" t="s">
        <v>221</v>
      </c>
    </row>
    <row r="822" spans="1:17" x14ac:dyDescent="0.2">
      <c r="C822" s="1" t="s">
        <v>7</v>
      </c>
      <c r="D822" s="1" t="s">
        <v>8</v>
      </c>
      <c r="E822" s="1" t="s">
        <v>9</v>
      </c>
      <c r="G822" s="1" t="s">
        <v>10</v>
      </c>
      <c r="H822" s="1" t="s">
        <v>11</v>
      </c>
      <c r="I822" s="1" t="s">
        <v>12</v>
      </c>
      <c r="J822" s="1" t="s">
        <v>13</v>
      </c>
      <c r="K822" s="1" t="s">
        <v>14</v>
      </c>
      <c r="L822" s="1" t="s">
        <v>15</v>
      </c>
      <c r="M822" s="1" t="s">
        <v>16</v>
      </c>
      <c r="N822" s="1" t="s">
        <v>17</v>
      </c>
      <c r="O822" s="1" t="s">
        <v>18</v>
      </c>
      <c r="P822" s="1" t="s">
        <v>19</v>
      </c>
      <c r="Q822" s="1" t="s">
        <v>20</v>
      </c>
    </row>
    <row r="824" spans="1:17" x14ac:dyDescent="0.2">
      <c r="D824" s="1" t="s">
        <v>21</v>
      </c>
      <c r="E824" s="1">
        <v>103527271</v>
      </c>
      <c r="G824" s="1" t="s">
        <v>28</v>
      </c>
      <c r="I824" s="1" t="s">
        <v>28</v>
      </c>
      <c r="K824" s="2">
        <v>218403.9</v>
      </c>
      <c r="L824" s="1" t="s">
        <v>23</v>
      </c>
      <c r="N824" s="2">
        <v>54026.94</v>
      </c>
      <c r="O824" s="1" t="s">
        <v>24</v>
      </c>
      <c r="P824" s="1" t="s">
        <v>324</v>
      </c>
      <c r="Q824" s="1">
        <v>4.0425000000000004</v>
      </c>
    </row>
    <row r="826" spans="1:17" x14ac:dyDescent="0.2">
      <c r="B826" s="1" t="s">
        <v>32</v>
      </c>
      <c r="K826" s="2">
        <v>218403.9</v>
      </c>
      <c r="L826" s="1" t="s">
        <v>23</v>
      </c>
      <c r="N826" s="2">
        <v>54026.94</v>
      </c>
      <c r="O826" s="1" t="s">
        <v>24</v>
      </c>
    </row>
    <row r="828" spans="1:17" x14ac:dyDescent="0.2">
      <c r="A828" s="3"/>
      <c r="B828" s="3" t="s">
        <v>33</v>
      </c>
      <c r="C828" s="3" t="s">
        <v>325</v>
      </c>
      <c r="D828" s="3"/>
      <c r="E828" s="3"/>
      <c r="F828" s="3"/>
      <c r="G828" s="3"/>
      <c r="H828" s="3"/>
      <c r="I828" s="3"/>
      <c r="J828" s="3"/>
      <c r="K828" s="4">
        <v>218403.9</v>
      </c>
      <c r="L828" s="3" t="s">
        <v>23</v>
      </c>
      <c r="M828" s="3"/>
      <c r="N828" s="4">
        <v>54026.94</v>
      </c>
      <c r="O828" s="3" t="s">
        <v>24</v>
      </c>
      <c r="P828" s="3"/>
      <c r="Q828" s="3"/>
    </row>
    <row r="830" spans="1:17" x14ac:dyDescent="0.2">
      <c r="A830" s="1" t="s">
        <v>0</v>
      </c>
      <c r="F830" s="1">
        <v>501323</v>
      </c>
    </row>
    <row r="831" spans="1:17" x14ac:dyDescent="0.2">
      <c r="A831" s="1" t="s">
        <v>1</v>
      </c>
      <c r="F831" s="1" t="s">
        <v>2</v>
      </c>
    </row>
    <row r="833" spans="1:17" x14ac:dyDescent="0.2">
      <c r="A833" s="1" t="s">
        <v>3</v>
      </c>
      <c r="F833" s="1" t="s">
        <v>260</v>
      </c>
    </row>
    <row r="834" spans="1:17" x14ac:dyDescent="0.2">
      <c r="A834" s="1" t="s">
        <v>5</v>
      </c>
      <c r="F834" s="1" t="s">
        <v>55</v>
      </c>
    </row>
    <row r="837" spans="1:17" x14ac:dyDescent="0.2">
      <c r="C837" s="1" t="s">
        <v>7</v>
      </c>
      <c r="D837" s="1" t="s">
        <v>8</v>
      </c>
      <c r="E837" s="1" t="s">
        <v>9</v>
      </c>
      <c r="G837" s="1" t="s">
        <v>10</v>
      </c>
      <c r="H837" s="1" t="s">
        <v>11</v>
      </c>
      <c r="I837" s="1" t="s">
        <v>12</v>
      </c>
      <c r="J837" s="1" t="s">
        <v>13</v>
      </c>
      <c r="K837" s="1" t="s">
        <v>14</v>
      </c>
      <c r="L837" s="1" t="s">
        <v>15</v>
      </c>
      <c r="M837" s="1" t="s">
        <v>16</v>
      </c>
      <c r="N837" s="1" t="s">
        <v>17</v>
      </c>
      <c r="O837" s="1" t="s">
        <v>18</v>
      </c>
      <c r="P837" s="1" t="s">
        <v>19</v>
      </c>
      <c r="Q837" s="1" t="s">
        <v>20</v>
      </c>
    </row>
    <row r="839" spans="1:17" x14ac:dyDescent="0.2">
      <c r="D839" s="1" t="s">
        <v>21</v>
      </c>
      <c r="E839" s="1">
        <v>103526928</v>
      </c>
      <c r="G839" s="1" t="s">
        <v>36</v>
      </c>
      <c r="I839" s="1" t="s">
        <v>36</v>
      </c>
      <c r="K839" s="2">
        <v>739138.42</v>
      </c>
      <c r="L839" s="1" t="s">
        <v>23</v>
      </c>
      <c r="N839" s="2">
        <v>739138.42</v>
      </c>
      <c r="O839" s="1" t="s">
        <v>23</v>
      </c>
      <c r="P839" s="1" t="s">
        <v>326</v>
      </c>
      <c r="Q839" s="1">
        <v>1</v>
      </c>
    </row>
    <row r="841" spans="1:17" x14ac:dyDescent="0.2">
      <c r="B841" s="1" t="s">
        <v>32</v>
      </c>
      <c r="K841" s="2">
        <v>739138.42</v>
      </c>
      <c r="L841" s="1" t="s">
        <v>23</v>
      </c>
      <c r="N841" s="2">
        <v>739138.42</v>
      </c>
      <c r="O841" s="1" t="s">
        <v>23</v>
      </c>
    </row>
    <row r="843" spans="1:17" x14ac:dyDescent="0.2">
      <c r="A843" s="3"/>
      <c r="B843" s="3" t="s">
        <v>33</v>
      </c>
      <c r="C843" s="3" t="s">
        <v>327</v>
      </c>
      <c r="D843" s="3"/>
      <c r="E843" s="3"/>
      <c r="F843" s="3"/>
      <c r="G843" s="3"/>
      <c r="H843" s="3"/>
      <c r="I843" s="3"/>
      <c r="J843" s="3"/>
      <c r="K843" s="4">
        <v>739138.42</v>
      </c>
      <c r="L843" s="3" t="s">
        <v>23</v>
      </c>
      <c r="M843" s="3"/>
      <c r="N843" s="4">
        <v>739138.42</v>
      </c>
      <c r="O843" s="3" t="s">
        <v>23</v>
      </c>
      <c r="P843" s="3"/>
      <c r="Q843" s="3"/>
    </row>
    <row r="845" spans="1:17" x14ac:dyDescent="0.2">
      <c r="A845" s="1" t="s">
        <v>0</v>
      </c>
      <c r="F845" s="1">
        <v>501325</v>
      </c>
    </row>
    <row r="846" spans="1:17" x14ac:dyDescent="0.2">
      <c r="A846" s="1" t="s">
        <v>1</v>
      </c>
      <c r="F846" s="1" t="s">
        <v>2</v>
      </c>
    </row>
    <row r="848" spans="1:17" x14ac:dyDescent="0.2">
      <c r="A848" s="1" t="s">
        <v>3</v>
      </c>
      <c r="F848" s="1" t="s">
        <v>328</v>
      </c>
    </row>
    <row r="849" spans="1:17" x14ac:dyDescent="0.2">
      <c r="A849" s="1" t="s">
        <v>5</v>
      </c>
      <c r="F849" s="1" t="s">
        <v>151</v>
      </c>
    </row>
    <row r="852" spans="1:17" x14ac:dyDescent="0.2">
      <c r="C852" s="1" t="s">
        <v>7</v>
      </c>
      <c r="D852" s="1" t="s">
        <v>8</v>
      </c>
      <c r="E852" s="1" t="s">
        <v>9</v>
      </c>
      <c r="G852" s="1" t="s">
        <v>10</v>
      </c>
      <c r="H852" s="1" t="s">
        <v>11</v>
      </c>
      <c r="I852" s="1" t="s">
        <v>12</v>
      </c>
      <c r="J852" s="1" t="s">
        <v>13</v>
      </c>
      <c r="K852" s="1" t="s">
        <v>14</v>
      </c>
      <c r="L852" s="1" t="s">
        <v>15</v>
      </c>
      <c r="M852" s="1" t="s">
        <v>16</v>
      </c>
      <c r="N852" s="1" t="s">
        <v>17</v>
      </c>
      <c r="O852" s="1" t="s">
        <v>18</v>
      </c>
      <c r="P852" s="1" t="s">
        <v>19</v>
      </c>
      <c r="Q852" s="1" t="s">
        <v>20</v>
      </c>
    </row>
    <row r="854" spans="1:17" x14ac:dyDescent="0.2">
      <c r="D854" s="1" t="s">
        <v>21</v>
      </c>
      <c r="E854" s="1">
        <v>103526926</v>
      </c>
      <c r="G854" s="1" t="s">
        <v>164</v>
      </c>
      <c r="I854" s="1" t="s">
        <v>164</v>
      </c>
      <c r="K854" s="2">
        <v>1274450.22</v>
      </c>
      <c r="L854" s="1" t="s">
        <v>23</v>
      </c>
      <c r="N854" s="2">
        <v>311259.06</v>
      </c>
      <c r="O854" s="1" t="s">
        <v>24</v>
      </c>
      <c r="P854" s="1" t="s">
        <v>329</v>
      </c>
      <c r="Q854" s="1">
        <v>4.0945</v>
      </c>
    </row>
    <row r="855" spans="1:17" x14ac:dyDescent="0.2">
      <c r="D855" s="1" t="s">
        <v>21</v>
      </c>
      <c r="E855" s="1">
        <v>103526927</v>
      </c>
      <c r="G855" s="1" t="s">
        <v>164</v>
      </c>
      <c r="I855" s="1" t="s">
        <v>164</v>
      </c>
      <c r="K855" s="2">
        <v>1266809.6399999999</v>
      </c>
      <c r="L855" s="1" t="s">
        <v>23</v>
      </c>
      <c r="N855" s="2">
        <v>309393</v>
      </c>
      <c r="O855" s="1" t="s">
        <v>24</v>
      </c>
      <c r="P855" s="1" t="s">
        <v>330</v>
      </c>
      <c r="Q855" s="1">
        <v>4.0945</v>
      </c>
    </row>
    <row r="856" spans="1:17" x14ac:dyDescent="0.2">
      <c r="D856" s="1" t="s">
        <v>21</v>
      </c>
      <c r="E856" s="1">
        <v>103526948</v>
      </c>
      <c r="G856" s="1" t="s">
        <v>39</v>
      </c>
      <c r="I856" s="1" t="s">
        <v>39</v>
      </c>
      <c r="K856" s="2">
        <v>1227708.72</v>
      </c>
      <c r="L856" s="1" t="s">
        <v>23</v>
      </c>
      <c r="N856" s="2">
        <v>299880</v>
      </c>
      <c r="O856" s="1" t="s">
        <v>24</v>
      </c>
      <c r="P856" s="1" t="s">
        <v>331</v>
      </c>
      <c r="Q856" s="1">
        <v>4.0940000000000003</v>
      </c>
    </row>
    <row r="857" spans="1:17" x14ac:dyDescent="0.2">
      <c r="D857" s="1" t="s">
        <v>21</v>
      </c>
      <c r="E857" s="1">
        <v>103526949</v>
      </c>
      <c r="G857" s="1" t="s">
        <v>39</v>
      </c>
      <c r="I857" s="1" t="s">
        <v>39</v>
      </c>
      <c r="K857" s="2">
        <v>1289867.92</v>
      </c>
      <c r="L857" s="1" t="s">
        <v>23</v>
      </c>
      <c r="N857" s="2">
        <v>315063</v>
      </c>
      <c r="O857" s="1" t="s">
        <v>24</v>
      </c>
      <c r="P857" s="1" t="s">
        <v>332</v>
      </c>
      <c r="Q857" s="1">
        <v>4.0940000000000003</v>
      </c>
    </row>
    <row r="858" spans="1:17" x14ac:dyDescent="0.2">
      <c r="D858" s="1" t="s">
        <v>21</v>
      </c>
      <c r="E858" s="1">
        <v>103526950</v>
      </c>
      <c r="G858" s="1" t="s">
        <v>39</v>
      </c>
      <c r="I858" s="1" t="s">
        <v>39</v>
      </c>
      <c r="K858" s="2">
        <v>1283419.8700000001</v>
      </c>
      <c r="L858" s="1" t="s">
        <v>23</v>
      </c>
      <c r="N858" s="2">
        <v>313488</v>
      </c>
      <c r="O858" s="1" t="s">
        <v>24</v>
      </c>
      <c r="P858" s="1" t="s">
        <v>333</v>
      </c>
      <c r="Q858" s="1">
        <v>4.0940000000000003</v>
      </c>
    </row>
    <row r="859" spans="1:17" x14ac:dyDescent="0.2">
      <c r="D859" s="1" t="s">
        <v>21</v>
      </c>
      <c r="E859" s="1">
        <v>103526951</v>
      </c>
      <c r="G859" s="1" t="s">
        <v>39</v>
      </c>
      <c r="I859" s="1" t="s">
        <v>39</v>
      </c>
      <c r="K859" s="2">
        <v>1318187.76</v>
      </c>
      <c r="L859" s="1" t="s">
        <v>23</v>
      </c>
      <c r="N859" s="2">
        <v>321980.40000000002</v>
      </c>
      <c r="O859" s="1" t="s">
        <v>24</v>
      </c>
      <c r="P859" s="1" t="s">
        <v>334</v>
      </c>
      <c r="Q859" s="1">
        <v>4.0940000000000003</v>
      </c>
    </row>
    <row r="860" spans="1:17" x14ac:dyDescent="0.2">
      <c r="D860" s="1" t="s">
        <v>21</v>
      </c>
      <c r="E860" s="1">
        <v>103526968</v>
      </c>
      <c r="G860" s="1" t="s">
        <v>22</v>
      </c>
      <c r="I860" s="1" t="s">
        <v>22</v>
      </c>
      <c r="K860" s="2">
        <v>1308288.3</v>
      </c>
      <c r="L860" s="1" t="s">
        <v>23</v>
      </c>
      <c r="N860" s="2">
        <v>319914</v>
      </c>
      <c r="O860" s="1" t="s">
        <v>24</v>
      </c>
      <c r="P860" s="1" t="s">
        <v>335</v>
      </c>
      <c r="Q860" s="1">
        <v>4.0895000000000001</v>
      </c>
    </row>
    <row r="861" spans="1:17" x14ac:dyDescent="0.2">
      <c r="D861" s="1" t="s">
        <v>21</v>
      </c>
      <c r="E861" s="1">
        <v>103526969</v>
      </c>
      <c r="G861" s="1" t="s">
        <v>22</v>
      </c>
      <c r="I861" s="1" t="s">
        <v>22</v>
      </c>
      <c r="K861" s="2">
        <v>219548.98</v>
      </c>
      <c r="L861" s="1" t="s">
        <v>23</v>
      </c>
      <c r="N861" s="2">
        <v>53686.02</v>
      </c>
      <c r="O861" s="1" t="s">
        <v>24</v>
      </c>
      <c r="P861" s="1" t="s">
        <v>336</v>
      </c>
      <c r="Q861" s="1">
        <v>4.0895000000000001</v>
      </c>
    </row>
    <row r="862" spans="1:17" x14ac:dyDescent="0.2">
      <c r="D862" s="1" t="s">
        <v>21</v>
      </c>
      <c r="E862" s="1">
        <v>103526970</v>
      </c>
      <c r="G862" s="1" t="s">
        <v>22</v>
      </c>
      <c r="I862" s="1" t="s">
        <v>22</v>
      </c>
      <c r="K862" s="2">
        <v>219548.98</v>
      </c>
      <c r="L862" s="1" t="s">
        <v>23</v>
      </c>
      <c r="N862" s="2">
        <v>53686.02</v>
      </c>
      <c r="O862" s="1" t="s">
        <v>24</v>
      </c>
      <c r="P862" s="1" t="s">
        <v>337</v>
      </c>
      <c r="Q862" s="1">
        <v>4.0895000000000001</v>
      </c>
    </row>
    <row r="863" spans="1:17" x14ac:dyDescent="0.2">
      <c r="D863" s="1" t="s">
        <v>21</v>
      </c>
      <c r="E863" s="1">
        <v>103526971</v>
      </c>
      <c r="G863" s="1" t="s">
        <v>22</v>
      </c>
      <c r="I863" s="1" t="s">
        <v>22</v>
      </c>
      <c r="K863" s="2">
        <v>439097.92</v>
      </c>
      <c r="L863" s="1" t="s">
        <v>23</v>
      </c>
      <c r="N863" s="2">
        <v>107372.03</v>
      </c>
      <c r="O863" s="1" t="s">
        <v>24</v>
      </c>
      <c r="P863" s="1" t="s">
        <v>338</v>
      </c>
      <c r="Q863" s="1">
        <v>4.0895000000000001</v>
      </c>
    </row>
    <row r="864" spans="1:17" x14ac:dyDescent="0.2">
      <c r="D864" s="1" t="s">
        <v>21</v>
      </c>
      <c r="E864" s="1">
        <v>103526972</v>
      </c>
      <c r="G864" s="1" t="s">
        <v>22</v>
      </c>
      <c r="I864" s="1" t="s">
        <v>22</v>
      </c>
      <c r="K864" s="2">
        <v>128724.54</v>
      </c>
      <c r="L864" s="1" t="s">
        <v>23</v>
      </c>
      <c r="N864" s="2">
        <v>31476.84</v>
      </c>
      <c r="O864" s="1" t="s">
        <v>24</v>
      </c>
      <c r="P864" s="1" t="s">
        <v>339</v>
      </c>
      <c r="Q864" s="1">
        <v>4.0895000000000001</v>
      </c>
    </row>
    <row r="865" spans="1:17" x14ac:dyDescent="0.2">
      <c r="D865" s="1" t="s">
        <v>21</v>
      </c>
      <c r="E865" s="1">
        <v>103526990</v>
      </c>
      <c r="G865" s="1" t="s">
        <v>26</v>
      </c>
      <c r="I865" s="1" t="s">
        <v>26</v>
      </c>
      <c r="K865" s="2">
        <v>871273.31</v>
      </c>
      <c r="L865" s="1" t="s">
        <v>23</v>
      </c>
      <c r="N865" s="2">
        <v>212999.22</v>
      </c>
      <c r="O865" s="1" t="s">
        <v>24</v>
      </c>
      <c r="P865" s="1" t="s">
        <v>340</v>
      </c>
      <c r="Q865" s="1">
        <v>4.0904999999999996</v>
      </c>
    </row>
    <row r="866" spans="1:17" x14ac:dyDescent="0.2">
      <c r="D866" s="1" t="s">
        <v>21</v>
      </c>
      <c r="E866" s="1">
        <v>103527022</v>
      </c>
      <c r="G866" s="1" t="s">
        <v>130</v>
      </c>
      <c r="I866" s="1" t="s">
        <v>130</v>
      </c>
      <c r="K866" s="2">
        <v>1257895.92</v>
      </c>
      <c r="L866" s="1" t="s">
        <v>23</v>
      </c>
      <c r="N866" s="2">
        <v>307441.26</v>
      </c>
      <c r="O866" s="1" t="s">
        <v>24</v>
      </c>
      <c r="P866" s="1" t="s">
        <v>341</v>
      </c>
      <c r="Q866" s="1">
        <v>4.0914999999999999</v>
      </c>
    </row>
    <row r="867" spans="1:17" x14ac:dyDescent="0.2">
      <c r="D867" s="1" t="s">
        <v>21</v>
      </c>
      <c r="E867" s="1">
        <v>103527023</v>
      </c>
      <c r="G867" s="1" t="s">
        <v>130</v>
      </c>
      <c r="I867" s="1" t="s">
        <v>130</v>
      </c>
      <c r="K867" s="2">
        <v>1329848.3</v>
      </c>
      <c r="L867" s="1" t="s">
        <v>23</v>
      </c>
      <c r="N867" s="2">
        <v>325027.08</v>
      </c>
      <c r="O867" s="1" t="s">
        <v>24</v>
      </c>
      <c r="P867" s="1" t="s">
        <v>342</v>
      </c>
      <c r="Q867" s="1">
        <v>4.0914999999999999</v>
      </c>
    </row>
    <row r="868" spans="1:17" x14ac:dyDescent="0.2">
      <c r="D868" s="1" t="s">
        <v>21</v>
      </c>
      <c r="E868" s="1">
        <v>103527024</v>
      </c>
      <c r="G868" s="1" t="s">
        <v>130</v>
      </c>
      <c r="I868" s="1" t="s">
        <v>130</v>
      </c>
      <c r="K868" s="2">
        <v>219752.13</v>
      </c>
      <c r="L868" s="1" t="s">
        <v>23</v>
      </c>
      <c r="N868" s="2">
        <v>53709.43</v>
      </c>
      <c r="O868" s="1" t="s">
        <v>24</v>
      </c>
      <c r="P868" s="1" t="s">
        <v>343</v>
      </c>
      <c r="Q868" s="1">
        <v>4.0914999999999999</v>
      </c>
    </row>
    <row r="869" spans="1:17" x14ac:dyDescent="0.2">
      <c r="D869" s="1" t="s">
        <v>21</v>
      </c>
      <c r="E869" s="1">
        <v>103527082</v>
      </c>
      <c r="G869" s="1" t="s">
        <v>64</v>
      </c>
      <c r="I869" s="1" t="s">
        <v>64</v>
      </c>
      <c r="K869" s="2">
        <v>84719.64</v>
      </c>
      <c r="L869" s="1" t="s">
        <v>23</v>
      </c>
      <c r="N869" s="2">
        <v>20731.59</v>
      </c>
      <c r="O869" s="1" t="s">
        <v>24</v>
      </c>
      <c r="P869" s="1" t="s">
        <v>344</v>
      </c>
      <c r="Q869" s="1">
        <v>4.0865</v>
      </c>
    </row>
    <row r="870" spans="1:17" x14ac:dyDescent="0.2">
      <c r="D870" s="1" t="s">
        <v>21</v>
      </c>
      <c r="E870" s="1">
        <v>2200009648</v>
      </c>
      <c r="G870" s="1" t="s">
        <v>22</v>
      </c>
      <c r="I870" s="1" t="s">
        <v>22</v>
      </c>
      <c r="K870" s="2">
        <v>7947.66</v>
      </c>
      <c r="L870" s="1" t="s">
        <v>23</v>
      </c>
      <c r="N870" s="2">
        <v>1943.43</v>
      </c>
      <c r="O870" s="1" t="s">
        <v>24</v>
      </c>
      <c r="P870" s="1" t="s">
        <v>336</v>
      </c>
      <c r="Q870" s="1">
        <v>4.0895000000000001</v>
      </c>
    </row>
    <row r="871" spans="1:17" x14ac:dyDescent="0.2">
      <c r="D871" s="1" t="s">
        <v>21</v>
      </c>
      <c r="E871" s="1">
        <v>2200009650</v>
      </c>
      <c r="G871" s="1" t="s">
        <v>22</v>
      </c>
      <c r="I871" s="1" t="s">
        <v>22</v>
      </c>
      <c r="K871" s="2">
        <v>7947.66</v>
      </c>
      <c r="L871" s="1" t="s">
        <v>23</v>
      </c>
      <c r="N871" s="2">
        <v>1943.43</v>
      </c>
      <c r="O871" s="1" t="s">
        <v>24</v>
      </c>
      <c r="P871" s="1" t="s">
        <v>337</v>
      </c>
      <c r="Q871" s="1">
        <v>4.0895000000000001</v>
      </c>
    </row>
    <row r="872" spans="1:17" x14ac:dyDescent="0.2">
      <c r="D872" s="1" t="s">
        <v>21</v>
      </c>
      <c r="E872" s="1">
        <v>2200009652</v>
      </c>
      <c r="G872" s="1" t="s">
        <v>22</v>
      </c>
      <c r="I872" s="1" t="s">
        <v>22</v>
      </c>
      <c r="K872" s="2">
        <v>15895.35</v>
      </c>
      <c r="L872" s="1" t="s">
        <v>23</v>
      </c>
      <c r="N872" s="2">
        <v>3886.87</v>
      </c>
      <c r="O872" s="1" t="s">
        <v>24</v>
      </c>
      <c r="P872" s="1" t="s">
        <v>338</v>
      </c>
      <c r="Q872" s="1">
        <v>4.0895000000000001</v>
      </c>
    </row>
    <row r="873" spans="1:17" x14ac:dyDescent="0.2">
      <c r="D873" s="1" t="s">
        <v>21</v>
      </c>
      <c r="E873" s="1">
        <v>2200009654</v>
      </c>
      <c r="G873" s="1" t="s">
        <v>22</v>
      </c>
      <c r="I873" s="1" t="s">
        <v>22</v>
      </c>
      <c r="K873" s="2">
        <v>4659.82</v>
      </c>
      <c r="L873" s="1" t="s">
        <v>23</v>
      </c>
      <c r="N873" s="2">
        <v>1139.46</v>
      </c>
      <c r="O873" s="1" t="s">
        <v>24</v>
      </c>
      <c r="P873" s="1" t="s">
        <v>339</v>
      </c>
      <c r="Q873" s="1">
        <v>4.0895000000000001</v>
      </c>
    </row>
    <row r="874" spans="1:17" x14ac:dyDescent="0.2">
      <c r="D874" s="1" t="s">
        <v>21</v>
      </c>
      <c r="E874" s="1">
        <v>2200009700</v>
      </c>
      <c r="G874" s="1" t="s">
        <v>130</v>
      </c>
      <c r="I874" s="1" t="s">
        <v>130</v>
      </c>
      <c r="K874" s="2">
        <v>7855.76</v>
      </c>
      <c r="L874" s="1" t="s">
        <v>23</v>
      </c>
      <c r="N874" s="2">
        <v>1920.02</v>
      </c>
      <c r="O874" s="1" t="s">
        <v>24</v>
      </c>
      <c r="P874" s="1" t="s">
        <v>343</v>
      </c>
      <c r="Q874" s="1">
        <v>4.0914999999999999</v>
      </c>
    </row>
    <row r="875" spans="1:17" x14ac:dyDescent="0.2">
      <c r="D875" s="1" t="s">
        <v>21</v>
      </c>
      <c r="E875" s="1">
        <v>2200009736</v>
      </c>
      <c r="G875" s="1" t="s">
        <v>64</v>
      </c>
      <c r="I875" s="1" t="s">
        <v>64</v>
      </c>
      <c r="K875" s="2">
        <v>3058.38</v>
      </c>
      <c r="L875" s="1" t="s">
        <v>23</v>
      </c>
      <c r="N875" s="1">
        <v>748.41</v>
      </c>
      <c r="O875" s="1" t="s">
        <v>24</v>
      </c>
      <c r="P875" s="1" t="s">
        <v>344</v>
      </c>
      <c r="Q875" s="1">
        <v>4.0865</v>
      </c>
    </row>
    <row r="877" spans="1:17" x14ac:dyDescent="0.2">
      <c r="B877" s="1" t="s">
        <v>32</v>
      </c>
      <c r="K877" s="2">
        <v>13786506.779999999</v>
      </c>
      <c r="L877" s="1" t="s">
        <v>23</v>
      </c>
      <c r="N877" s="2">
        <v>3368688.57</v>
      </c>
      <c r="O877" s="1" t="s">
        <v>24</v>
      </c>
    </row>
    <row r="879" spans="1:17" x14ac:dyDescent="0.2">
      <c r="A879" s="3"/>
      <c r="B879" s="3" t="s">
        <v>33</v>
      </c>
      <c r="C879" s="3" t="s">
        <v>345</v>
      </c>
      <c r="D879" s="3"/>
      <c r="E879" s="3"/>
      <c r="F879" s="3"/>
      <c r="G879" s="3"/>
      <c r="H879" s="3"/>
      <c r="I879" s="3"/>
      <c r="J879" s="3"/>
      <c r="K879" s="4">
        <v>13786506.779999999</v>
      </c>
      <c r="L879" s="3" t="s">
        <v>23</v>
      </c>
      <c r="M879" s="3"/>
      <c r="N879" s="4">
        <v>3368688.57</v>
      </c>
      <c r="O879" s="3" t="s">
        <v>24</v>
      </c>
      <c r="P879" s="3"/>
      <c r="Q879" s="3"/>
    </row>
    <row r="881" spans="1:17" x14ac:dyDescent="0.2">
      <c r="A881" s="1" t="s">
        <v>0</v>
      </c>
      <c r="F881" s="1">
        <v>501330</v>
      </c>
    </row>
    <row r="882" spans="1:17" x14ac:dyDescent="0.2">
      <c r="A882" s="1" t="s">
        <v>1</v>
      </c>
      <c r="F882" s="1" t="s">
        <v>2</v>
      </c>
    </row>
    <row r="884" spans="1:17" x14ac:dyDescent="0.2">
      <c r="A884" s="1" t="s">
        <v>3</v>
      </c>
      <c r="F884" s="1" t="s">
        <v>328</v>
      </c>
    </row>
    <row r="885" spans="1:17" x14ac:dyDescent="0.2">
      <c r="A885" s="1" t="s">
        <v>5</v>
      </c>
      <c r="F885" s="1" t="s">
        <v>228</v>
      </c>
    </row>
    <row r="888" spans="1:17" x14ac:dyDescent="0.2">
      <c r="C888" s="1" t="s">
        <v>7</v>
      </c>
      <c r="D888" s="1" t="s">
        <v>8</v>
      </c>
      <c r="E888" s="1" t="s">
        <v>9</v>
      </c>
      <c r="G888" s="1" t="s">
        <v>10</v>
      </c>
      <c r="H888" s="1" t="s">
        <v>11</v>
      </c>
      <c r="I888" s="1" t="s">
        <v>12</v>
      </c>
      <c r="J888" s="1" t="s">
        <v>13</v>
      </c>
      <c r="K888" s="1" t="s">
        <v>14</v>
      </c>
      <c r="L888" s="1" t="s">
        <v>15</v>
      </c>
      <c r="M888" s="1" t="s">
        <v>16</v>
      </c>
      <c r="N888" s="1" t="s">
        <v>17</v>
      </c>
      <c r="O888" s="1" t="s">
        <v>18</v>
      </c>
      <c r="P888" s="1" t="s">
        <v>19</v>
      </c>
      <c r="Q888" s="1" t="s">
        <v>20</v>
      </c>
    </row>
    <row r="890" spans="1:17" x14ac:dyDescent="0.2">
      <c r="D890" s="1" t="s">
        <v>21</v>
      </c>
      <c r="E890" s="1">
        <v>103527020</v>
      </c>
      <c r="G890" s="1" t="s">
        <v>130</v>
      </c>
      <c r="I890" s="1" t="s">
        <v>130</v>
      </c>
      <c r="K890" s="2">
        <v>2026441.39</v>
      </c>
      <c r="L890" s="1" t="s">
        <v>23</v>
      </c>
      <c r="N890" s="2">
        <v>495280.8</v>
      </c>
      <c r="O890" s="1" t="s">
        <v>24</v>
      </c>
      <c r="P890" s="1" t="s">
        <v>346</v>
      </c>
      <c r="Q890" s="1">
        <v>4.0914999999999999</v>
      </c>
    </row>
    <row r="891" spans="1:17" x14ac:dyDescent="0.2">
      <c r="D891" s="1" t="s">
        <v>21</v>
      </c>
      <c r="E891" s="1">
        <v>103527021</v>
      </c>
      <c r="G891" s="1" t="s">
        <v>130</v>
      </c>
      <c r="I891" s="1" t="s">
        <v>130</v>
      </c>
      <c r="K891" s="2">
        <v>502872.76</v>
      </c>
      <c r="L891" s="1" t="s">
        <v>23</v>
      </c>
      <c r="N891" s="2">
        <v>122906.7</v>
      </c>
      <c r="O891" s="1" t="s">
        <v>24</v>
      </c>
      <c r="P891" s="1" t="s">
        <v>347</v>
      </c>
      <c r="Q891" s="1">
        <v>4.0914999999999999</v>
      </c>
    </row>
    <row r="892" spans="1:17" x14ac:dyDescent="0.2">
      <c r="D892" s="1" t="s">
        <v>21</v>
      </c>
      <c r="E892" s="1">
        <v>103527051</v>
      </c>
      <c r="G892" s="1" t="s">
        <v>64</v>
      </c>
      <c r="I892" s="1" t="s">
        <v>64</v>
      </c>
      <c r="K892" s="2">
        <v>1246390.26</v>
      </c>
      <c r="L892" s="1" t="s">
        <v>23</v>
      </c>
      <c r="N892" s="2">
        <v>305001.90000000002</v>
      </c>
      <c r="O892" s="1" t="s">
        <v>24</v>
      </c>
      <c r="P892" s="1" t="s">
        <v>348</v>
      </c>
      <c r="Q892" s="1">
        <v>4.0865</v>
      </c>
    </row>
    <row r="893" spans="1:17" x14ac:dyDescent="0.2">
      <c r="D893" s="1" t="s">
        <v>21</v>
      </c>
      <c r="E893" s="1">
        <v>103527052</v>
      </c>
      <c r="G893" s="1" t="s">
        <v>64</v>
      </c>
      <c r="I893" s="1" t="s">
        <v>64</v>
      </c>
      <c r="K893" s="2">
        <v>858336.63</v>
      </c>
      <c r="L893" s="1" t="s">
        <v>23</v>
      </c>
      <c r="N893" s="2">
        <v>210042</v>
      </c>
      <c r="O893" s="1" t="s">
        <v>24</v>
      </c>
      <c r="P893" s="1" t="s">
        <v>349</v>
      </c>
      <c r="Q893" s="1">
        <v>4.0865</v>
      </c>
    </row>
    <row r="894" spans="1:17" x14ac:dyDescent="0.2">
      <c r="D894" s="1" t="s">
        <v>21</v>
      </c>
      <c r="E894" s="1">
        <v>103527068</v>
      </c>
      <c r="G894" s="1" t="s">
        <v>64</v>
      </c>
      <c r="I894" s="1" t="s">
        <v>64</v>
      </c>
      <c r="K894" s="2">
        <v>668849.88</v>
      </c>
      <c r="L894" s="1" t="s">
        <v>23</v>
      </c>
      <c r="N894" s="2">
        <v>163673.04</v>
      </c>
      <c r="O894" s="1" t="s">
        <v>24</v>
      </c>
      <c r="P894" s="1" t="s">
        <v>350</v>
      </c>
      <c r="Q894" s="1">
        <v>4.0865</v>
      </c>
    </row>
    <row r="895" spans="1:17" x14ac:dyDescent="0.2">
      <c r="D895" s="1" t="s">
        <v>21</v>
      </c>
      <c r="E895" s="1">
        <v>103527078</v>
      </c>
      <c r="G895" s="1" t="s">
        <v>64</v>
      </c>
      <c r="I895" s="1" t="s">
        <v>64</v>
      </c>
      <c r="K895" s="2">
        <v>1164655.2</v>
      </c>
      <c r="L895" s="1" t="s">
        <v>23</v>
      </c>
      <c r="N895" s="2">
        <v>285000.65999999997</v>
      </c>
      <c r="O895" s="1" t="s">
        <v>24</v>
      </c>
      <c r="P895" s="1" t="s">
        <v>351</v>
      </c>
      <c r="Q895" s="1">
        <v>4.0865</v>
      </c>
    </row>
    <row r="896" spans="1:17" x14ac:dyDescent="0.2">
      <c r="D896" s="1" t="s">
        <v>21</v>
      </c>
      <c r="E896" s="1">
        <v>103527079</v>
      </c>
      <c r="G896" s="1" t="s">
        <v>64</v>
      </c>
      <c r="I896" s="1" t="s">
        <v>64</v>
      </c>
      <c r="K896" s="2">
        <v>1205517.58</v>
      </c>
      <c r="L896" s="1" t="s">
        <v>23</v>
      </c>
      <c r="N896" s="2">
        <v>295000.02</v>
      </c>
      <c r="O896" s="1" t="s">
        <v>24</v>
      </c>
      <c r="P896" s="1" t="s">
        <v>352</v>
      </c>
      <c r="Q896" s="1">
        <v>4.0865</v>
      </c>
    </row>
    <row r="897" spans="4:17" x14ac:dyDescent="0.2">
      <c r="D897" s="1" t="s">
        <v>21</v>
      </c>
      <c r="E897" s="1">
        <v>103527080</v>
      </c>
      <c r="G897" s="1" t="s">
        <v>64</v>
      </c>
      <c r="I897" s="1" t="s">
        <v>64</v>
      </c>
      <c r="K897" s="2">
        <v>1184911.32</v>
      </c>
      <c r="L897" s="1" t="s">
        <v>23</v>
      </c>
      <c r="N897" s="2">
        <v>289957.5</v>
      </c>
      <c r="O897" s="1" t="s">
        <v>24</v>
      </c>
      <c r="P897" s="1" t="s">
        <v>353</v>
      </c>
      <c r="Q897" s="1">
        <v>4.0865</v>
      </c>
    </row>
    <row r="898" spans="4:17" x14ac:dyDescent="0.2">
      <c r="D898" s="1" t="s">
        <v>21</v>
      </c>
      <c r="E898" s="1">
        <v>103527203</v>
      </c>
      <c r="G898" s="1" t="s">
        <v>75</v>
      </c>
      <c r="I898" s="1" t="s">
        <v>75</v>
      </c>
      <c r="K898" s="2">
        <v>998033.4</v>
      </c>
      <c r="L898" s="1" t="s">
        <v>23</v>
      </c>
      <c r="N898" s="2">
        <v>245700</v>
      </c>
      <c r="O898" s="1" t="s">
        <v>24</v>
      </c>
      <c r="P898" s="1" t="s">
        <v>354</v>
      </c>
      <c r="Q898" s="1">
        <v>4.0620000000000003</v>
      </c>
    </row>
    <row r="899" spans="4:17" x14ac:dyDescent="0.2">
      <c r="D899" s="1" t="s">
        <v>21</v>
      </c>
      <c r="E899" s="1">
        <v>103527204</v>
      </c>
      <c r="G899" s="1" t="s">
        <v>75</v>
      </c>
      <c r="I899" s="1" t="s">
        <v>75</v>
      </c>
      <c r="K899" s="2">
        <v>1035846.07</v>
      </c>
      <c r="L899" s="1" t="s">
        <v>23</v>
      </c>
      <c r="N899" s="2">
        <v>255008.88</v>
      </c>
      <c r="O899" s="1" t="s">
        <v>24</v>
      </c>
      <c r="P899" s="1" t="s">
        <v>355</v>
      </c>
      <c r="Q899" s="1">
        <v>4.0620000000000003</v>
      </c>
    </row>
    <row r="900" spans="4:17" x14ac:dyDescent="0.2">
      <c r="D900" s="1" t="s">
        <v>21</v>
      </c>
      <c r="E900" s="1">
        <v>103527205</v>
      </c>
      <c r="G900" s="1" t="s">
        <v>75</v>
      </c>
      <c r="I900" s="1" t="s">
        <v>75</v>
      </c>
      <c r="K900" s="2">
        <v>1279530</v>
      </c>
      <c r="L900" s="1" t="s">
        <v>23</v>
      </c>
      <c r="N900" s="2">
        <v>315000</v>
      </c>
      <c r="O900" s="1" t="s">
        <v>24</v>
      </c>
      <c r="P900" s="1" t="s">
        <v>356</v>
      </c>
      <c r="Q900" s="1">
        <v>4.0620000000000003</v>
      </c>
    </row>
    <row r="901" spans="4:17" x14ac:dyDescent="0.2">
      <c r="D901" s="1" t="s">
        <v>21</v>
      </c>
      <c r="E901" s="1">
        <v>103527225</v>
      </c>
      <c r="G901" s="1" t="s">
        <v>67</v>
      </c>
      <c r="I901" s="1" t="s">
        <v>67</v>
      </c>
      <c r="K901" s="2">
        <v>1183171.23</v>
      </c>
      <c r="L901" s="1" t="s">
        <v>23</v>
      </c>
      <c r="N901" s="2">
        <v>293009.21999999997</v>
      </c>
      <c r="O901" s="1" t="s">
        <v>24</v>
      </c>
      <c r="P901" s="1" t="s">
        <v>357</v>
      </c>
      <c r="Q901" s="1">
        <v>4.0380000000000003</v>
      </c>
    </row>
    <row r="902" spans="4:17" x14ac:dyDescent="0.2">
      <c r="D902" s="1" t="s">
        <v>21</v>
      </c>
      <c r="E902" s="1">
        <v>103527226</v>
      </c>
      <c r="G902" s="1" t="s">
        <v>67</v>
      </c>
      <c r="I902" s="1" t="s">
        <v>67</v>
      </c>
      <c r="K902" s="2">
        <v>787649.61</v>
      </c>
      <c r="L902" s="1" t="s">
        <v>23</v>
      </c>
      <c r="N902" s="2">
        <v>195059.34</v>
      </c>
      <c r="O902" s="1" t="s">
        <v>24</v>
      </c>
      <c r="P902" s="1" t="s">
        <v>358</v>
      </c>
      <c r="Q902" s="1">
        <v>4.0380000000000003</v>
      </c>
    </row>
    <row r="903" spans="4:17" x14ac:dyDescent="0.2">
      <c r="D903" s="1" t="s">
        <v>21</v>
      </c>
      <c r="E903" s="1">
        <v>103527227</v>
      </c>
      <c r="G903" s="1" t="s">
        <v>67</v>
      </c>
      <c r="I903" s="1" t="s">
        <v>67</v>
      </c>
      <c r="K903" s="2">
        <v>1211403.8799999999</v>
      </c>
      <c r="L903" s="1" t="s">
        <v>23</v>
      </c>
      <c r="N903" s="2">
        <v>300000.96000000002</v>
      </c>
      <c r="O903" s="1" t="s">
        <v>24</v>
      </c>
      <c r="P903" s="1" t="s">
        <v>359</v>
      </c>
      <c r="Q903" s="1">
        <v>4.0380000000000003</v>
      </c>
    </row>
    <row r="904" spans="4:17" x14ac:dyDescent="0.2">
      <c r="D904" s="1" t="s">
        <v>21</v>
      </c>
      <c r="E904" s="1">
        <v>103527228</v>
      </c>
      <c r="G904" s="1" t="s">
        <v>67</v>
      </c>
      <c r="I904" s="1" t="s">
        <v>67</v>
      </c>
      <c r="K904" s="2">
        <v>892454.86</v>
      </c>
      <c r="L904" s="1" t="s">
        <v>23</v>
      </c>
      <c r="N904" s="2">
        <v>221014.08</v>
      </c>
      <c r="O904" s="1" t="s">
        <v>24</v>
      </c>
      <c r="P904" s="1" t="s">
        <v>360</v>
      </c>
      <c r="Q904" s="1">
        <v>4.0380000000000003</v>
      </c>
    </row>
    <row r="905" spans="4:17" x14ac:dyDescent="0.2">
      <c r="D905" s="1" t="s">
        <v>21</v>
      </c>
      <c r="E905" s="1">
        <v>103527229</v>
      </c>
      <c r="G905" s="1" t="s">
        <v>67</v>
      </c>
      <c r="I905" s="1" t="s">
        <v>67</v>
      </c>
      <c r="K905" s="2">
        <v>690211.63</v>
      </c>
      <c r="L905" s="1" t="s">
        <v>23</v>
      </c>
      <c r="N905" s="2">
        <v>170929.08</v>
      </c>
      <c r="O905" s="1" t="s">
        <v>24</v>
      </c>
      <c r="P905" s="1" t="s">
        <v>361</v>
      </c>
      <c r="Q905" s="1">
        <v>4.0380000000000003</v>
      </c>
    </row>
    <row r="906" spans="4:17" x14ac:dyDescent="0.2">
      <c r="D906" s="1" t="s">
        <v>21</v>
      </c>
      <c r="E906" s="1">
        <v>103527253</v>
      </c>
      <c r="G906" s="1" t="s">
        <v>75</v>
      </c>
      <c r="I906" s="1" t="s">
        <v>75</v>
      </c>
      <c r="K906" s="2">
        <v>217240.47</v>
      </c>
      <c r="L906" s="1" t="s">
        <v>23</v>
      </c>
      <c r="N906" s="2">
        <v>53481.16</v>
      </c>
      <c r="O906" s="1" t="s">
        <v>24</v>
      </c>
      <c r="P906" s="1" t="s">
        <v>362</v>
      </c>
      <c r="Q906" s="1">
        <v>4.0620000000000003</v>
      </c>
    </row>
    <row r="907" spans="4:17" x14ac:dyDescent="0.2">
      <c r="D907" s="1" t="s">
        <v>21</v>
      </c>
      <c r="E907" s="1">
        <v>103527435</v>
      </c>
      <c r="G907" s="1" t="s">
        <v>30</v>
      </c>
      <c r="I907" s="1" t="s">
        <v>30</v>
      </c>
      <c r="K907" s="2">
        <v>802343.23</v>
      </c>
      <c r="L907" s="1" t="s">
        <v>23</v>
      </c>
      <c r="N907" s="2">
        <v>199290.42</v>
      </c>
      <c r="O907" s="1" t="s">
        <v>24</v>
      </c>
      <c r="P907" s="1" t="s">
        <v>363</v>
      </c>
      <c r="Q907" s="1">
        <v>4.0259999999999998</v>
      </c>
    </row>
    <row r="908" spans="4:17" x14ac:dyDescent="0.2">
      <c r="D908" s="1" t="s">
        <v>21</v>
      </c>
      <c r="E908" s="1">
        <v>103527436</v>
      </c>
      <c r="G908" s="1" t="s">
        <v>30</v>
      </c>
      <c r="I908" s="1" t="s">
        <v>30</v>
      </c>
      <c r="K908" s="2">
        <v>1284037.3</v>
      </c>
      <c r="L908" s="1" t="s">
        <v>23</v>
      </c>
      <c r="N908" s="2">
        <v>318936.24</v>
      </c>
      <c r="O908" s="1" t="s">
        <v>24</v>
      </c>
      <c r="P908" s="1" t="s">
        <v>364</v>
      </c>
      <c r="Q908" s="1">
        <v>4.0259999999999998</v>
      </c>
    </row>
    <row r="909" spans="4:17" x14ac:dyDescent="0.2">
      <c r="D909" s="1" t="s">
        <v>21</v>
      </c>
      <c r="E909" s="1">
        <v>103527437</v>
      </c>
      <c r="G909" s="1" t="s">
        <v>30</v>
      </c>
      <c r="I909" s="1" t="s">
        <v>30</v>
      </c>
      <c r="K909" s="2">
        <v>1355715.4</v>
      </c>
      <c r="L909" s="1" t="s">
        <v>23</v>
      </c>
      <c r="N909" s="2">
        <v>336740.04</v>
      </c>
      <c r="O909" s="1" t="s">
        <v>24</v>
      </c>
      <c r="P909" s="1" t="s">
        <v>365</v>
      </c>
      <c r="Q909" s="1">
        <v>4.0259999999999998</v>
      </c>
    </row>
    <row r="910" spans="4:17" x14ac:dyDescent="0.2">
      <c r="D910" s="1" t="s">
        <v>21</v>
      </c>
      <c r="E910" s="1">
        <v>103527438</v>
      </c>
      <c r="G910" s="1" t="s">
        <v>30</v>
      </c>
      <c r="I910" s="1" t="s">
        <v>30</v>
      </c>
      <c r="K910" s="2">
        <v>1414280.42</v>
      </c>
      <c r="L910" s="1" t="s">
        <v>23</v>
      </c>
      <c r="N910" s="2">
        <v>351286.74</v>
      </c>
      <c r="O910" s="1" t="s">
        <v>24</v>
      </c>
      <c r="P910" s="1" t="s">
        <v>366</v>
      </c>
      <c r="Q910" s="1">
        <v>4.0259999999999998</v>
      </c>
    </row>
    <row r="911" spans="4:17" x14ac:dyDescent="0.2">
      <c r="D911" s="1" t="s">
        <v>21</v>
      </c>
      <c r="E911" s="1">
        <v>103527439</v>
      </c>
      <c r="G911" s="1" t="s">
        <v>30</v>
      </c>
      <c r="I911" s="1" t="s">
        <v>30</v>
      </c>
      <c r="K911" s="2">
        <v>1316421.8</v>
      </c>
      <c r="L911" s="1" t="s">
        <v>23</v>
      </c>
      <c r="N911" s="2">
        <v>326980.08</v>
      </c>
      <c r="O911" s="1" t="s">
        <v>24</v>
      </c>
      <c r="P911" s="1" t="s">
        <v>367</v>
      </c>
      <c r="Q911" s="1">
        <v>4.0259999999999998</v>
      </c>
    </row>
    <row r="912" spans="4:17" x14ac:dyDescent="0.2">
      <c r="D912" s="1" t="s">
        <v>21</v>
      </c>
      <c r="E912" s="1">
        <v>103527440</v>
      </c>
      <c r="G912" s="1" t="s">
        <v>30</v>
      </c>
      <c r="I912" s="1" t="s">
        <v>30</v>
      </c>
      <c r="K912" s="2">
        <v>1200793.31</v>
      </c>
      <c r="L912" s="1" t="s">
        <v>23</v>
      </c>
      <c r="N912" s="2">
        <v>298259.64</v>
      </c>
      <c r="O912" s="1" t="s">
        <v>24</v>
      </c>
      <c r="P912" s="1" t="s">
        <v>368</v>
      </c>
      <c r="Q912" s="1">
        <v>4.0259999999999998</v>
      </c>
    </row>
    <row r="913" spans="1:17" x14ac:dyDescent="0.2">
      <c r="D913" s="1" t="s">
        <v>21</v>
      </c>
      <c r="E913" s="1">
        <v>2200009731</v>
      </c>
      <c r="G913" s="1" t="s">
        <v>64</v>
      </c>
      <c r="I913" s="1" t="s">
        <v>64</v>
      </c>
      <c r="K913" s="2">
        <v>27489.72</v>
      </c>
      <c r="L913" s="1" t="s">
        <v>23</v>
      </c>
      <c r="N913" s="2">
        <v>6726.96</v>
      </c>
      <c r="O913" s="1" t="s">
        <v>24</v>
      </c>
      <c r="P913" s="1" t="s">
        <v>350</v>
      </c>
      <c r="Q913" s="1">
        <v>4.0865</v>
      </c>
    </row>
    <row r="914" spans="1:17" x14ac:dyDescent="0.2">
      <c r="D914" s="1" t="s">
        <v>21</v>
      </c>
      <c r="E914" s="1">
        <v>2200009782</v>
      </c>
      <c r="G914" s="1" t="s">
        <v>75</v>
      </c>
      <c r="I914" s="1" t="s">
        <v>75</v>
      </c>
      <c r="K914" s="2">
        <v>8726.35</v>
      </c>
      <c r="L914" s="1" t="s">
        <v>23</v>
      </c>
      <c r="N914" s="2">
        <v>2148.29</v>
      </c>
      <c r="O914" s="1" t="s">
        <v>24</v>
      </c>
      <c r="P914" s="1" t="s">
        <v>362</v>
      </c>
      <c r="Q914" s="1">
        <v>4.0620000000000003</v>
      </c>
    </row>
    <row r="916" spans="1:17" x14ac:dyDescent="0.2">
      <c r="B916" s="1" t="s">
        <v>32</v>
      </c>
      <c r="K916" s="2">
        <v>24563323.699999999</v>
      </c>
      <c r="L916" s="1" t="s">
        <v>23</v>
      </c>
      <c r="N916" s="2">
        <v>6056433.75</v>
      </c>
      <c r="O916" s="1" t="s">
        <v>24</v>
      </c>
    </row>
    <row r="918" spans="1:17" x14ac:dyDescent="0.2">
      <c r="A918" s="3"/>
      <c r="B918" s="3" t="s">
        <v>33</v>
      </c>
      <c r="C918" s="3" t="s">
        <v>369</v>
      </c>
      <c r="D918" s="3"/>
      <c r="E918" s="3"/>
      <c r="F918" s="3"/>
      <c r="G918" s="3"/>
      <c r="H918" s="3"/>
      <c r="I918" s="3"/>
      <c r="J918" s="3"/>
      <c r="K918" s="4">
        <v>24563323.699999999</v>
      </c>
      <c r="L918" s="3" t="s">
        <v>23</v>
      </c>
      <c r="M918" s="3"/>
      <c r="N918" s="4">
        <v>6056433.75</v>
      </c>
      <c r="O918" s="3" t="s">
        <v>24</v>
      </c>
      <c r="P918" s="3"/>
      <c r="Q918" s="3"/>
    </row>
    <row r="920" spans="1:17" x14ac:dyDescent="0.2">
      <c r="A920" s="1" t="s">
        <v>0</v>
      </c>
      <c r="F920" s="1">
        <v>501331</v>
      </c>
    </row>
    <row r="921" spans="1:17" x14ac:dyDescent="0.2">
      <c r="A921" s="1" t="s">
        <v>1</v>
      </c>
      <c r="F921" s="1" t="s">
        <v>2</v>
      </c>
    </row>
    <row r="923" spans="1:17" x14ac:dyDescent="0.2">
      <c r="A923" s="1" t="s">
        <v>3</v>
      </c>
      <c r="F923" s="1" t="s">
        <v>163</v>
      </c>
    </row>
    <row r="924" spans="1:17" x14ac:dyDescent="0.2">
      <c r="A924" s="1" t="s">
        <v>5</v>
      </c>
      <c r="F924" s="1" t="s">
        <v>228</v>
      </c>
    </row>
    <row r="927" spans="1:17" x14ac:dyDescent="0.2">
      <c r="C927" s="1" t="s">
        <v>7</v>
      </c>
      <c r="D927" s="1" t="s">
        <v>8</v>
      </c>
      <c r="E927" s="1" t="s">
        <v>9</v>
      </c>
      <c r="G927" s="1" t="s">
        <v>10</v>
      </c>
      <c r="H927" s="1" t="s">
        <v>11</v>
      </c>
      <c r="I927" s="1" t="s">
        <v>12</v>
      </c>
      <c r="J927" s="1" t="s">
        <v>13</v>
      </c>
      <c r="K927" s="1" t="s">
        <v>14</v>
      </c>
      <c r="L927" s="1" t="s">
        <v>15</v>
      </c>
      <c r="M927" s="1" t="s">
        <v>16</v>
      </c>
      <c r="N927" s="1" t="s">
        <v>17</v>
      </c>
      <c r="O927" s="1" t="s">
        <v>18</v>
      </c>
      <c r="P927" s="1" t="s">
        <v>19</v>
      </c>
      <c r="Q927" s="1" t="s">
        <v>20</v>
      </c>
    </row>
    <row r="929" spans="4:17" x14ac:dyDescent="0.2">
      <c r="D929" s="1" t="s">
        <v>21</v>
      </c>
      <c r="E929" s="1">
        <v>103526922</v>
      </c>
      <c r="G929" s="1" t="s">
        <v>164</v>
      </c>
      <c r="I929" s="1" t="s">
        <v>164</v>
      </c>
      <c r="K929" s="2">
        <v>30000</v>
      </c>
      <c r="L929" s="1" t="s">
        <v>23</v>
      </c>
      <c r="N929" s="2">
        <v>30000</v>
      </c>
      <c r="O929" s="1" t="s">
        <v>23</v>
      </c>
      <c r="P929" s="1" t="s">
        <v>370</v>
      </c>
      <c r="Q929" s="1">
        <v>1</v>
      </c>
    </row>
    <row r="930" spans="4:17" x14ac:dyDescent="0.2">
      <c r="D930" s="1" t="s">
        <v>21</v>
      </c>
      <c r="E930" s="1">
        <v>103527129</v>
      </c>
      <c r="G930" s="1" t="s">
        <v>44</v>
      </c>
      <c r="I930" s="1" t="s">
        <v>44</v>
      </c>
      <c r="K930" s="2">
        <v>300000</v>
      </c>
      <c r="L930" s="1" t="s">
        <v>23</v>
      </c>
      <c r="N930" s="2">
        <v>300000</v>
      </c>
      <c r="O930" s="1" t="s">
        <v>23</v>
      </c>
      <c r="P930" s="1" t="s">
        <v>371</v>
      </c>
      <c r="Q930" s="1">
        <v>1</v>
      </c>
    </row>
    <row r="931" spans="4:17" x14ac:dyDescent="0.2">
      <c r="D931" s="1" t="s">
        <v>21</v>
      </c>
      <c r="E931" s="1">
        <v>103527166</v>
      </c>
      <c r="G931" s="1" t="s">
        <v>46</v>
      </c>
      <c r="I931" s="1" t="s">
        <v>46</v>
      </c>
      <c r="K931" s="2">
        <v>54000</v>
      </c>
      <c r="L931" s="1" t="s">
        <v>23</v>
      </c>
      <c r="N931" s="2">
        <v>54000</v>
      </c>
      <c r="O931" s="1" t="s">
        <v>23</v>
      </c>
      <c r="P931" s="1" t="s">
        <v>372</v>
      </c>
      <c r="Q931" s="1">
        <v>1</v>
      </c>
    </row>
    <row r="932" spans="4:17" x14ac:dyDescent="0.2">
      <c r="D932" s="1" t="s">
        <v>21</v>
      </c>
      <c r="E932" s="1">
        <v>103527195</v>
      </c>
      <c r="G932" s="1" t="s">
        <v>75</v>
      </c>
      <c r="I932" s="1" t="s">
        <v>75</v>
      </c>
      <c r="K932" s="2">
        <v>200000</v>
      </c>
      <c r="L932" s="1" t="s">
        <v>23</v>
      </c>
      <c r="N932" s="2">
        <v>200000</v>
      </c>
      <c r="O932" s="1" t="s">
        <v>23</v>
      </c>
      <c r="P932" s="1" t="s">
        <v>373</v>
      </c>
      <c r="Q932" s="1">
        <v>1</v>
      </c>
    </row>
    <row r="933" spans="4:17" x14ac:dyDescent="0.2">
      <c r="D933" s="1" t="s">
        <v>21</v>
      </c>
      <c r="E933" s="1">
        <v>103527196</v>
      </c>
      <c r="G933" s="1" t="s">
        <v>75</v>
      </c>
      <c r="I933" s="1" t="s">
        <v>75</v>
      </c>
      <c r="K933" s="2">
        <v>90118.8</v>
      </c>
      <c r="L933" s="1" t="s">
        <v>23</v>
      </c>
      <c r="N933" s="2">
        <v>90118.8</v>
      </c>
      <c r="O933" s="1" t="s">
        <v>23</v>
      </c>
      <c r="P933" s="1" t="s">
        <v>374</v>
      </c>
      <c r="Q933" s="1">
        <v>1</v>
      </c>
    </row>
    <row r="934" spans="4:17" x14ac:dyDescent="0.2">
      <c r="D934" s="1" t="s">
        <v>21</v>
      </c>
      <c r="E934" s="1">
        <v>103527197</v>
      </c>
      <c r="G934" s="1" t="s">
        <v>75</v>
      </c>
      <c r="I934" s="1" t="s">
        <v>75</v>
      </c>
      <c r="K934" s="2">
        <v>188350</v>
      </c>
      <c r="L934" s="1" t="s">
        <v>23</v>
      </c>
      <c r="N934" s="2">
        <v>188350</v>
      </c>
      <c r="O934" s="1" t="s">
        <v>23</v>
      </c>
      <c r="P934" s="1" t="s">
        <v>375</v>
      </c>
      <c r="Q934" s="1">
        <v>1</v>
      </c>
    </row>
    <row r="935" spans="4:17" x14ac:dyDescent="0.2">
      <c r="D935" s="1" t="s">
        <v>21</v>
      </c>
      <c r="E935" s="1">
        <v>103527212</v>
      </c>
      <c r="G935" s="1" t="s">
        <v>28</v>
      </c>
      <c r="I935" s="1" t="s">
        <v>28</v>
      </c>
      <c r="K935" s="2">
        <v>124301.8</v>
      </c>
      <c r="L935" s="1" t="s">
        <v>23</v>
      </c>
      <c r="N935" s="2">
        <v>124301.8</v>
      </c>
      <c r="O935" s="1" t="s">
        <v>23</v>
      </c>
      <c r="P935" s="1" t="s">
        <v>376</v>
      </c>
      <c r="Q935" s="1">
        <v>1</v>
      </c>
    </row>
    <row r="936" spans="4:17" x14ac:dyDescent="0.2">
      <c r="D936" s="1" t="s">
        <v>21</v>
      </c>
      <c r="E936" s="1">
        <v>103527213</v>
      </c>
      <c r="G936" s="1" t="s">
        <v>28</v>
      </c>
      <c r="I936" s="1" t="s">
        <v>28</v>
      </c>
      <c r="K936" s="2">
        <v>59276.6</v>
      </c>
      <c r="L936" s="1" t="s">
        <v>23</v>
      </c>
      <c r="N936" s="2">
        <v>59276.6</v>
      </c>
      <c r="O936" s="1" t="s">
        <v>23</v>
      </c>
      <c r="P936" s="1" t="s">
        <v>377</v>
      </c>
      <c r="Q936" s="1">
        <v>1</v>
      </c>
    </row>
    <row r="937" spans="4:17" x14ac:dyDescent="0.2">
      <c r="D937" s="1" t="s">
        <v>21</v>
      </c>
      <c r="E937" s="1">
        <v>103527214</v>
      </c>
      <c r="G937" s="1" t="s">
        <v>28</v>
      </c>
      <c r="I937" s="1" t="s">
        <v>28</v>
      </c>
      <c r="K937" s="2">
        <v>78970</v>
      </c>
      <c r="L937" s="1" t="s">
        <v>23</v>
      </c>
      <c r="N937" s="2">
        <v>78970</v>
      </c>
      <c r="O937" s="1" t="s">
        <v>23</v>
      </c>
      <c r="P937" s="1" t="s">
        <v>378</v>
      </c>
      <c r="Q937" s="1">
        <v>1</v>
      </c>
    </row>
    <row r="938" spans="4:17" x14ac:dyDescent="0.2">
      <c r="D938" s="1" t="s">
        <v>21</v>
      </c>
      <c r="E938" s="1">
        <v>103527215</v>
      </c>
      <c r="G938" s="1" t="s">
        <v>28</v>
      </c>
      <c r="I938" s="1" t="s">
        <v>28</v>
      </c>
      <c r="K938" s="2">
        <v>94710</v>
      </c>
      <c r="L938" s="1" t="s">
        <v>23</v>
      </c>
      <c r="N938" s="2">
        <v>94710</v>
      </c>
      <c r="O938" s="1" t="s">
        <v>23</v>
      </c>
      <c r="P938" s="1" t="s">
        <v>379</v>
      </c>
      <c r="Q938" s="1">
        <v>1</v>
      </c>
    </row>
    <row r="939" spans="4:17" x14ac:dyDescent="0.2">
      <c r="D939" s="1" t="s">
        <v>21</v>
      </c>
      <c r="E939" s="1">
        <v>103527216</v>
      </c>
      <c r="G939" s="1" t="s">
        <v>28</v>
      </c>
      <c r="I939" s="1" t="s">
        <v>28</v>
      </c>
      <c r="K939" s="2">
        <v>473000</v>
      </c>
      <c r="L939" s="1" t="s">
        <v>23</v>
      </c>
      <c r="N939" s="2">
        <v>473000</v>
      </c>
      <c r="O939" s="1" t="s">
        <v>23</v>
      </c>
      <c r="P939" s="1" t="s">
        <v>380</v>
      </c>
      <c r="Q939" s="1">
        <v>1</v>
      </c>
    </row>
    <row r="940" spans="4:17" x14ac:dyDescent="0.2">
      <c r="D940" s="1" t="s">
        <v>21</v>
      </c>
      <c r="E940" s="1">
        <v>103527224</v>
      </c>
      <c r="G940" s="1" t="s">
        <v>67</v>
      </c>
      <c r="I940" s="1" t="s">
        <v>67</v>
      </c>
      <c r="K940" s="2">
        <v>83161.13</v>
      </c>
      <c r="L940" s="1" t="s">
        <v>23</v>
      </c>
      <c r="N940" s="2">
        <v>83161.13</v>
      </c>
      <c r="O940" s="1" t="s">
        <v>23</v>
      </c>
      <c r="P940" s="1" t="s">
        <v>381</v>
      </c>
      <c r="Q940" s="1">
        <v>1</v>
      </c>
    </row>
    <row r="941" spans="4:17" x14ac:dyDescent="0.2">
      <c r="D941" s="1" t="s">
        <v>21</v>
      </c>
      <c r="E941" s="1">
        <v>103527240</v>
      </c>
      <c r="G941" s="1" t="s">
        <v>48</v>
      </c>
      <c r="I941" s="1" t="s">
        <v>48</v>
      </c>
      <c r="K941" s="2">
        <v>239040</v>
      </c>
      <c r="L941" s="1" t="s">
        <v>23</v>
      </c>
      <c r="N941" s="2">
        <v>239040</v>
      </c>
      <c r="O941" s="1" t="s">
        <v>23</v>
      </c>
      <c r="P941" s="1" t="s">
        <v>382</v>
      </c>
      <c r="Q941" s="1">
        <v>1</v>
      </c>
    </row>
    <row r="942" spans="4:17" x14ac:dyDescent="0.2">
      <c r="D942" s="1" t="s">
        <v>21</v>
      </c>
      <c r="E942" s="1">
        <v>103527241</v>
      </c>
      <c r="G942" s="1" t="s">
        <v>48</v>
      </c>
      <c r="I942" s="1" t="s">
        <v>48</v>
      </c>
      <c r="K942" s="2">
        <v>343739.92</v>
      </c>
      <c r="L942" s="1" t="s">
        <v>23</v>
      </c>
      <c r="N942" s="2">
        <v>343739.92</v>
      </c>
      <c r="O942" s="1" t="s">
        <v>23</v>
      </c>
      <c r="P942" s="1" t="s">
        <v>383</v>
      </c>
      <c r="Q942" s="1">
        <v>1</v>
      </c>
    </row>
    <row r="943" spans="4:17" x14ac:dyDescent="0.2">
      <c r="D943" s="1" t="s">
        <v>21</v>
      </c>
      <c r="E943" s="1">
        <v>103527406</v>
      </c>
      <c r="G943" s="1" t="s">
        <v>50</v>
      </c>
      <c r="I943" s="1" t="s">
        <v>50</v>
      </c>
      <c r="K943" s="2">
        <v>188661.8</v>
      </c>
      <c r="L943" s="1" t="s">
        <v>23</v>
      </c>
      <c r="N943" s="2">
        <v>188661.8</v>
      </c>
      <c r="O943" s="1" t="s">
        <v>23</v>
      </c>
      <c r="P943" s="1" t="s">
        <v>384</v>
      </c>
      <c r="Q943" s="1">
        <v>1</v>
      </c>
    </row>
    <row r="944" spans="4:17" x14ac:dyDescent="0.2">
      <c r="D944" s="1" t="s">
        <v>21</v>
      </c>
      <c r="E944" s="1">
        <v>103540078</v>
      </c>
      <c r="G944" s="1" t="s">
        <v>28</v>
      </c>
      <c r="I944" s="1" t="s">
        <v>28</v>
      </c>
      <c r="K944" s="2">
        <v>1138589.68</v>
      </c>
      <c r="L944" s="1" t="s">
        <v>23</v>
      </c>
      <c r="N944" s="2">
        <v>1138589.68</v>
      </c>
      <c r="O944" s="1" t="s">
        <v>23</v>
      </c>
      <c r="P944" s="1" t="s">
        <v>385</v>
      </c>
      <c r="Q944" s="1">
        <v>1</v>
      </c>
    </row>
    <row r="945" spans="1:17" x14ac:dyDescent="0.2">
      <c r="D945" s="1" t="s">
        <v>21</v>
      </c>
      <c r="E945" s="1">
        <v>103540079</v>
      </c>
      <c r="G945" s="1" t="s">
        <v>58</v>
      </c>
      <c r="I945" s="1" t="s">
        <v>58</v>
      </c>
      <c r="K945" s="2">
        <v>1146576.8999999999</v>
      </c>
      <c r="L945" s="1" t="s">
        <v>23</v>
      </c>
      <c r="N945" s="2">
        <v>1146576.8999999999</v>
      </c>
      <c r="O945" s="1" t="s">
        <v>23</v>
      </c>
      <c r="P945" s="1" t="s">
        <v>386</v>
      </c>
      <c r="Q945" s="1">
        <v>1</v>
      </c>
    </row>
    <row r="946" spans="1:17" x14ac:dyDescent="0.2">
      <c r="D946" s="1" t="s">
        <v>21</v>
      </c>
      <c r="E946" s="1">
        <v>103540079</v>
      </c>
      <c r="G946" s="1" t="s">
        <v>58</v>
      </c>
      <c r="I946" s="1" t="s">
        <v>58</v>
      </c>
      <c r="K946" s="2">
        <v>743569.9</v>
      </c>
      <c r="L946" s="1" t="s">
        <v>23</v>
      </c>
      <c r="N946" s="2">
        <v>743569.9</v>
      </c>
      <c r="O946" s="1" t="s">
        <v>23</v>
      </c>
      <c r="P946" s="1" t="s">
        <v>387</v>
      </c>
      <c r="Q946" s="1">
        <v>1</v>
      </c>
    </row>
    <row r="948" spans="1:17" x14ac:dyDescent="0.2">
      <c r="B948" s="1" t="s">
        <v>32</v>
      </c>
      <c r="K948" s="2">
        <v>5576066.5300000003</v>
      </c>
      <c r="L948" s="1" t="s">
        <v>23</v>
      </c>
      <c r="N948" s="2">
        <v>5576066.5300000003</v>
      </c>
      <c r="O948" s="1" t="s">
        <v>23</v>
      </c>
    </row>
    <row r="950" spans="1:17" x14ac:dyDescent="0.2">
      <c r="A950" s="3"/>
      <c r="B950" s="3" t="s">
        <v>33</v>
      </c>
      <c r="C950" s="3" t="s">
        <v>388</v>
      </c>
      <c r="D950" s="3"/>
      <c r="E950" s="3"/>
      <c r="F950" s="3"/>
      <c r="G950" s="3"/>
      <c r="H950" s="3"/>
      <c r="I950" s="3"/>
      <c r="J950" s="3"/>
      <c r="K950" s="4">
        <v>5576066.5300000003</v>
      </c>
      <c r="L950" s="3" t="s">
        <v>23</v>
      </c>
      <c r="M950" s="3"/>
      <c r="N950" s="4">
        <v>5576066.5300000003</v>
      </c>
      <c r="O950" s="3" t="s">
        <v>23</v>
      </c>
      <c r="P950" s="3"/>
      <c r="Q950" s="3"/>
    </row>
    <row r="952" spans="1:17" x14ac:dyDescent="0.2">
      <c r="A952" s="1" t="s">
        <v>0</v>
      </c>
      <c r="F952" s="1">
        <v>501332</v>
      </c>
    </row>
    <row r="953" spans="1:17" x14ac:dyDescent="0.2">
      <c r="A953" s="1" t="s">
        <v>1</v>
      </c>
      <c r="F953" s="1" t="s">
        <v>2</v>
      </c>
    </row>
    <row r="955" spans="1:17" x14ac:dyDescent="0.2">
      <c r="A955" s="1" t="s">
        <v>3</v>
      </c>
      <c r="F955" s="1" t="s">
        <v>389</v>
      </c>
    </row>
    <row r="956" spans="1:17" x14ac:dyDescent="0.2">
      <c r="A956" s="1" t="s">
        <v>5</v>
      </c>
      <c r="F956" s="1" t="s">
        <v>151</v>
      </c>
    </row>
    <row r="959" spans="1:17" x14ac:dyDescent="0.2">
      <c r="C959" s="1" t="s">
        <v>7</v>
      </c>
      <c r="D959" s="1" t="s">
        <v>8</v>
      </c>
      <c r="E959" s="1" t="s">
        <v>9</v>
      </c>
      <c r="G959" s="1" t="s">
        <v>10</v>
      </c>
      <c r="H959" s="1" t="s">
        <v>11</v>
      </c>
      <c r="I959" s="1" t="s">
        <v>12</v>
      </c>
      <c r="J959" s="1" t="s">
        <v>13</v>
      </c>
      <c r="K959" s="1" t="s">
        <v>14</v>
      </c>
      <c r="L959" s="1" t="s">
        <v>15</v>
      </c>
      <c r="M959" s="1" t="s">
        <v>16</v>
      </c>
      <c r="N959" s="1" t="s">
        <v>17</v>
      </c>
      <c r="O959" s="1" t="s">
        <v>18</v>
      </c>
      <c r="P959" s="1" t="s">
        <v>19</v>
      </c>
      <c r="Q959" s="1" t="s">
        <v>20</v>
      </c>
    </row>
    <row r="961" spans="1:17" x14ac:dyDescent="0.2">
      <c r="D961" s="1" t="s">
        <v>21</v>
      </c>
      <c r="E961" s="1">
        <v>103527130</v>
      </c>
      <c r="G961" s="1" t="s">
        <v>44</v>
      </c>
      <c r="I961" s="1" t="s">
        <v>44</v>
      </c>
      <c r="K961" s="2">
        <v>927391.46</v>
      </c>
      <c r="L961" s="1" t="s">
        <v>23</v>
      </c>
      <c r="N961" s="2">
        <v>228675</v>
      </c>
      <c r="O961" s="1" t="s">
        <v>24</v>
      </c>
      <c r="P961" s="1" t="s">
        <v>390</v>
      </c>
      <c r="Q961" s="1">
        <v>4.0555000000000003</v>
      </c>
    </row>
    <row r="962" spans="1:17" x14ac:dyDescent="0.2">
      <c r="D962" s="1" t="s">
        <v>21</v>
      </c>
      <c r="E962" s="1">
        <v>103527131</v>
      </c>
      <c r="G962" s="1" t="s">
        <v>44</v>
      </c>
      <c r="I962" s="1" t="s">
        <v>44</v>
      </c>
      <c r="K962" s="2">
        <v>953042.5</v>
      </c>
      <c r="L962" s="1" t="s">
        <v>23</v>
      </c>
      <c r="N962" s="2">
        <v>235000</v>
      </c>
      <c r="O962" s="1" t="s">
        <v>24</v>
      </c>
      <c r="P962" s="1" t="s">
        <v>391</v>
      </c>
      <c r="Q962" s="1">
        <v>4.0555000000000003</v>
      </c>
    </row>
    <row r="963" spans="1:17" x14ac:dyDescent="0.2">
      <c r="D963" s="1" t="s">
        <v>21</v>
      </c>
      <c r="E963" s="1">
        <v>103527433</v>
      </c>
      <c r="G963" s="1" t="s">
        <v>30</v>
      </c>
      <c r="I963" s="1" t="s">
        <v>30</v>
      </c>
      <c r="K963" s="2">
        <v>1789315.44</v>
      </c>
      <c r="L963" s="1" t="s">
        <v>23</v>
      </c>
      <c r="N963" s="2">
        <v>444440</v>
      </c>
      <c r="O963" s="1" t="s">
        <v>24</v>
      </c>
      <c r="P963" s="1" t="s">
        <v>392</v>
      </c>
      <c r="Q963" s="1">
        <v>4.0259999999999998</v>
      </c>
    </row>
    <row r="964" spans="1:17" x14ac:dyDescent="0.2">
      <c r="D964" s="1" t="s">
        <v>21</v>
      </c>
      <c r="E964" s="1">
        <v>103527434</v>
      </c>
      <c r="G964" s="1" t="s">
        <v>30</v>
      </c>
      <c r="I964" s="1" t="s">
        <v>30</v>
      </c>
      <c r="K964" s="2">
        <v>880083.6</v>
      </c>
      <c r="L964" s="1" t="s">
        <v>23</v>
      </c>
      <c r="N964" s="2">
        <v>218600</v>
      </c>
      <c r="O964" s="1" t="s">
        <v>24</v>
      </c>
      <c r="P964" s="1" t="s">
        <v>393</v>
      </c>
      <c r="Q964" s="1">
        <v>4.0259999999999998</v>
      </c>
    </row>
    <row r="966" spans="1:17" x14ac:dyDescent="0.2">
      <c r="B966" s="1" t="s">
        <v>32</v>
      </c>
      <c r="K966" s="2">
        <v>4549833</v>
      </c>
      <c r="L966" s="1" t="s">
        <v>23</v>
      </c>
      <c r="N966" s="2">
        <v>1126715</v>
      </c>
      <c r="O966" s="1" t="s">
        <v>24</v>
      </c>
    </row>
    <row r="968" spans="1:17" x14ac:dyDescent="0.2">
      <c r="A968" s="3"/>
      <c r="B968" s="3" t="s">
        <v>33</v>
      </c>
      <c r="C968" s="3" t="s">
        <v>394</v>
      </c>
      <c r="D968" s="3"/>
      <c r="E968" s="3"/>
      <c r="F968" s="3"/>
      <c r="G968" s="3"/>
      <c r="H968" s="3"/>
      <c r="I968" s="3"/>
      <c r="J968" s="3"/>
      <c r="K968" s="4">
        <v>4549833</v>
      </c>
      <c r="L968" s="3" t="s">
        <v>23</v>
      </c>
      <c r="M968" s="3"/>
      <c r="N968" s="4">
        <v>1126715</v>
      </c>
      <c r="O968" s="3" t="s">
        <v>24</v>
      </c>
      <c r="P968" s="3"/>
      <c r="Q968" s="3"/>
    </row>
    <row r="970" spans="1:17" x14ac:dyDescent="0.2">
      <c r="A970" s="1" t="s">
        <v>0</v>
      </c>
      <c r="F970" s="1">
        <v>501341</v>
      </c>
    </row>
    <row r="971" spans="1:17" x14ac:dyDescent="0.2">
      <c r="A971" s="1" t="s">
        <v>1</v>
      </c>
      <c r="F971" s="1" t="s">
        <v>2</v>
      </c>
    </row>
    <row r="973" spans="1:17" x14ac:dyDescent="0.2">
      <c r="A973" s="1" t="s">
        <v>3</v>
      </c>
      <c r="F973" s="1" t="s">
        <v>395</v>
      </c>
    </row>
    <row r="974" spans="1:17" x14ac:dyDescent="0.2">
      <c r="A974" s="1" t="s">
        <v>5</v>
      </c>
      <c r="F974" s="1" t="s">
        <v>221</v>
      </c>
    </row>
    <row r="977" spans="1:17" x14ac:dyDescent="0.2">
      <c r="C977" s="1" t="s">
        <v>7</v>
      </c>
      <c r="D977" s="1" t="s">
        <v>8</v>
      </c>
      <c r="E977" s="1" t="s">
        <v>9</v>
      </c>
      <c r="G977" s="1" t="s">
        <v>10</v>
      </c>
      <c r="H977" s="1" t="s">
        <v>11</v>
      </c>
      <c r="I977" s="1" t="s">
        <v>12</v>
      </c>
      <c r="J977" s="1" t="s">
        <v>13</v>
      </c>
      <c r="K977" s="1" t="s">
        <v>14</v>
      </c>
      <c r="L977" s="1" t="s">
        <v>15</v>
      </c>
      <c r="M977" s="1" t="s">
        <v>16</v>
      </c>
      <c r="N977" s="1" t="s">
        <v>17</v>
      </c>
      <c r="O977" s="1" t="s">
        <v>18</v>
      </c>
      <c r="P977" s="1" t="s">
        <v>19</v>
      </c>
      <c r="Q977" s="1" t="s">
        <v>20</v>
      </c>
    </row>
    <row r="979" spans="1:17" x14ac:dyDescent="0.2">
      <c r="D979" s="1" t="s">
        <v>21</v>
      </c>
      <c r="E979" s="1">
        <v>103527134</v>
      </c>
      <c r="G979" s="1" t="s">
        <v>39</v>
      </c>
      <c r="I979" s="1" t="s">
        <v>39</v>
      </c>
      <c r="K979" s="2">
        <v>2939001.09</v>
      </c>
      <c r="L979" s="1" t="s">
        <v>23</v>
      </c>
      <c r="N979" s="2">
        <v>729280.67</v>
      </c>
      <c r="O979" s="1" t="s">
        <v>24</v>
      </c>
      <c r="P979" s="1" t="s">
        <v>396</v>
      </c>
      <c r="Q979" s="1">
        <v>4.03</v>
      </c>
    </row>
    <row r="980" spans="1:17" x14ac:dyDescent="0.2">
      <c r="D980" s="1" t="s">
        <v>21</v>
      </c>
      <c r="E980" s="1">
        <v>103527266</v>
      </c>
      <c r="G980" s="1" t="s">
        <v>75</v>
      </c>
      <c r="I980" s="1" t="s">
        <v>75</v>
      </c>
      <c r="K980" s="2">
        <v>3424755.88</v>
      </c>
      <c r="L980" s="1" t="s">
        <v>23</v>
      </c>
      <c r="N980" s="2">
        <v>843120.6</v>
      </c>
      <c r="O980" s="1" t="s">
        <v>24</v>
      </c>
      <c r="P980" s="1" t="s">
        <v>397</v>
      </c>
      <c r="Q980" s="1">
        <v>4.0620000000000003</v>
      </c>
    </row>
    <row r="982" spans="1:17" x14ac:dyDescent="0.2">
      <c r="B982" s="1" t="s">
        <v>32</v>
      </c>
      <c r="K982" s="2">
        <v>6363756.9699999997</v>
      </c>
      <c r="L982" s="1" t="s">
        <v>23</v>
      </c>
      <c r="N982" s="2">
        <v>1572401.27</v>
      </c>
      <c r="O982" s="1" t="s">
        <v>24</v>
      </c>
    </row>
    <row r="984" spans="1:17" x14ac:dyDescent="0.2">
      <c r="A984" s="3"/>
      <c r="B984" s="3" t="s">
        <v>33</v>
      </c>
      <c r="C984" s="3" t="s">
        <v>398</v>
      </c>
      <c r="D984" s="3"/>
      <c r="E984" s="3"/>
      <c r="F984" s="3"/>
      <c r="G984" s="3"/>
      <c r="H984" s="3"/>
      <c r="I984" s="3"/>
      <c r="J984" s="3"/>
      <c r="K984" s="4">
        <v>6363756.9699999997</v>
      </c>
      <c r="L984" s="3" t="s">
        <v>23</v>
      </c>
      <c r="M984" s="3"/>
      <c r="N984" s="4">
        <v>1572401.27</v>
      </c>
      <c r="O984" s="3" t="s">
        <v>24</v>
      </c>
      <c r="P984" s="3"/>
      <c r="Q984" s="3"/>
    </row>
    <row r="986" spans="1:17" x14ac:dyDescent="0.2">
      <c r="A986" s="1" t="s">
        <v>0</v>
      </c>
      <c r="F986" s="1">
        <v>501342</v>
      </c>
    </row>
    <row r="987" spans="1:17" x14ac:dyDescent="0.2">
      <c r="A987" s="1" t="s">
        <v>1</v>
      </c>
      <c r="F987" s="1" t="s">
        <v>2</v>
      </c>
    </row>
    <row r="989" spans="1:17" x14ac:dyDescent="0.2">
      <c r="A989" s="1" t="s">
        <v>3</v>
      </c>
      <c r="F989" s="1" t="s">
        <v>389</v>
      </c>
    </row>
    <row r="990" spans="1:17" x14ac:dyDescent="0.2">
      <c r="A990" s="1" t="s">
        <v>5</v>
      </c>
      <c r="F990" s="1" t="s">
        <v>228</v>
      </c>
    </row>
    <row r="993" spans="1:17" x14ac:dyDescent="0.2">
      <c r="C993" s="1" t="s">
        <v>7</v>
      </c>
      <c r="D993" s="1" t="s">
        <v>8</v>
      </c>
      <c r="E993" s="1" t="s">
        <v>9</v>
      </c>
      <c r="G993" s="1" t="s">
        <v>10</v>
      </c>
      <c r="H993" s="1" t="s">
        <v>11</v>
      </c>
      <c r="I993" s="1" t="s">
        <v>12</v>
      </c>
      <c r="J993" s="1" t="s">
        <v>13</v>
      </c>
      <c r="K993" s="1" t="s">
        <v>14</v>
      </c>
      <c r="L993" s="1" t="s">
        <v>15</v>
      </c>
      <c r="M993" s="1" t="s">
        <v>16</v>
      </c>
      <c r="N993" s="1" t="s">
        <v>17</v>
      </c>
      <c r="O993" s="1" t="s">
        <v>18</v>
      </c>
      <c r="P993" s="1" t="s">
        <v>19</v>
      </c>
      <c r="Q993" s="1" t="s">
        <v>20</v>
      </c>
    </row>
    <row r="995" spans="1:17" x14ac:dyDescent="0.2">
      <c r="D995" s="1" t="s">
        <v>21</v>
      </c>
      <c r="E995" s="1">
        <v>103527411</v>
      </c>
      <c r="G995" s="1" t="s">
        <v>50</v>
      </c>
      <c r="I995" s="1" t="s">
        <v>50</v>
      </c>
      <c r="K995" s="2">
        <v>398722.5</v>
      </c>
      <c r="L995" s="1" t="s">
        <v>23</v>
      </c>
      <c r="N995" s="2">
        <v>99000</v>
      </c>
      <c r="O995" s="1" t="s">
        <v>24</v>
      </c>
      <c r="P995" s="1" t="s">
        <v>399</v>
      </c>
      <c r="Q995" s="1">
        <v>4.0274999999999999</v>
      </c>
    </row>
    <row r="996" spans="1:17" x14ac:dyDescent="0.2">
      <c r="D996" s="1" t="s">
        <v>21</v>
      </c>
      <c r="E996" s="1">
        <v>103527412</v>
      </c>
      <c r="G996" s="1" t="s">
        <v>50</v>
      </c>
      <c r="I996" s="1" t="s">
        <v>50</v>
      </c>
      <c r="K996" s="2">
        <v>647622</v>
      </c>
      <c r="L996" s="1" t="s">
        <v>23</v>
      </c>
      <c r="N996" s="2">
        <v>160800</v>
      </c>
      <c r="O996" s="1" t="s">
        <v>24</v>
      </c>
      <c r="P996" s="1" t="s">
        <v>400</v>
      </c>
      <c r="Q996" s="1">
        <v>4.0274999999999999</v>
      </c>
    </row>
    <row r="997" spans="1:17" x14ac:dyDescent="0.2">
      <c r="D997" s="1" t="s">
        <v>21</v>
      </c>
      <c r="E997" s="1">
        <v>103527432</v>
      </c>
      <c r="G997" s="1" t="s">
        <v>30</v>
      </c>
      <c r="I997" s="1" t="s">
        <v>30</v>
      </c>
      <c r="K997" s="2">
        <v>650802.9</v>
      </c>
      <c r="L997" s="1" t="s">
        <v>23</v>
      </c>
      <c r="N997" s="2">
        <v>161650</v>
      </c>
      <c r="O997" s="1" t="s">
        <v>24</v>
      </c>
      <c r="P997" s="1" t="s">
        <v>401</v>
      </c>
      <c r="Q997" s="1">
        <v>4.0259999999999998</v>
      </c>
    </row>
    <row r="999" spans="1:17" x14ac:dyDescent="0.2">
      <c r="B999" s="1" t="s">
        <v>32</v>
      </c>
      <c r="K999" s="2">
        <v>1697147.4</v>
      </c>
      <c r="L999" s="1" t="s">
        <v>23</v>
      </c>
      <c r="N999" s="2">
        <v>421450</v>
      </c>
      <c r="O999" s="1" t="s">
        <v>24</v>
      </c>
    </row>
    <row r="1001" spans="1:17" x14ac:dyDescent="0.2">
      <c r="A1001" s="3"/>
      <c r="B1001" s="3" t="s">
        <v>33</v>
      </c>
      <c r="C1001" s="3" t="s">
        <v>402</v>
      </c>
      <c r="D1001" s="3"/>
      <c r="E1001" s="3"/>
      <c r="F1001" s="3"/>
      <c r="G1001" s="3"/>
      <c r="H1001" s="3"/>
      <c r="I1001" s="3"/>
      <c r="J1001" s="3"/>
      <c r="K1001" s="4">
        <v>1697147.4</v>
      </c>
      <c r="L1001" s="3" t="s">
        <v>23</v>
      </c>
      <c r="M1001" s="3"/>
      <c r="N1001" s="4">
        <v>421450</v>
      </c>
      <c r="O1001" s="3" t="s">
        <v>24</v>
      </c>
      <c r="P1001" s="3"/>
      <c r="Q1001" s="3"/>
    </row>
    <row r="1003" spans="1:17" x14ac:dyDescent="0.2">
      <c r="A1003" s="1" t="s">
        <v>0</v>
      </c>
      <c r="F1003" s="1">
        <v>501343</v>
      </c>
    </row>
    <row r="1004" spans="1:17" x14ac:dyDescent="0.2">
      <c r="A1004" s="1" t="s">
        <v>1</v>
      </c>
      <c r="F1004" s="1" t="s">
        <v>2</v>
      </c>
    </row>
    <row r="1006" spans="1:17" x14ac:dyDescent="0.2">
      <c r="A1006" s="1" t="s">
        <v>3</v>
      </c>
      <c r="F1006" s="1" t="s">
        <v>403</v>
      </c>
    </row>
    <row r="1007" spans="1:17" x14ac:dyDescent="0.2">
      <c r="A1007" s="1" t="s">
        <v>5</v>
      </c>
      <c r="F1007" s="1" t="s">
        <v>404</v>
      </c>
    </row>
    <row r="1010" spans="1:17" x14ac:dyDescent="0.2">
      <c r="C1010" s="1" t="s">
        <v>7</v>
      </c>
      <c r="D1010" s="1" t="s">
        <v>8</v>
      </c>
      <c r="E1010" s="1" t="s">
        <v>9</v>
      </c>
      <c r="G1010" s="1" t="s">
        <v>10</v>
      </c>
      <c r="H1010" s="1" t="s">
        <v>11</v>
      </c>
      <c r="I1010" s="1" t="s">
        <v>12</v>
      </c>
      <c r="J1010" s="1" t="s">
        <v>13</v>
      </c>
      <c r="K1010" s="1" t="s">
        <v>14</v>
      </c>
      <c r="L1010" s="1" t="s">
        <v>15</v>
      </c>
      <c r="M1010" s="1" t="s">
        <v>16</v>
      </c>
      <c r="N1010" s="1" t="s">
        <v>17</v>
      </c>
      <c r="O1010" s="1" t="s">
        <v>18</v>
      </c>
      <c r="P1010" s="1" t="s">
        <v>19</v>
      </c>
      <c r="Q1010" s="1" t="s">
        <v>20</v>
      </c>
    </row>
    <row r="1012" spans="1:17" x14ac:dyDescent="0.2">
      <c r="D1012" s="1" t="s">
        <v>21</v>
      </c>
      <c r="E1012" s="1">
        <v>103527133</v>
      </c>
      <c r="G1012" s="1" t="s">
        <v>164</v>
      </c>
      <c r="I1012" s="1" t="s">
        <v>164</v>
      </c>
      <c r="K1012" s="2">
        <v>1689000.2</v>
      </c>
      <c r="L1012" s="1" t="s">
        <v>23</v>
      </c>
      <c r="N1012" s="2">
        <v>1689000.2</v>
      </c>
      <c r="O1012" s="1" t="s">
        <v>23</v>
      </c>
      <c r="P1012" s="1" t="s">
        <v>405</v>
      </c>
      <c r="Q1012" s="1">
        <v>1</v>
      </c>
    </row>
    <row r="1013" spans="1:17" x14ac:dyDescent="0.2">
      <c r="D1013" s="1" t="s">
        <v>21</v>
      </c>
      <c r="E1013" s="1">
        <v>103527279</v>
      </c>
      <c r="G1013" s="1" t="s">
        <v>58</v>
      </c>
      <c r="I1013" s="1" t="s">
        <v>58</v>
      </c>
      <c r="K1013" s="2">
        <v>429868</v>
      </c>
      <c r="L1013" s="1" t="s">
        <v>23</v>
      </c>
      <c r="N1013" s="2">
        <v>429868</v>
      </c>
      <c r="O1013" s="1" t="s">
        <v>23</v>
      </c>
      <c r="P1013" s="1" t="s">
        <v>406</v>
      </c>
      <c r="Q1013" s="1">
        <v>1</v>
      </c>
    </row>
    <row r="1015" spans="1:17" x14ac:dyDescent="0.2">
      <c r="B1015" s="1" t="s">
        <v>32</v>
      </c>
      <c r="K1015" s="2">
        <v>2118868.2000000002</v>
      </c>
      <c r="L1015" s="1" t="s">
        <v>23</v>
      </c>
      <c r="N1015" s="2">
        <v>2118868.2000000002</v>
      </c>
      <c r="O1015" s="1" t="s">
        <v>23</v>
      </c>
    </row>
    <row r="1017" spans="1:17" x14ac:dyDescent="0.2">
      <c r="A1017" s="3"/>
      <c r="B1017" s="3" t="s">
        <v>33</v>
      </c>
      <c r="C1017" s="3" t="s">
        <v>407</v>
      </c>
      <c r="D1017" s="3"/>
      <c r="E1017" s="3"/>
      <c r="F1017" s="3"/>
      <c r="G1017" s="3"/>
      <c r="H1017" s="3"/>
      <c r="I1017" s="3"/>
      <c r="J1017" s="3"/>
      <c r="K1017" s="4">
        <v>2118868.2000000002</v>
      </c>
      <c r="L1017" s="3" t="s">
        <v>23</v>
      </c>
      <c r="M1017" s="3"/>
      <c r="N1017" s="4">
        <v>2118868.2000000002</v>
      </c>
      <c r="O1017" s="3" t="s">
        <v>23</v>
      </c>
      <c r="P1017" s="3"/>
      <c r="Q1017" s="3"/>
    </row>
    <row r="1019" spans="1:17" x14ac:dyDescent="0.2">
      <c r="A1019" s="1" t="s">
        <v>0</v>
      </c>
      <c r="F1019" s="1">
        <v>501345</v>
      </c>
    </row>
    <row r="1020" spans="1:17" x14ac:dyDescent="0.2">
      <c r="A1020" s="1" t="s">
        <v>1</v>
      </c>
      <c r="F1020" s="1" t="s">
        <v>2</v>
      </c>
    </row>
    <row r="1022" spans="1:17" x14ac:dyDescent="0.2">
      <c r="A1022" s="1" t="s">
        <v>3</v>
      </c>
      <c r="F1022" s="1" t="s">
        <v>408</v>
      </c>
    </row>
    <row r="1023" spans="1:17" x14ac:dyDescent="0.2">
      <c r="A1023" s="1" t="s">
        <v>5</v>
      </c>
      <c r="F1023" s="1" t="s">
        <v>55</v>
      </c>
    </row>
    <row r="1026" spans="1:17" x14ac:dyDescent="0.2">
      <c r="C1026" s="1" t="s">
        <v>7</v>
      </c>
      <c r="D1026" s="1" t="s">
        <v>8</v>
      </c>
      <c r="E1026" s="1" t="s">
        <v>9</v>
      </c>
      <c r="G1026" s="1" t="s">
        <v>10</v>
      </c>
      <c r="H1026" s="1" t="s">
        <v>11</v>
      </c>
      <c r="I1026" s="1" t="s">
        <v>12</v>
      </c>
      <c r="J1026" s="1" t="s">
        <v>13</v>
      </c>
      <c r="K1026" s="1" t="s">
        <v>14</v>
      </c>
      <c r="L1026" s="1" t="s">
        <v>15</v>
      </c>
      <c r="M1026" s="1" t="s">
        <v>16</v>
      </c>
      <c r="N1026" s="1" t="s">
        <v>17</v>
      </c>
      <c r="O1026" s="1" t="s">
        <v>18</v>
      </c>
      <c r="P1026" s="1" t="s">
        <v>19</v>
      </c>
      <c r="Q1026" s="1" t="s">
        <v>20</v>
      </c>
    </row>
    <row r="1028" spans="1:17" x14ac:dyDescent="0.2">
      <c r="D1028" s="1" t="s">
        <v>21</v>
      </c>
      <c r="E1028" s="1">
        <v>103526946</v>
      </c>
      <c r="G1028" s="1" t="s">
        <v>39</v>
      </c>
      <c r="I1028" s="1" t="s">
        <v>39</v>
      </c>
      <c r="K1028" s="2">
        <v>350000</v>
      </c>
      <c r="L1028" s="1" t="s">
        <v>23</v>
      </c>
      <c r="N1028" s="2">
        <v>350000</v>
      </c>
      <c r="O1028" s="1" t="s">
        <v>23</v>
      </c>
      <c r="P1028" s="1" t="s">
        <v>409</v>
      </c>
      <c r="Q1028" s="1">
        <v>1</v>
      </c>
    </row>
    <row r="1029" spans="1:17" x14ac:dyDescent="0.2">
      <c r="D1029" s="1" t="s">
        <v>21</v>
      </c>
      <c r="E1029" s="1">
        <v>103526947</v>
      </c>
      <c r="G1029" s="1" t="s">
        <v>39</v>
      </c>
      <c r="I1029" s="1" t="s">
        <v>39</v>
      </c>
      <c r="K1029" s="2">
        <v>250000</v>
      </c>
      <c r="L1029" s="1" t="s">
        <v>23</v>
      </c>
      <c r="N1029" s="2">
        <v>250000</v>
      </c>
      <c r="O1029" s="1" t="s">
        <v>23</v>
      </c>
      <c r="P1029" s="1" t="s">
        <v>410</v>
      </c>
      <c r="Q1029" s="1">
        <v>1</v>
      </c>
    </row>
    <row r="1030" spans="1:17" x14ac:dyDescent="0.2">
      <c r="D1030" s="1" t="s">
        <v>21</v>
      </c>
      <c r="E1030" s="1">
        <v>103527421</v>
      </c>
      <c r="G1030" s="1" t="s">
        <v>30</v>
      </c>
      <c r="I1030" s="1" t="s">
        <v>30</v>
      </c>
      <c r="K1030" s="2">
        <v>253000</v>
      </c>
      <c r="L1030" s="1" t="s">
        <v>23</v>
      </c>
      <c r="N1030" s="2">
        <v>253000</v>
      </c>
      <c r="O1030" s="1" t="s">
        <v>23</v>
      </c>
      <c r="P1030" s="1" t="s">
        <v>411</v>
      </c>
      <c r="Q1030" s="1">
        <v>1</v>
      </c>
    </row>
    <row r="1031" spans="1:17" x14ac:dyDescent="0.2">
      <c r="D1031" s="1" t="s">
        <v>21</v>
      </c>
      <c r="E1031" s="1">
        <v>103527422</v>
      </c>
      <c r="G1031" s="1" t="s">
        <v>30</v>
      </c>
      <c r="I1031" s="1" t="s">
        <v>30</v>
      </c>
      <c r="K1031" s="2">
        <v>385000</v>
      </c>
      <c r="L1031" s="1" t="s">
        <v>23</v>
      </c>
      <c r="N1031" s="2">
        <v>385000</v>
      </c>
      <c r="O1031" s="1" t="s">
        <v>23</v>
      </c>
      <c r="P1031" s="1" t="s">
        <v>412</v>
      </c>
      <c r="Q1031" s="1">
        <v>1</v>
      </c>
    </row>
    <row r="1033" spans="1:17" x14ac:dyDescent="0.2">
      <c r="B1033" s="1" t="s">
        <v>32</v>
      </c>
      <c r="K1033" s="2">
        <v>1238000</v>
      </c>
      <c r="L1033" s="1" t="s">
        <v>23</v>
      </c>
      <c r="N1033" s="2">
        <v>1238000</v>
      </c>
      <c r="O1033" s="1" t="s">
        <v>23</v>
      </c>
    </row>
    <row r="1035" spans="1:17" x14ac:dyDescent="0.2">
      <c r="A1035" s="3"/>
      <c r="B1035" s="3" t="s">
        <v>33</v>
      </c>
      <c r="C1035" s="3" t="s">
        <v>413</v>
      </c>
      <c r="D1035" s="3"/>
      <c r="E1035" s="3"/>
      <c r="F1035" s="3"/>
      <c r="G1035" s="3"/>
      <c r="H1035" s="3"/>
      <c r="I1035" s="3"/>
      <c r="J1035" s="3"/>
      <c r="K1035" s="4">
        <v>1238000</v>
      </c>
      <c r="L1035" s="3" t="s">
        <v>23</v>
      </c>
      <c r="M1035" s="3"/>
      <c r="N1035" s="4">
        <v>1238000</v>
      </c>
      <c r="O1035" s="3" t="s">
        <v>23</v>
      </c>
      <c r="P1035" s="3"/>
      <c r="Q1035" s="3"/>
    </row>
    <row r="1037" spans="1:17" x14ac:dyDescent="0.2">
      <c r="A1037" s="1" t="s">
        <v>0</v>
      </c>
      <c r="F1037" s="1">
        <v>501349</v>
      </c>
    </row>
    <row r="1038" spans="1:17" x14ac:dyDescent="0.2">
      <c r="A1038" s="1" t="s">
        <v>1</v>
      </c>
      <c r="F1038" s="1" t="s">
        <v>2</v>
      </c>
    </row>
    <row r="1040" spans="1:17" x14ac:dyDescent="0.2">
      <c r="A1040" s="1" t="s">
        <v>3</v>
      </c>
      <c r="F1040" s="1" t="s">
        <v>414</v>
      </c>
    </row>
    <row r="1041" spans="1:17" x14ac:dyDescent="0.2">
      <c r="A1041" s="1" t="s">
        <v>5</v>
      </c>
      <c r="F1041" s="1" t="s">
        <v>415</v>
      </c>
    </row>
    <row r="1044" spans="1:17" x14ac:dyDescent="0.2">
      <c r="C1044" s="1" t="s">
        <v>7</v>
      </c>
      <c r="D1044" s="1" t="s">
        <v>8</v>
      </c>
      <c r="E1044" s="1" t="s">
        <v>9</v>
      </c>
      <c r="G1044" s="1" t="s">
        <v>10</v>
      </c>
      <c r="H1044" s="1" t="s">
        <v>11</v>
      </c>
      <c r="I1044" s="1" t="s">
        <v>12</v>
      </c>
      <c r="J1044" s="1" t="s">
        <v>13</v>
      </c>
      <c r="K1044" s="1" t="s">
        <v>14</v>
      </c>
      <c r="L1044" s="1" t="s">
        <v>15</v>
      </c>
      <c r="M1044" s="1" t="s">
        <v>16</v>
      </c>
      <c r="N1044" s="1" t="s">
        <v>17</v>
      </c>
      <c r="O1044" s="1" t="s">
        <v>18</v>
      </c>
      <c r="P1044" s="1" t="s">
        <v>19</v>
      </c>
      <c r="Q1044" s="1" t="s">
        <v>20</v>
      </c>
    </row>
    <row r="1046" spans="1:17" x14ac:dyDescent="0.2">
      <c r="D1046" s="1" t="s">
        <v>21</v>
      </c>
      <c r="E1046" s="1">
        <v>103527168</v>
      </c>
      <c r="G1046" s="1" t="s">
        <v>64</v>
      </c>
      <c r="I1046" s="1" t="s">
        <v>64</v>
      </c>
      <c r="K1046" s="2">
        <v>1873389.64</v>
      </c>
      <c r="L1046" s="1" t="s">
        <v>23</v>
      </c>
      <c r="N1046" s="2">
        <v>458433.78</v>
      </c>
      <c r="O1046" s="1" t="s">
        <v>24</v>
      </c>
      <c r="P1046" s="1" t="s">
        <v>416</v>
      </c>
      <c r="Q1046" s="1">
        <v>4.0865</v>
      </c>
    </row>
    <row r="1048" spans="1:17" x14ac:dyDescent="0.2">
      <c r="B1048" s="1" t="s">
        <v>32</v>
      </c>
      <c r="K1048" s="2">
        <v>1873389.64</v>
      </c>
      <c r="L1048" s="1" t="s">
        <v>23</v>
      </c>
      <c r="N1048" s="2">
        <v>458433.78</v>
      </c>
      <c r="O1048" s="1" t="s">
        <v>24</v>
      </c>
    </row>
    <row r="1050" spans="1:17" x14ac:dyDescent="0.2">
      <c r="A1050" s="3"/>
      <c r="B1050" s="3" t="s">
        <v>33</v>
      </c>
      <c r="C1050" s="3" t="s">
        <v>417</v>
      </c>
      <c r="D1050" s="3"/>
      <c r="E1050" s="3"/>
      <c r="F1050" s="3"/>
      <c r="G1050" s="3"/>
      <c r="H1050" s="3"/>
      <c r="I1050" s="3"/>
      <c r="J1050" s="3"/>
      <c r="K1050" s="4">
        <v>1873389.64</v>
      </c>
      <c r="L1050" s="3" t="s">
        <v>23</v>
      </c>
      <c r="M1050" s="3"/>
      <c r="N1050" s="4">
        <v>458433.78</v>
      </c>
      <c r="O1050" s="3" t="s">
        <v>24</v>
      </c>
      <c r="P1050" s="3"/>
      <c r="Q1050" s="3"/>
    </row>
    <row r="1052" spans="1:17" x14ac:dyDescent="0.2">
      <c r="A1052" s="1" t="s">
        <v>0</v>
      </c>
      <c r="F1052" s="1">
        <v>501356</v>
      </c>
    </row>
    <row r="1053" spans="1:17" x14ac:dyDescent="0.2">
      <c r="A1053" s="1" t="s">
        <v>1</v>
      </c>
      <c r="F1053" s="1" t="s">
        <v>2</v>
      </c>
    </row>
    <row r="1055" spans="1:17" x14ac:dyDescent="0.2">
      <c r="A1055" s="1" t="s">
        <v>3</v>
      </c>
      <c r="F1055" s="1" t="s">
        <v>78</v>
      </c>
    </row>
    <row r="1056" spans="1:17" x14ac:dyDescent="0.2">
      <c r="A1056" s="1" t="s">
        <v>5</v>
      </c>
      <c r="F1056" s="1" t="s">
        <v>221</v>
      </c>
    </row>
    <row r="1059" spans="1:17" x14ac:dyDescent="0.2">
      <c r="C1059" s="1" t="s">
        <v>7</v>
      </c>
      <c r="D1059" s="1" t="s">
        <v>8</v>
      </c>
      <c r="E1059" s="1" t="s">
        <v>9</v>
      </c>
      <c r="G1059" s="1" t="s">
        <v>10</v>
      </c>
      <c r="H1059" s="1" t="s">
        <v>11</v>
      </c>
      <c r="I1059" s="1" t="s">
        <v>12</v>
      </c>
      <c r="J1059" s="1" t="s">
        <v>13</v>
      </c>
      <c r="K1059" s="1" t="s">
        <v>14</v>
      </c>
      <c r="L1059" s="1" t="s">
        <v>15</v>
      </c>
      <c r="M1059" s="1" t="s">
        <v>16</v>
      </c>
      <c r="N1059" s="1" t="s">
        <v>17</v>
      </c>
      <c r="O1059" s="1" t="s">
        <v>18</v>
      </c>
      <c r="P1059" s="1" t="s">
        <v>19</v>
      </c>
      <c r="Q1059" s="1" t="s">
        <v>20</v>
      </c>
    </row>
    <row r="1061" spans="1:17" x14ac:dyDescent="0.2">
      <c r="D1061" s="1" t="s">
        <v>21</v>
      </c>
      <c r="E1061" s="1">
        <v>103526962</v>
      </c>
      <c r="G1061" s="1" t="s">
        <v>22</v>
      </c>
      <c r="I1061" s="1" t="s">
        <v>22</v>
      </c>
      <c r="K1061" s="2">
        <v>1205512</v>
      </c>
      <c r="L1061" s="1" t="s">
        <v>23</v>
      </c>
      <c r="N1061" s="2">
        <v>1205512</v>
      </c>
      <c r="O1061" s="1" t="s">
        <v>23</v>
      </c>
      <c r="P1061" s="1" t="s">
        <v>418</v>
      </c>
      <c r="Q1061" s="1">
        <v>1</v>
      </c>
    </row>
    <row r="1062" spans="1:17" x14ac:dyDescent="0.2">
      <c r="D1062" s="1" t="s">
        <v>21</v>
      </c>
      <c r="E1062" s="1">
        <v>103526963</v>
      </c>
      <c r="G1062" s="1" t="s">
        <v>22</v>
      </c>
      <c r="I1062" s="1" t="s">
        <v>22</v>
      </c>
      <c r="K1062" s="2">
        <v>757050</v>
      </c>
      <c r="L1062" s="1" t="s">
        <v>23</v>
      </c>
      <c r="N1062" s="2">
        <v>757050</v>
      </c>
      <c r="O1062" s="1" t="s">
        <v>23</v>
      </c>
      <c r="P1062" s="1" t="s">
        <v>419</v>
      </c>
      <c r="Q1062" s="1">
        <v>1</v>
      </c>
    </row>
    <row r="1063" spans="1:17" x14ac:dyDescent="0.2">
      <c r="D1063" s="1" t="s">
        <v>21</v>
      </c>
      <c r="E1063" s="1">
        <v>103526964</v>
      </c>
      <c r="G1063" s="1" t="s">
        <v>22</v>
      </c>
      <c r="I1063" s="1" t="s">
        <v>22</v>
      </c>
      <c r="K1063" s="2">
        <v>970672</v>
      </c>
      <c r="L1063" s="1" t="s">
        <v>23</v>
      </c>
      <c r="N1063" s="2">
        <v>970672</v>
      </c>
      <c r="O1063" s="1" t="s">
        <v>23</v>
      </c>
      <c r="P1063" s="1" t="s">
        <v>420</v>
      </c>
      <c r="Q1063" s="1">
        <v>1</v>
      </c>
    </row>
    <row r="1064" spans="1:17" x14ac:dyDescent="0.2">
      <c r="D1064" s="1" t="s">
        <v>21</v>
      </c>
      <c r="E1064" s="1">
        <v>103527245</v>
      </c>
      <c r="G1064" s="1" t="s">
        <v>48</v>
      </c>
      <c r="I1064" s="1" t="s">
        <v>48</v>
      </c>
      <c r="K1064" s="2">
        <v>708914.95</v>
      </c>
      <c r="L1064" s="1" t="s">
        <v>23</v>
      </c>
      <c r="N1064" s="2">
        <v>708914.95</v>
      </c>
      <c r="O1064" s="1" t="s">
        <v>23</v>
      </c>
      <c r="P1064" s="1" t="s">
        <v>421</v>
      </c>
      <c r="Q1064" s="1">
        <v>1</v>
      </c>
    </row>
    <row r="1066" spans="1:17" x14ac:dyDescent="0.2">
      <c r="B1066" s="1" t="s">
        <v>32</v>
      </c>
      <c r="K1066" s="2">
        <v>3642148.95</v>
      </c>
      <c r="L1066" s="1" t="s">
        <v>23</v>
      </c>
      <c r="N1066" s="2">
        <v>3642148.95</v>
      </c>
      <c r="O1066" s="1" t="s">
        <v>23</v>
      </c>
    </row>
    <row r="1068" spans="1:17" x14ac:dyDescent="0.2">
      <c r="A1068" s="3"/>
      <c r="B1068" s="3" t="s">
        <v>33</v>
      </c>
      <c r="C1068" s="3" t="s">
        <v>422</v>
      </c>
      <c r="D1068" s="3"/>
      <c r="E1068" s="3"/>
      <c r="F1068" s="3"/>
      <c r="G1068" s="3"/>
      <c r="H1068" s="3"/>
      <c r="I1068" s="3"/>
      <c r="J1068" s="3"/>
      <c r="K1068" s="4">
        <v>3642148.95</v>
      </c>
      <c r="L1068" s="3" t="s">
        <v>23</v>
      </c>
      <c r="M1068" s="3"/>
      <c r="N1068" s="4">
        <v>3642148.95</v>
      </c>
      <c r="O1068" s="3" t="s">
        <v>23</v>
      </c>
      <c r="P1068" s="3"/>
      <c r="Q1068" s="3"/>
    </row>
    <row r="1070" spans="1:17" x14ac:dyDescent="0.2">
      <c r="A1070" s="1" t="s">
        <v>0</v>
      </c>
      <c r="F1070" s="1">
        <v>501358</v>
      </c>
    </row>
    <row r="1071" spans="1:17" x14ac:dyDescent="0.2">
      <c r="A1071" s="1" t="s">
        <v>1</v>
      </c>
      <c r="F1071" s="1" t="s">
        <v>2</v>
      </c>
    </row>
    <row r="1073" spans="1:17" x14ac:dyDescent="0.2">
      <c r="A1073" s="1" t="s">
        <v>3</v>
      </c>
      <c r="F1073" s="1" t="s">
        <v>78</v>
      </c>
    </row>
    <row r="1074" spans="1:17" x14ac:dyDescent="0.2">
      <c r="A1074" s="1" t="s">
        <v>5</v>
      </c>
      <c r="F1074" s="1" t="s">
        <v>423</v>
      </c>
    </row>
    <row r="1077" spans="1:17" x14ac:dyDescent="0.2">
      <c r="C1077" s="1" t="s">
        <v>7</v>
      </c>
      <c r="D1077" s="1" t="s">
        <v>8</v>
      </c>
      <c r="E1077" s="1" t="s">
        <v>9</v>
      </c>
      <c r="G1077" s="1" t="s">
        <v>10</v>
      </c>
      <c r="H1077" s="1" t="s">
        <v>11</v>
      </c>
      <c r="I1077" s="1" t="s">
        <v>12</v>
      </c>
      <c r="J1077" s="1" t="s">
        <v>13</v>
      </c>
      <c r="K1077" s="1" t="s">
        <v>14</v>
      </c>
      <c r="L1077" s="1" t="s">
        <v>15</v>
      </c>
      <c r="M1077" s="1" t="s">
        <v>16</v>
      </c>
      <c r="N1077" s="1" t="s">
        <v>17</v>
      </c>
      <c r="O1077" s="1" t="s">
        <v>18</v>
      </c>
      <c r="P1077" s="1" t="s">
        <v>19</v>
      </c>
      <c r="Q1077" s="1" t="s">
        <v>20</v>
      </c>
    </row>
    <row r="1079" spans="1:17" x14ac:dyDescent="0.2">
      <c r="D1079" s="1" t="s">
        <v>21</v>
      </c>
      <c r="E1079" s="1">
        <v>103526965</v>
      </c>
      <c r="G1079" s="1" t="s">
        <v>22</v>
      </c>
      <c r="I1079" s="1" t="s">
        <v>22</v>
      </c>
      <c r="K1079" s="2">
        <v>1912446.5</v>
      </c>
      <c r="L1079" s="1" t="s">
        <v>23</v>
      </c>
      <c r="N1079" s="2">
        <v>467648</v>
      </c>
      <c r="O1079" s="1" t="s">
        <v>24</v>
      </c>
      <c r="P1079" s="1" t="s">
        <v>424</v>
      </c>
      <c r="Q1079" s="1">
        <v>4.0895000000000001</v>
      </c>
    </row>
    <row r="1080" spans="1:17" x14ac:dyDescent="0.2">
      <c r="D1080" s="1" t="s">
        <v>21</v>
      </c>
      <c r="E1080" s="1">
        <v>103526966</v>
      </c>
      <c r="G1080" s="1" t="s">
        <v>22</v>
      </c>
      <c r="I1080" s="1" t="s">
        <v>22</v>
      </c>
      <c r="K1080" s="2">
        <v>956223.25</v>
      </c>
      <c r="L1080" s="1" t="s">
        <v>23</v>
      </c>
      <c r="N1080" s="2">
        <v>233824</v>
      </c>
      <c r="O1080" s="1" t="s">
        <v>24</v>
      </c>
      <c r="P1080" s="1" t="s">
        <v>425</v>
      </c>
      <c r="Q1080" s="1">
        <v>4.0895000000000001</v>
      </c>
    </row>
    <row r="1081" spans="1:17" x14ac:dyDescent="0.2">
      <c r="D1081" s="1" t="s">
        <v>21</v>
      </c>
      <c r="E1081" s="1">
        <v>103526967</v>
      </c>
      <c r="G1081" s="1" t="s">
        <v>22</v>
      </c>
      <c r="I1081" s="1" t="s">
        <v>22</v>
      </c>
      <c r="K1081" s="2">
        <v>1434334.87</v>
      </c>
      <c r="L1081" s="1" t="s">
        <v>23</v>
      </c>
      <c r="N1081" s="2">
        <v>350736</v>
      </c>
      <c r="O1081" s="1" t="s">
        <v>24</v>
      </c>
      <c r="P1081" s="1" t="s">
        <v>426</v>
      </c>
      <c r="Q1081" s="1">
        <v>4.0895000000000001</v>
      </c>
    </row>
    <row r="1082" spans="1:17" x14ac:dyDescent="0.2">
      <c r="D1082" s="1" t="s">
        <v>21</v>
      </c>
      <c r="E1082" s="1">
        <v>103526986</v>
      </c>
      <c r="G1082" s="1" t="s">
        <v>26</v>
      </c>
      <c r="I1082" s="1" t="s">
        <v>26</v>
      </c>
      <c r="K1082" s="2">
        <v>2827255.43</v>
      </c>
      <c r="L1082" s="1" t="s">
        <v>23</v>
      </c>
      <c r="N1082" s="2">
        <v>691176</v>
      </c>
      <c r="O1082" s="1" t="s">
        <v>24</v>
      </c>
      <c r="P1082" s="1" t="s">
        <v>427</v>
      </c>
      <c r="Q1082" s="1">
        <v>4.0904999999999996</v>
      </c>
    </row>
    <row r="1083" spans="1:17" x14ac:dyDescent="0.2">
      <c r="D1083" s="1" t="s">
        <v>21</v>
      </c>
      <c r="E1083" s="1">
        <v>103526987</v>
      </c>
      <c r="G1083" s="1" t="s">
        <v>26</v>
      </c>
      <c r="I1083" s="1" t="s">
        <v>26</v>
      </c>
      <c r="K1083" s="2">
        <v>1410621.2</v>
      </c>
      <c r="L1083" s="1" t="s">
        <v>23</v>
      </c>
      <c r="N1083" s="2">
        <v>344853</v>
      </c>
      <c r="O1083" s="1" t="s">
        <v>24</v>
      </c>
      <c r="P1083" s="1" t="s">
        <v>428</v>
      </c>
      <c r="Q1083" s="1">
        <v>4.0904999999999996</v>
      </c>
    </row>
    <row r="1084" spans="1:17" x14ac:dyDescent="0.2">
      <c r="D1084" s="1" t="s">
        <v>21</v>
      </c>
      <c r="E1084" s="1">
        <v>103526988</v>
      </c>
      <c r="G1084" s="1" t="s">
        <v>26</v>
      </c>
      <c r="I1084" s="1" t="s">
        <v>26</v>
      </c>
      <c r="K1084" s="2">
        <v>942418.48</v>
      </c>
      <c r="L1084" s="1" t="s">
        <v>23</v>
      </c>
      <c r="N1084" s="2">
        <v>230392</v>
      </c>
      <c r="O1084" s="1" t="s">
        <v>24</v>
      </c>
      <c r="P1084" s="1" t="s">
        <v>429</v>
      </c>
      <c r="Q1084" s="1">
        <v>4.0904999999999996</v>
      </c>
    </row>
    <row r="1085" spans="1:17" x14ac:dyDescent="0.2">
      <c r="D1085" s="1" t="s">
        <v>21</v>
      </c>
      <c r="E1085" s="1">
        <v>103526989</v>
      </c>
      <c r="G1085" s="1" t="s">
        <v>26</v>
      </c>
      <c r="I1085" s="1" t="s">
        <v>26</v>
      </c>
      <c r="K1085" s="2">
        <v>1928948.9</v>
      </c>
      <c r="L1085" s="1" t="s">
        <v>23</v>
      </c>
      <c r="N1085" s="2">
        <v>471568</v>
      </c>
      <c r="O1085" s="1" t="s">
        <v>24</v>
      </c>
      <c r="P1085" s="1" t="s">
        <v>430</v>
      </c>
      <c r="Q1085" s="1">
        <v>4.0904999999999996</v>
      </c>
    </row>
    <row r="1086" spans="1:17" x14ac:dyDescent="0.2">
      <c r="D1086" s="1" t="s">
        <v>21</v>
      </c>
      <c r="E1086" s="1">
        <v>103526997</v>
      </c>
      <c r="G1086" s="1" t="s">
        <v>86</v>
      </c>
      <c r="I1086" s="1" t="s">
        <v>86</v>
      </c>
      <c r="K1086" s="2">
        <v>801643.2</v>
      </c>
      <c r="L1086" s="1" t="s">
        <v>23</v>
      </c>
      <c r="N1086" s="2">
        <v>195833.2</v>
      </c>
      <c r="O1086" s="1" t="s">
        <v>24</v>
      </c>
      <c r="P1086" s="1" t="s">
        <v>431</v>
      </c>
      <c r="Q1086" s="1">
        <v>4.0934999999999997</v>
      </c>
    </row>
    <row r="1088" spans="1:17" x14ac:dyDescent="0.2">
      <c r="B1088" s="1" t="s">
        <v>32</v>
      </c>
      <c r="K1088" s="2">
        <v>12213891.83</v>
      </c>
      <c r="L1088" s="1" t="s">
        <v>23</v>
      </c>
      <c r="N1088" s="2">
        <v>2986030.2</v>
      </c>
      <c r="O1088" s="1" t="s">
        <v>24</v>
      </c>
    </row>
    <row r="1090" spans="1:17" x14ac:dyDescent="0.2">
      <c r="A1090" s="3"/>
      <c r="B1090" s="3" t="s">
        <v>33</v>
      </c>
      <c r="C1090" s="3" t="s">
        <v>432</v>
      </c>
      <c r="D1090" s="3"/>
      <c r="E1090" s="3"/>
      <c r="F1090" s="3"/>
      <c r="G1090" s="3"/>
      <c r="H1090" s="3"/>
      <c r="I1090" s="3"/>
      <c r="J1090" s="3"/>
      <c r="K1090" s="4">
        <v>12213891.83</v>
      </c>
      <c r="L1090" s="3" t="s">
        <v>23</v>
      </c>
      <c r="M1090" s="3"/>
      <c r="N1090" s="4">
        <v>2986030.2</v>
      </c>
      <c r="O1090" s="3" t="s">
        <v>24</v>
      </c>
      <c r="P1090" s="3"/>
      <c r="Q1090" s="3"/>
    </row>
    <row r="1092" spans="1:17" x14ac:dyDescent="0.2">
      <c r="A1092" s="1" t="s">
        <v>0</v>
      </c>
      <c r="F1092" s="1">
        <v>501359</v>
      </c>
    </row>
    <row r="1093" spans="1:17" x14ac:dyDescent="0.2">
      <c r="A1093" s="1" t="s">
        <v>1</v>
      </c>
      <c r="F1093" s="1" t="s">
        <v>2</v>
      </c>
    </row>
    <row r="1095" spans="1:17" x14ac:dyDescent="0.2">
      <c r="A1095" s="1" t="s">
        <v>3</v>
      </c>
      <c r="F1095" s="1" t="s">
        <v>433</v>
      </c>
    </row>
    <row r="1096" spans="1:17" x14ac:dyDescent="0.2">
      <c r="A1096" s="1" t="s">
        <v>5</v>
      </c>
      <c r="F1096" s="1" t="s">
        <v>434</v>
      </c>
    </row>
    <row r="1099" spans="1:17" x14ac:dyDescent="0.2">
      <c r="C1099" s="1" t="s">
        <v>7</v>
      </c>
      <c r="D1099" s="1" t="s">
        <v>8</v>
      </c>
      <c r="E1099" s="1" t="s">
        <v>9</v>
      </c>
      <c r="G1099" s="1" t="s">
        <v>10</v>
      </c>
      <c r="H1099" s="1" t="s">
        <v>11</v>
      </c>
      <c r="I1099" s="1" t="s">
        <v>12</v>
      </c>
      <c r="J1099" s="1" t="s">
        <v>13</v>
      </c>
      <c r="K1099" s="1" t="s">
        <v>14</v>
      </c>
      <c r="L1099" s="1" t="s">
        <v>15</v>
      </c>
      <c r="M1099" s="1" t="s">
        <v>16</v>
      </c>
      <c r="N1099" s="1" t="s">
        <v>17</v>
      </c>
      <c r="O1099" s="1" t="s">
        <v>18</v>
      </c>
      <c r="P1099" s="1" t="s">
        <v>19</v>
      </c>
      <c r="Q1099" s="1" t="s">
        <v>20</v>
      </c>
    </row>
    <row r="1101" spans="1:17" x14ac:dyDescent="0.2">
      <c r="D1101" s="1" t="s">
        <v>21</v>
      </c>
      <c r="E1101" s="1">
        <v>103527170</v>
      </c>
      <c r="G1101" s="1" t="s">
        <v>64</v>
      </c>
      <c r="I1101" s="1" t="s">
        <v>64</v>
      </c>
      <c r="K1101" s="2">
        <v>2092416.94</v>
      </c>
      <c r="L1101" s="1" t="s">
        <v>23</v>
      </c>
      <c r="N1101" s="2">
        <v>2092416.94</v>
      </c>
      <c r="O1101" s="1" t="s">
        <v>23</v>
      </c>
      <c r="P1101" s="1" t="s">
        <v>435</v>
      </c>
      <c r="Q1101" s="1">
        <v>1</v>
      </c>
    </row>
    <row r="1103" spans="1:17" x14ac:dyDescent="0.2">
      <c r="B1103" s="1" t="s">
        <v>32</v>
      </c>
      <c r="K1103" s="2">
        <v>2092416.94</v>
      </c>
      <c r="L1103" s="1" t="s">
        <v>23</v>
      </c>
      <c r="N1103" s="2">
        <v>2092416.94</v>
      </c>
      <c r="O1103" s="1" t="s">
        <v>23</v>
      </c>
    </row>
    <row r="1105" spans="1:17" x14ac:dyDescent="0.2">
      <c r="A1105" s="3"/>
      <c r="B1105" s="3" t="s">
        <v>33</v>
      </c>
      <c r="C1105" s="3" t="s">
        <v>436</v>
      </c>
      <c r="D1105" s="3"/>
      <c r="E1105" s="3"/>
      <c r="F1105" s="3"/>
      <c r="G1105" s="3"/>
      <c r="H1105" s="3"/>
      <c r="I1105" s="3"/>
      <c r="J1105" s="3"/>
      <c r="K1105" s="4">
        <v>2092416.94</v>
      </c>
      <c r="L1105" s="3" t="s">
        <v>23</v>
      </c>
      <c r="M1105" s="3"/>
      <c r="N1105" s="4">
        <v>2092416.94</v>
      </c>
      <c r="O1105" s="3" t="s">
        <v>23</v>
      </c>
      <c r="P1105" s="3"/>
      <c r="Q1105" s="3"/>
    </row>
    <row r="1107" spans="1:17" x14ac:dyDescent="0.2">
      <c r="A1107" s="1" t="s">
        <v>0</v>
      </c>
      <c r="F1107" s="1">
        <v>501360</v>
      </c>
    </row>
    <row r="1108" spans="1:17" x14ac:dyDescent="0.2">
      <c r="A1108" s="1" t="s">
        <v>1</v>
      </c>
      <c r="F1108" s="1" t="s">
        <v>2</v>
      </c>
    </row>
    <row r="1110" spans="1:17" x14ac:dyDescent="0.2">
      <c r="A1110" s="1" t="s">
        <v>3</v>
      </c>
      <c r="F1110" s="1" t="s">
        <v>433</v>
      </c>
    </row>
    <row r="1111" spans="1:17" x14ac:dyDescent="0.2">
      <c r="A1111" s="1" t="s">
        <v>5</v>
      </c>
      <c r="F1111" s="1" t="s">
        <v>437</v>
      </c>
    </row>
    <row r="1114" spans="1:17" x14ac:dyDescent="0.2">
      <c r="C1114" s="1" t="s">
        <v>7</v>
      </c>
      <c r="D1114" s="1" t="s">
        <v>8</v>
      </c>
      <c r="E1114" s="1" t="s">
        <v>9</v>
      </c>
      <c r="G1114" s="1" t="s">
        <v>10</v>
      </c>
      <c r="H1114" s="1" t="s">
        <v>11</v>
      </c>
      <c r="I1114" s="1" t="s">
        <v>12</v>
      </c>
      <c r="J1114" s="1" t="s">
        <v>13</v>
      </c>
      <c r="K1114" s="1" t="s">
        <v>14</v>
      </c>
      <c r="L1114" s="1" t="s">
        <v>15</v>
      </c>
      <c r="M1114" s="1" t="s">
        <v>16</v>
      </c>
      <c r="N1114" s="1" t="s">
        <v>17</v>
      </c>
      <c r="O1114" s="1" t="s">
        <v>18</v>
      </c>
      <c r="P1114" s="1" t="s">
        <v>19</v>
      </c>
      <c r="Q1114" s="1" t="s">
        <v>20</v>
      </c>
    </row>
    <row r="1116" spans="1:17" x14ac:dyDescent="0.2">
      <c r="D1116" s="1" t="s">
        <v>21</v>
      </c>
      <c r="E1116" s="1">
        <v>103540064</v>
      </c>
      <c r="G1116" s="1" t="s">
        <v>64</v>
      </c>
      <c r="I1116" s="1" t="s">
        <v>64</v>
      </c>
      <c r="K1116" s="2">
        <v>1023090.59</v>
      </c>
      <c r="L1116" s="1" t="s">
        <v>23</v>
      </c>
      <c r="N1116" s="2">
        <v>1023090.59</v>
      </c>
      <c r="O1116" s="1" t="s">
        <v>23</v>
      </c>
      <c r="P1116" s="1" t="s">
        <v>438</v>
      </c>
      <c r="Q1116" s="1">
        <v>1</v>
      </c>
    </row>
    <row r="1118" spans="1:17" x14ac:dyDescent="0.2">
      <c r="B1118" s="1" t="s">
        <v>32</v>
      </c>
      <c r="K1118" s="2">
        <v>1023090.59</v>
      </c>
      <c r="L1118" s="1" t="s">
        <v>23</v>
      </c>
      <c r="N1118" s="2">
        <v>1023090.59</v>
      </c>
      <c r="O1118" s="1" t="s">
        <v>23</v>
      </c>
    </row>
    <row r="1120" spans="1:17" x14ac:dyDescent="0.2">
      <c r="A1120" s="3"/>
      <c r="B1120" s="3" t="s">
        <v>33</v>
      </c>
      <c r="C1120" s="3" t="s">
        <v>439</v>
      </c>
      <c r="D1120" s="3"/>
      <c r="E1120" s="3"/>
      <c r="F1120" s="3"/>
      <c r="G1120" s="3"/>
      <c r="H1120" s="3"/>
      <c r="I1120" s="3"/>
      <c r="J1120" s="3"/>
      <c r="K1120" s="4">
        <v>1023090.59</v>
      </c>
      <c r="L1120" s="3" t="s">
        <v>23</v>
      </c>
      <c r="M1120" s="3"/>
      <c r="N1120" s="4">
        <v>1023090.59</v>
      </c>
      <c r="O1120" s="3" t="s">
        <v>23</v>
      </c>
      <c r="P1120" s="3"/>
      <c r="Q1120" s="3"/>
    </row>
    <row r="1122" spans="1:17" x14ac:dyDescent="0.2">
      <c r="A1122" s="1" t="s">
        <v>0</v>
      </c>
      <c r="F1122" s="1">
        <v>501361</v>
      </c>
    </row>
    <row r="1123" spans="1:17" x14ac:dyDescent="0.2">
      <c r="A1123" s="1" t="s">
        <v>1</v>
      </c>
      <c r="F1123" s="1" t="s">
        <v>2</v>
      </c>
    </row>
    <row r="1125" spans="1:17" x14ac:dyDescent="0.2">
      <c r="A1125" s="1" t="s">
        <v>3</v>
      </c>
      <c r="F1125" s="1" t="s">
        <v>440</v>
      </c>
    </row>
    <row r="1126" spans="1:17" x14ac:dyDescent="0.2">
      <c r="A1126" s="1" t="s">
        <v>5</v>
      </c>
      <c r="F1126" s="1" t="s">
        <v>221</v>
      </c>
    </row>
    <row r="1129" spans="1:17" x14ac:dyDescent="0.2">
      <c r="C1129" s="1" t="s">
        <v>7</v>
      </c>
      <c r="D1129" s="1" t="s">
        <v>8</v>
      </c>
      <c r="E1129" s="1" t="s">
        <v>9</v>
      </c>
      <c r="G1129" s="1" t="s">
        <v>10</v>
      </c>
      <c r="H1129" s="1" t="s">
        <v>11</v>
      </c>
      <c r="I1129" s="1" t="s">
        <v>12</v>
      </c>
      <c r="J1129" s="1" t="s">
        <v>13</v>
      </c>
      <c r="K1129" s="1" t="s">
        <v>14</v>
      </c>
      <c r="L1129" s="1" t="s">
        <v>15</v>
      </c>
      <c r="M1129" s="1" t="s">
        <v>16</v>
      </c>
      <c r="N1129" s="1" t="s">
        <v>17</v>
      </c>
      <c r="O1129" s="1" t="s">
        <v>18</v>
      </c>
      <c r="P1129" s="1" t="s">
        <v>19</v>
      </c>
      <c r="Q1129" s="1" t="s">
        <v>20</v>
      </c>
    </row>
    <row r="1131" spans="1:17" x14ac:dyDescent="0.2">
      <c r="D1131" s="1" t="s">
        <v>21</v>
      </c>
      <c r="E1131" s="1">
        <v>103527431</v>
      </c>
      <c r="G1131" s="1" t="s">
        <v>30</v>
      </c>
      <c r="I1131" s="1" t="s">
        <v>30</v>
      </c>
      <c r="K1131" s="2">
        <v>4026000</v>
      </c>
      <c r="L1131" s="1" t="s">
        <v>23</v>
      </c>
      <c r="N1131" s="2">
        <v>1000000</v>
      </c>
      <c r="O1131" s="1" t="s">
        <v>24</v>
      </c>
      <c r="P1131" s="1" t="s">
        <v>441</v>
      </c>
      <c r="Q1131" s="1">
        <v>4.0259999999999998</v>
      </c>
    </row>
    <row r="1133" spans="1:17" x14ac:dyDescent="0.2">
      <c r="B1133" s="1" t="s">
        <v>32</v>
      </c>
      <c r="K1133" s="2">
        <v>4026000</v>
      </c>
      <c r="L1133" s="1" t="s">
        <v>23</v>
      </c>
      <c r="N1133" s="2">
        <v>1000000</v>
      </c>
      <c r="O1133" s="1" t="s">
        <v>24</v>
      </c>
    </row>
    <row r="1135" spans="1:17" x14ac:dyDescent="0.2">
      <c r="A1135" s="3"/>
      <c r="B1135" s="3" t="s">
        <v>33</v>
      </c>
      <c r="C1135" s="3" t="s">
        <v>442</v>
      </c>
      <c r="D1135" s="3"/>
      <c r="E1135" s="3"/>
      <c r="F1135" s="3"/>
      <c r="G1135" s="3"/>
      <c r="H1135" s="3"/>
      <c r="I1135" s="3"/>
      <c r="J1135" s="3"/>
      <c r="K1135" s="4">
        <v>4026000</v>
      </c>
      <c r="L1135" s="3" t="s">
        <v>23</v>
      </c>
      <c r="M1135" s="3"/>
      <c r="N1135" s="4">
        <v>1000000</v>
      </c>
      <c r="O1135" s="3" t="s">
        <v>24</v>
      </c>
      <c r="P1135" s="3"/>
      <c r="Q1135" s="3"/>
    </row>
    <row r="1137" spans="1:17" x14ac:dyDescent="0.2">
      <c r="A1137" s="1" t="s">
        <v>0</v>
      </c>
      <c r="F1137" s="1" t="s">
        <v>32</v>
      </c>
    </row>
    <row r="1138" spans="1:17" x14ac:dyDescent="0.2">
      <c r="A1138" s="1" t="s">
        <v>1</v>
      </c>
      <c r="F1138" s="1" t="s">
        <v>32</v>
      </c>
    </row>
    <row r="1140" spans="1:17" x14ac:dyDescent="0.2">
      <c r="A1140" s="1" t="s">
        <v>3</v>
      </c>
      <c r="F1140" s="1" t="s">
        <v>32</v>
      </c>
    </row>
    <row r="1141" spans="1:17" x14ac:dyDescent="0.2">
      <c r="A1141" s="1" t="s">
        <v>5</v>
      </c>
      <c r="F1141" s="1" t="s">
        <v>32</v>
      </c>
    </row>
    <row r="1144" spans="1:17" x14ac:dyDescent="0.2">
      <c r="C1144" s="1" t="s">
        <v>7</v>
      </c>
      <c r="D1144" s="1" t="s">
        <v>8</v>
      </c>
      <c r="E1144" s="1" t="s">
        <v>9</v>
      </c>
      <c r="G1144" s="1" t="s">
        <v>10</v>
      </c>
      <c r="H1144" s="1" t="s">
        <v>11</v>
      </c>
      <c r="I1144" s="1" t="s">
        <v>12</v>
      </c>
      <c r="J1144" s="1" t="s">
        <v>13</v>
      </c>
      <c r="K1144" s="1" t="s">
        <v>14</v>
      </c>
      <c r="L1144" s="1" t="s">
        <v>15</v>
      </c>
      <c r="M1144" s="1" t="s">
        <v>16</v>
      </c>
      <c r="N1144" s="1" t="s">
        <v>17</v>
      </c>
      <c r="O1144" s="1" t="s">
        <v>18</v>
      </c>
      <c r="P1144" s="1" t="s">
        <v>19</v>
      </c>
      <c r="Q1144" s="1" t="s">
        <v>20</v>
      </c>
    </row>
    <row r="1146" spans="1:17" x14ac:dyDescent="0.2">
      <c r="B1146" s="1" t="s">
        <v>443</v>
      </c>
      <c r="K1146" s="2">
        <v>356275674.73000002</v>
      </c>
      <c r="L1146" s="1" t="s">
        <v>23</v>
      </c>
      <c r="N1146" s="2">
        <v>229362532.91999999</v>
      </c>
      <c r="O1146" s="1" t="s">
        <v>23</v>
      </c>
    </row>
    <row r="1147" spans="1:17" x14ac:dyDescent="0.2">
      <c r="N1147" s="2">
        <v>31331488.420000002</v>
      </c>
      <c r="O1147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8DB5-C7DD-4E9C-9563-9DFD4DBA1E38}">
  <dimension ref="A2:Q1828"/>
  <sheetViews>
    <sheetView workbookViewId="0"/>
  </sheetViews>
  <sheetFormatPr defaultRowHeight="11.4" x14ac:dyDescent="0.2"/>
  <cols>
    <col min="1" max="4" width="8.88671875" style="1"/>
    <col min="5" max="5" width="12.109375" style="1" bestFit="1" customWidth="1"/>
    <col min="6" max="6" width="9" style="1" bestFit="1" customWidth="1"/>
    <col min="7" max="10" width="8.88671875" style="1"/>
    <col min="11" max="11" width="15.88671875" style="1" bestFit="1" customWidth="1"/>
    <col min="12" max="13" width="8.88671875" style="1"/>
    <col min="14" max="14" width="15.88671875" style="1" bestFit="1" customWidth="1"/>
    <col min="15" max="16" width="8.88671875" style="1"/>
    <col min="17" max="17" width="9" style="1" bestFit="1" customWidth="1"/>
    <col min="18" max="16384" width="8.88671875" style="1"/>
  </cols>
  <sheetData>
    <row r="2" spans="1:17" x14ac:dyDescent="0.2">
      <c r="A2" s="1" t="s">
        <v>0</v>
      </c>
      <c r="F2" s="1">
        <v>500605</v>
      </c>
    </row>
    <row r="3" spans="1:17" x14ac:dyDescent="0.2">
      <c r="A3" s="1" t="s">
        <v>1</v>
      </c>
      <c r="F3" s="1" t="s">
        <v>2</v>
      </c>
    </row>
    <row r="5" spans="1:17" x14ac:dyDescent="0.2">
      <c r="A5" s="1" t="s">
        <v>3</v>
      </c>
      <c r="F5" s="1" t="s">
        <v>4</v>
      </c>
    </row>
    <row r="6" spans="1:17" x14ac:dyDescent="0.2">
      <c r="A6" s="1" t="s">
        <v>5</v>
      </c>
      <c r="F6" s="1" t="s">
        <v>6</v>
      </c>
    </row>
    <row r="9" spans="1:17" x14ac:dyDescent="0.2">
      <c r="C9" s="1" t="s">
        <v>7</v>
      </c>
      <c r="D9" s="1" t="s">
        <v>8</v>
      </c>
      <c r="E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</row>
    <row r="11" spans="1:17" x14ac:dyDescent="0.2">
      <c r="D11" s="1" t="s">
        <v>444</v>
      </c>
      <c r="E11" s="1">
        <v>1400015713</v>
      </c>
      <c r="G11" s="1" t="s">
        <v>39</v>
      </c>
      <c r="I11" s="1" t="s">
        <v>39</v>
      </c>
      <c r="K11" s="2">
        <v>-418272.39</v>
      </c>
      <c r="L11" s="1" t="s">
        <v>23</v>
      </c>
      <c r="N11" s="2">
        <v>-102167.17</v>
      </c>
      <c r="O11" s="1" t="s">
        <v>24</v>
      </c>
      <c r="P11" s="1" t="s">
        <v>445</v>
      </c>
      <c r="Q11" s="1">
        <v>4.0940000000000003</v>
      </c>
    </row>
    <row r="12" spans="1:17" x14ac:dyDescent="0.2">
      <c r="D12" s="1" t="s">
        <v>444</v>
      </c>
      <c r="E12" s="1">
        <v>1400015713</v>
      </c>
      <c r="G12" s="1" t="s">
        <v>39</v>
      </c>
      <c r="I12" s="1" t="s">
        <v>39</v>
      </c>
      <c r="K12" s="2">
        <v>-1338125.78</v>
      </c>
      <c r="L12" s="1" t="s">
        <v>23</v>
      </c>
      <c r="N12" s="2">
        <v>-326850.46000000002</v>
      </c>
      <c r="O12" s="1" t="s">
        <v>24</v>
      </c>
      <c r="P12" s="1" t="s">
        <v>446</v>
      </c>
      <c r="Q12" s="1">
        <v>4.0940000000000003</v>
      </c>
    </row>
    <row r="13" spans="1:17" x14ac:dyDescent="0.2">
      <c r="D13" s="1" t="s">
        <v>444</v>
      </c>
      <c r="E13" s="1">
        <v>1400015715</v>
      </c>
      <c r="G13" s="1" t="s">
        <v>22</v>
      </c>
      <c r="I13" s="1" t="s">
        <v>22</v>
      </c>
      <c r="K13" s="2">
        <v>-1170208.54</v>
      </c>
      <c r="L13" s="1" t="s">
        <v>23</v>
      </c>
      <c r="N13" s="2">
        <v>-286149.53999999998</v>
      </c>
      <c r="O13" s="1" t="s">
        <v>24</v>
      </c>
      <c r="P13" s="1" t="s">
        <v>446</v>
      </c>
      <c r="Q13" s="1">
        <v>4.0895000000000001</v>
      </c>
    </row>
    <row r="14" spans="1:17" x14ac:dyDescent="0.2">
      <c r="D14" s="1" t="s">
        <v>444</v>
      </c>
      <c r="E14" s="1">
        <v>1400015715</v>
      </c>
      <c r="G14" s="1" t="s">
        <v>22</v>
      </c>
      <c r="I14" s="1" t="s">
        <v>22</v>
      </c>
      <c r="K14" s="2">
        <v>-740947.67</v>
      </c>
      <c r="L14" s="1" t="s">
        <v>23</v>
      </c>
      <c r="N14" s="2">
        <v>-181182.95</v>
      </c>
      <c r="O14" s="1" t="s">
        <v>24</v>
      </c>
      <c r="P14" s="1" t="s">
        <v>447</v>
      </c>
      <c r="Q14" s="1">
        <v>4.0895000000000001</v>
      </c>
    </row>
    <row r="15" spans="1:17" x14ac:dyDescent="0.2">
      <c r="D15" s="1" t="s">
        <v>444</v>
      </c>
      <c r="E15" s="1">
        <v>1400015724</v>
      </c>
      <c r="G15" s="1" t="s">
        <v>42</v>
      </c>
      <c r="I15" s="1" t="s">
        <v>42</v>
      </c>
      <c r="K15" s="2">
        <v>-1928316.28</v>
      </c>
      <c r="L15" s="1" t="s">
        <v>23</v>
      </c>
      <c r="N15" s="2">
        <v>-471817.05</v>
      </c>
      <c r="O15" s="1" t="s">
        <v>24</v>
      </c>
      <c r="P15" s="1" t="s">
        <v>447</v>
      </c>
      <c r="Q15" s="1">
        <v>4.0869999999999997</v>
      </c>
    </row>
    <row r="16" spans="1:17" x14ac:dyDescent="0.2">
      <c r="D16" s="1" t="s">
        <v>444</v>
      </c>
      <c r="E16" s="1">
        <v>1400015810</v>
      </c>
      <c r="G16" s="1" t="s">
        <v>50</v>
      </c>
      <c r="I16" s="1" t="s">
        <v>50</v>
      </c>
      <c r="K16" s="2">
        <v>-1667385</v>
      </c>
      <c r="L16" s="1" t="s">
        <v>23</v>
      </c>
      <c r="N16" s="2">
        <v>-414000</v>
      </c>
      <c r="O16" s="1" t="s">
        <v>24</v>
      </c>
      <c r="P16" s="1" t="s">
        <v>448</v>
      </c>
      <c r="Q16" s="1">
        <v>4.0274999999999999</v>
      </c>
    </row>
    <row r="18" spans="1:17" x14ac:dyDescent="0.2">
      <c r="B18" s="1" t="s">
        <v>32</v>
      </c>
      <c r="K18" s="2">
        <v>-7263255.6600000001</v>
      </c>
      <c r="L18" s="1" t="s">
        <v>23</v>
      </c>
      <c r="N18" s="2">
        <v>-1782167.17</v>
      </c>
      <c r="O18" s="1" t="s">
        <v>24</v>
      </c>
    </row>
    <row r="20" spans="1:17" x14ac:dyDescent="0.2">
      <c r="A20" s="3"/>
      <c r="B20" s="3" t="s">
        <v>33</v>
      </c>
      <c r="C20" s="3" t="s">
        <v>34</v>
      </c>
      <c r="D20" s="3"/>
      <c r="E20" s="3"/>
      <c r="F20" s="3"/>
      <c r="G20" s="3"/>
      <c r="H20" s="3"/>
      <c r="I20" s="3"/>
      <c r="J20" s="3"/>
      <c r="K20" s="4">
        <v>-7263255.6600000001</v>
      </c>
      <c r="L20" s="3" t="s">
        <v>23</v>
      </c>
      <c r="M20" s="3"/>
      <c r="N20" s="4">
        <v>-1782167.17</v>
      </c>
      <c r="O20" s="3" t="s">
        <v>24</v>
      </c>
      <c r="P20" s="3"/>
      <c r="Q20" s="3"/>
    </row>
    <row r="22" spans="1:17" x14ac:dyDescent="0.2">
      <c r="A22" s="1" t="s">
        <v>0</v>
      </c>
      <c r="F22" s="1">
        <v>500783</v>
      </c>
    </row>
    <row r="23" spans="1:17" x14ac:dyDescent="0.2">
      <c r="A23" s="1" t="s">
        <v>1</v>
      </c>
      <c r="F23" s="1" t="s">
        <v>2</v>
      </c>
    </row>
    <row r="25" spans="1:17" x14ac:dyDescent="0.2">
      <c r="A25" s="1" t="s">
        <v>3</v>
      </c>
      <c r="F25" s="1" t="s">
        <v>35</v>
      </c>
    </row>
    <row r="26" spans="1:17" x14ac:dyDescent="0.2">
      <c r="A26" s="1" t="s">
        <v>5</v>
      </c>
    </row>
    <row r="29" spans="1:17" x14ac:dyDescent="0.2">
      <c r="C29" s="1" t="s">
        <v>7</v>
      </c>
      <c r="D29" s="1" t="s">
        <v>8</v>
      </c>
      <c r="E29" s="1" t="s">
        <v>9</v>
      </c>
      <c r="G29" s="1" t="s">
        <v>10</v>
      </c>
      <c r="H29" s="1" t="s">
        <v>11</v>
      </c>
      <c r="I29" s="1" t="s">
        <v>12</v>
      </c>
      <c r="J29" s="1" t="s">
        <v>13</v>
      </c>
      <c r="K29" s="1" t="s">
        <v>14</v>
      </c>
      <c r="L29" s="1" t="s">
        <v>15</v>
      </c>
      <c r="M29" s="1" t="s">
        <v>16</v>
      </c>
      <c r="N29" s="1" t="s">
        <v>17</v>
      </c>
      <c r="O29" s="1" t="s">
        <v>18</v>
      </c>
      <c r="P29" s="1" t="s">
        <v>19</v>
      </c>
      <c r="Q29" s="1" t="s">
        <v>20</v>
      </c>
    </row>
    <row r="31" spans="1:17" x14ac:dyDescent="0.2">
      <c r="D31" s="1" t="s">
        <v>444</v>
      </c>
      <c r="E31" s="1">
        <v>1400015868</v>
      </c>
      <c r="G31" s="1" t="s">
        <v>164</v>
      </c>
      <c r="I31" s="1" t="s">
        <v>164</v>
      </c>
      <c r="K31" s="2">
        <v>-2500000</v>
      </c>
      <c r="L31" s="1" t="s">
        <v>23</v>
      </c>
      <c r="N31" s="2">
        <v>-2500000</v>
      </c>
      <c r="O31" s="1" t="s">
        <v>23</v>
      </c>
      <c r="P31" s="1" t="s">
        <v>449</v>
      </c>
      <c r="Q31" s="1">
        <v>1</v>
      </c>
    </row>
    <row r="32" spans="1:17" x14ac:dyDescent="0.2">
      <c r="D32" s="1" t="s">
        <v>444</v>
      </c>
      <c r="E32" s="1">
        <v>1400015868</v>
      </c>
      <c r="G32" s="1" t="s">
        <v>164</v>
      </c>
      <c r="I32" s="1" t="s">
        <v>164</v>
      </c>
      <c r="K32" s="2">
        <v>-2500000</v>
      </c>
      <c r="L32" s="1" t="s">
        <v>23</v>
      </c>
      <c r="N32" s="2">
        <v>-2500000</v>
      </c>
      <c r="O32" s="1" t="s">
        <v>23</v>
      </c>
      <c r="P32" s="1" t="s">
        <v>450</v>
      </c>
      <c r="Q32" s="1">
        <v>1</v>
      </c>
    </row>
    <row r="33" spans="1:17" x14ac:dyDescent="0.2">
      <c r="D33" s="1" t="s">
        <v>444</v>
      </c>
      <c r="E33" s="1">
        <v>1400015870</v>
      </c>
      <c r="G33" s="1" t="s">
        <v>36</v>
      </c>
      <c r="I33" s="1" t="s">
        <v>36</v>
      </c>
      <c r="K33" s="2">
        <v>-2500000</v>
      </c>
      <c r="L33" s="1" t="s">
        <v>23</v>
      </c>
      <c r="N33" s="2">
        <v>-2500000</v>
      </c>
      <c r="O33" s="1" t="s">
        <v>23</v>
      </c>
      <c r="P33" s="1" t="s">
        <v>451</v>
      </c>
      <c r="Q33" s="1">
        <v>1</v>
      </c>
    </row>
    <row r="34" spans="1:17" x14ac:dyDescent="0.2">
      <c r="D34" s="1" t="s">
        <v>444</v>
      </c>
      <c r="E34" s="1">
        <v>1400015870</v>
      </c>
      <c r="G34" s="1" t="s">
        <v>36</v>
      </c>
      <c r="I34" s="1" t="s">
        <v>36</v>
      </c>
      <c r="K34" s="2">
        <v>-2500000</v>
      </c>
      <c r="L34" s="1" t="s">
        <v>23</v>
      </c>
      <c r="N34" s="2">
        <v>-2500000</v>
      </c>
      <c r="O34" s="1" t="s">
        <v>23</v>
      </c>
      <c r="P34" s="1" t="s">
        <v>452</v>
      </c>
      <c r="Q34" s="1">
        <v>1</v>
      </c>
    </row>
    <row r="35" spans="1:17" x14ac:dyDescent="0.2">
      <c r="D35" s="1" t="s">
        <v>444</v>
      </c>
      <c r="E35" s="1">
        <v>1400015877</v>
      </c>
      <c r="G35" s="1" t="s">
        <v>42</v>
      </c>
      <c r="I35" s="1" t="s">
        <v>42</v>
      </c>
      <c r="K35" s="2">
        <v>-2000000</v>
      </c>
      <c r="L35" s="1" t="s">
        <v>23</v>
      </c>
      <c r="N35" s="2">
        <v>-2000000</v>
      </c>
      <c r="O35" s="1" t="s">
        <v>23</v>
      </c>
      <c r="P35" s="1" t="s">
        <v>453</v>
      </c>
      <c r="Q35" s="1">
        <v>1</v>
      </c>
    </row>
    <row r="36" spans="1:17" x14ac:dyDescent="0.2">
      <c r="D36" s="1" t="s">
        <v>444</v>
      </c>
      <c r="E36" s="1">
        <v>1400015880</v>
      </c>
      <c r="G36" s="1" t="s">
        <v>44</v>
      </c>
      <c r="I36" s="1" t="s">
        <v>44</v>
      </c>
      <c r="K36" s="2">
        <v>-2500000</v>
      </c>
      <c r="L36" s="1" t="s">
        <v>23</v>
      </c>
      <c r="N36" s="2">
        <v>-2500000</v>
      </c>
      <c r="O36" s="1" t="s">
        <v>23</v>
      </c>
      <c r="P36" s="1" t="s">
        <v>454</v>
      </c>
      <c r="Q36" s="1">
        <v>1</v>
      </c>
    </row>
    <row r="37" spans="1:17" x14ac:dyDescent="0.2">
      <c r="D37" s="1" t="s">
        <v>444</v>
      </c>
      <c r="E37" s="1">
        <v>1400015886</v>
      </c>
      <c r="G37" s="1" t="s">
        <v>46</v>
      </c>
      <c r="I37" s="1" t="s">
        <v>46</v>
      </c>
      <c r="K37" s="2">
        <v>-2500000</v>
      </c>
      <c r="L37" s="1" t="s">
        <v>23</v>
      </c>
      <c r="N37" s="2">
        <v>-2500000</v>
      </c>
      <c r="O37" s="1" t="s">
        <v>23</v>
      </c>
      <c r="P37" s="1" t="s">
        <v>455</v>
      </c>
      <c r="Q37" s="1">
        <v>1</v>
      </c>
    </row>
    <row r="38" spans="1:17" x14ac:dyDescent="0.2">
      <c r="D38" s="1" t="s">
        <v>444</v>
      </c>
      <c r="E38" s="1">
        <v>1400015890</v>
      </c>
      <c r="G38" s="1" t="s">
        <v>67</v>
      </c>
      <c r="I38" s="1" t="s">
        <v>67</v>
      </c>
      <c r="K38" s="2">
        <v>-2500000</v>
      </c>
      <c r="L38" s="1" t="s">
        <v>23</v>
      </c>
      <c r="N38" s="2">
        <v>-2500000</v>
      </c>
      <c r="O38" s="1" t="s">
        <v>23</v>
      </c>
      <c r="P38" s="1" t="s">
        <v>456</v>
      </c>
      <c r="Q38" s="1">
        <v>1</v>
      </c>
    </row>
    <row r="39" spans="1:17" x14ac:dyDescent="0.2">
      <c r="D39" s="1" t="s">
        <v>444</v>
      </c>
      <c r="E39" s="1">
        <v>1400015890</v>
      </c>
      <c r="G39" s="1" t="s">
        <v>67</v>
      </c>
      <c r="I39" s="1" t="s">
        <v>67</v>
      </c>
      <c r="K39" s="2">
        <v>-2500000</v>
      </c>
      <c r="L39" s="1" t="s">
        <v>23</v>
      </c>
      <c r="N39" s="2">
        <v>-2500000</v>
      </c>
      <c r="O39" s="1" t="s">
        <v>23</v>
      </c>
      <c r="P39" s="1" t="s">
        <v>457</v>
      </c>
      <c r="Q39" s="1">
        <v>1</v>
      </c>
    </row>
    <row r="40" spans="1:17" x14ac:dyDescent="0.2">
      <c r="D40" s="1" t="s">
        <v>444</v>
      </c>
      <c r="E40" s="1">
        <v>1400015892</v>
      </c>
      <c r="G40" s="1" t="s">
        <v>48</v>
      </c>
      <c r="I40" s="1" t="s">
        <v>48</v>
      </c>
      <c r="K40" s="2">
        <v>-2500000</v>
      </c>
      <c r="L40" s="1" t="s">
        <v>23</v>
      </c>
      <c r="N40" s="2">
        <v>-2500000</v>
      </c>
      <c r="O40" s="1" t="s">
        <v>23</v>
      </c>
      <c r="P40" s="1" t="s">
        <v>458</v>
      </c>
      <c r="Q40" s="1">
        <v>1</v>
      </c>
    </row>
    <row r="41" spans="1:17" x14ac:dyDescent="0.2">
      <c r="D41" s="1" t="s">
        <v>444</v>
      </c>
      <c r="E41" s="1">
        <v>1400015892</v>
      </c>
      <c r="G41" s="1" t="s">
        <v>48</v>
      </c>
      <c r="I41" s="1" t="s">
        <v>48</v>
      </c>
      <c r="K41" s="2">
        <v>-2500000</v>
      </c>
      <c r="L41" s="1" t="s">
        <v>23</v>
      </c>
      <c r="N41" s="2">
        <v>-2500000</v>
      </c>
      <c r="O41" s="1" t="s">
        <v>23</v>
      </c>
      <c r="P41" s="1" t="s">
        <v>459</v>
      </c>
      <c r="Q41" s="1">
        <v>1</v>
      </c>
    </row>
    <row r="43" spans="1:17" x14ac:dyDescent="0.2">
      <c r="B43" s="1" t="s">
        <v>32</v>
      </c>
      <c r="K43" s="2">
        <v>-27000000</v>
      </c>
      <c r="L43" s="1" t="s">
        <v>23</v>
      </c>
      <c r="N43" s="2">
        <v>-27000000</v>
      </c>
      <c r="O43" s="1" t="s">
        <v>23</v>
      </c>
    </row>
    <row r="45" spans="1:17" x14ac:dyDescent="0.2">
      <c r="A45" s="3"/>
      <c r="B45" s="3" t="s">
        <v>33</v>
      </c>
      <c r="C45" s="3" t="s">
        <v>53</v>
      </c>
      <c r="D45" s="3"/>
      <c r="E45" s="3"/>
      <c r="F45" s="3"/>
      <c r="G45" s="3"/>
      <c r="H45" s="3"/>
      <c r="I45" s="3"/>
      <c r="J45" s="3"/>
      <c r="K45" s="4">
        <v>-27000000</v>
      </c>
      <c r="L45" s="3" t="s">
        <v>23</v>
      </c>
      <c r="M45" s="3"/>
      <c r="N45" s="4">
        <v>-27000000</v>
      </c>
      <c r="O45" s="3" t="s">
        <v>23</v>
      </c>
      <c r="P45" s="3"/>
      <c r="Q45" s="3"/>
    </row>
    <row r="47" spans="1:17" x14ac:dyDescent="0.2">
      <c r="A47" s="1" t="s">
        <v>0</v>
      </c>
      <c r="F47" s="1">
        <v>500784</v>
      </c>
    </row>
    <row r="48" spans="1:17" x14ac:dyDescent="0.2">
      <c r="A48" s="1" t="s">
        <v>1</v>
      </c>
      <c r="F48" s="1" t="s">
        <v>2</v>
      </c>
    </row>
    <row r="50" spans="1:17" x14ac:dyDescent="0.2">
      <c r="A50" s="1" t="s">
        <v>3</v>
      </c>
      <c r="F50" s="1" t="s">
        <v>54</v>
      </c>
    </row>
    <row r="51" spans="1:17" x14ac:dyDescent="0.2">
      <c r="A51" s="1" t="s">
        <v>5</v>
      </c>
      <c r="F51" s="1" t="s">
        <v>55</v>
      </c>
    </row>
    <row r="54" spans="1:17" x14ac:dyDescent="0.2">
      <c r="C54" s="1" t="s">
        <v>7</v>
      </c>
      <c r="D54" s="1" t="s">
        <v>8</v>
      </c>
      <c r="E54" s="1" t="s">
        <v>9</v>
      </c>
      <c r="G54" s="1" t="s">
        <v>10</v>
      </c>
      <c r="H54" s="1" t="s">
        <v>11</v>
      </c>
      <c r="I54" s="1" t="s">
        <v>12</v>
      </c>
      <c r="J54" s="1" t="s">
        <v>13</v>
      </c>
      <c r="K54" s="1" t="s">
        <v>14</v>
      </c>
      <c r="L54" s="1" t="s">
        <v>15</v>
      </c>
      <c r="M54" s="1" t="s">
        <v>16</v>
      </c>
      <c r="N54" s="1" t="s">
        <v>17</v>
      </c>
      <c r="O54" s="1" t="s">
        <v>18</v>
      </c>
      <c r="P54" s="1" t="s">
        <v>19</v>
      </c>
      <c r="Q54" s="1" t="s">
        <v>20</v>
      </c>
    </row>
    <row r="56" spans="1:17" x14ac:dyDescent="0.2">
      <c r="D56" s="1" t="s">
        <v>444</v>
      </c>
      <c r="E56" s="1">
        <v>1400015929</v>
      </c>
      <c r="G56" s="1" t="s">
        <v>42</v>
      </c>
      <c r="I56" s="1" t="s">
        <v>42</v>
      </c>
      <c r="K56" s="2">
        <v>-30000000</v>
      </c>
      <c r="L56" s="1" t="s">
        <v>23</v>
      </c>
      <c r="N56" s="2">
        <v>-30000000</v>
      </c>
      <c r="O56" s="1" t="s">
        <v>23</v>
      </c>
      <c r="P56" s="1" t="s">
        <v>460</v>
      </c>
      <c r="Q56" s="1">
        <v>1</v>
      </c>
    </row>
    <row r="57" spans="1:17" x14ac:dyDescent="0.2">
      <c r="D57" s="1" t="s">
        <v>444</v>
      </c>
      <c r="E57" s="1">
        <v>1400015930</v>
      </c>
      <c r="G57" s="1" t="s">
        <v>44</v>
      </c>
      <c r="I57" s="1" t="s">
        <v>44</v>
      </c>
      <c r="K57" s="2">
        <v>-25000000</v>
      </c>
      <c r="L57" s="1" t="s">
        <v>23</v>
      </c>
      <c r="N57" s="2">
        <v>-25000000</v>
      </c>
      <c r="O57" s="1" t="s">
        <v>23</v>
      </c>
      <c r="P57" s="1" t="s">
        <v>461</v>
      </c>
      <c r="Q57" s="1">
        <v>1</v>
      </c>
    </row>
    <row r="59" spans="1:17" x14ac:dyDescent="0.2">
      <c r="B59" s="1" t="s">
        <v>32</v>
      </c>
      <c r="K59" s="2">
        <v>-55000000</v>
      </c>
      <c r="L59" s="1" t="s">
        <v>23</v>
      </c>
      <c r="N59" s="2">
        <v>-55000000</v>
      </c>
      <c r="O59" s="1" t="s">
        <v>23</v>
      </c>
    </row>
    <row r="61" spans="1:17" x14ac:dyDescent="0.2">
      <c r="A61" s="3"/>
      <c r="B61" s="3" t="s">
        <v>33</v>
      </c>
      <c r="C61" s="3" t="s">
        <v>60</v>
      </c>
      <c r="D61" s="3"/>
      <c r="E61" s="3"/>
      <c r="F61" s="3"/>
      <c r="G61" s="3"/>
      <c r="H61" s="3"/>
      <c r="I61" s="3"/>
      <c r="J61" s="3"/>
      <c r="K61" s="4">
        <v>-55000000</v>
      </c>
      <c r="L61" s="3" t="s">
        <v>23</v>
      </c>
      <c r="M61" s="3"/>
      <c r="N61" s="4">
        <v>-55000000</v>
      </c>
      <c r="O61" s="3" t="s">
        <v>23</v>
      </c>
      <c r="P61" s="3"/>
      <c r="Q61" s="3"/>
    </row>
    <row r="63" spans="1:17" x14ac:dyDescent="0.2">
      <c r="A63" s="1" t="s">
        <v>0</v>
      </c>
      <c r="F63" s="1">
        <v>500790</v>
      </c>
    </row>
    <row r="64" spans="1:17" x14ac:dyDescent="0.2">
      <c r="A64" s="1" t="s">
        <v>1</v>
      </c>
      <c r="F64" s="1" t="s">
        <v>2</v>
      </c>
    </row>
    <row r="66" spans="1:17" x14ac:dyDescent="0.2">
      <c r="A66" s="1" t="s">
        <v>3</v>
      </c>
      <c r="F66" s="1" t="s">
        <v>61</v>
      </c>
    </row>
    <row r="67" spans="1:17" x14ac:dyDescent="0.2">
      <c r="A67" s="1" t="s">
        <v>5</v>
      </c>
    </row>
    <row r="70" spans="1:17" x14ac:dyDescent="0.2">
      <c r="C70" s="1" t="s">
        <v>7</v>
      </c>
      <c r="D70" s="1" t="s">
        <v>8</v>
      </c>
      <c r="E70" s="1" t="s">
        <v>9</v>
      </c>
      <c r="G70" s="1" t="s">
        <v>10</v>
      </c>
      <c r="H70" s="1" t="s">
        <v>11</v>
      </c>
      <c r="I70" s="1" t="s">
        <v>12</v>
      </c>
      <c r="J70" s="1" t="s">
        <v>13</v>
      </c>
      <c r="K70" s="1" t="s">
        <v>14</v>
      </c>
      <c r="L70" s="1" t="s">
        <v>15</v>
      </c>
      <c r="M70" s="1" t="s">
        <v>16</v>
      </c>
      <c r="N70" s="1" t="s">
        <v>17</v>
      </c>
      <c r="O70" s="1" t="s">
        <v>18</v>
      </c>
      <c r="P70" s="1" t="s">
        <v>19</v>
      </c>
      <c r="Q70" s="1" t="s">
        <v>20</v>
      </c>
    </row>
    <row r="72" spans="1:17" x14ac:dyDescent="0.2">
      <c r="D72" s="1" t="s">
        <v>444</v>
      </c>
      <c r="E72" s="1">
        <v>1400015736</v>
      </c>
      <c r="G72" s="1" t="s">
        <v>164</v>
      </c>
      <c r="I72" s="1" t="s">
        <v>164</v>
      </c>
      <c r="K72" s="2">
        <v>-3900000</v>
      </c>
      <c r="L72" s="1" t="s">
        <v>23</v>
      </c>
      <c r="N72" s="2">
        <v>-3900000</v>
      </c>
      <c r="O72" s="1" t="s">
        <v>23</v>
      </c>
      <c r="P72" s="1" t="s">
        <v>462</v>
      </c>
      <c r="Q72" s="1">
        <v>1</v>
      </c>
    </row>
    <row r="73" spans="1:17" x14ac:dyDescent="0.2">
      <c r="D73" s="1" t="s">
        <v>444</v>
      </c>
      <c r="E73" s="1">
        <v>1400015736</v>
      </c>
      <c r="G73" s="1" t="s">
        <v>164</v>
      </c>
      <c r="I73" s="1" t="s">
        <v>164</v>
      </c>
      <c r="K73" s="2">
        <v>-2700000</v>
      </c>
      <c r="L73" s="1" t="s">
        <v>23</v>
      </c>
      <c r="N73" s="2">
        <v>-2700000</v>
      </c>
      <c r="O73" s="1" t="s">
        <v>23</v>
      </c>
      <c r="P73" s="1" t="s">
        <v>463</v>
      </c>
      <c r="Q73" s="1">
        <v>1</v>
      </c>
    </row>
    <row r="74" spans="1:17" x14ac:dyDescent="0.2">
      <c r="D74" s="1" t="s">
        <v>444</v>
      </c>
      <c r="E74" s="1">
        <v>1400015752</v>
      </c>
      <c r="G74" s="1" t="s">
        <v>22</v>
      </c>
      <c r="I74" s="1" t="s">
        <v>22</v>
      </c>
      <c r="K74" s="2">
        <v>-5000000</v>
      </c>
      <c r="L74" s="1" t="s">
        <v>23</v>
      </c>
      <c r="N74" s="2">
        <v>-5000000</v>
      </c>
      <c r="O74" s="1" t="s">
        <v>23</v>
      </c>
      <c r="P74" s="1" t="s">
        <v>464</v>
      </c>
      <c r="Q74" s="1">
        <v>1</v>
      </c>
    </row>
    <row r="75" spans="1:17" x14ac:dyDescent="0.2">
      <c r="D75" s="1" t="s">
        <v>444</v>
      </c>
      <c r="E75" s="1">
        <v>1400015761</v>
      </c>
      <c r="G75" s="1" t="s">
        <v>26</v>
      </c>
      <c r="I75" s="1" t="s">
        <v>26</v>
      </c>
      <c r="K75" s="2">
        <v>-5000000</v>
      </c>
      <c r="L75" s="1" t="s">
        <v>23</v>
      </c>
      <c r="N75" s="2">
        <v>-5000000</v>
      </c>
      <c r="O75" s="1" t="s">
        <v>23</v>
      </c>
      <c r="P75" s="1" t="s">
        <v>465</v>
      </c>
      <c r="Q75" s="1">
        <v>1</v>
      </c>
    </row>
    <row r="76" spans="1:17" x14ac:dyDescent="0.2">
      <c r="D76" s="1" t="s">
        <v>444</v>
      </c>
      <c r="E76" s="1">
        <v>1400015769</v>
      </c>
      <c r="G76" s="1" t="s">
        <v>86</v>
      </c>
      <c r="I76" s="1" t="s">
        <v>86</v>
      </c>
      <c r="K76" s="2">
        <v>-6500000</v>
      </c>
      <c r="L76" s="1" t="s">
        <v>23</v>
      </c>
      <c r="N76" s="2">
        <v>-6500000</v>
      </c>
      <c r="O76" s="1" t="s">
        <v>23</v>
      </c>
      <c r="P76" s="1" t="s">
        <v>466</v>
      </c>
      <c r="Q76" s="1">
        <v>1</v>
      </c>
    </row>
    <row r="77" spans="1:17" x14ac:dyDescent="0.2">
      <c r="D77" s="1" t="s">
        <v>444</v>
      </c>
      <c r="E77" s="1">
        <v>1400015776</v>
      </c>
      <c r="G77" s="1" t="s">
        <v>130</v>
      </c>
      <c r="I77" s="1" t="s">
        <v>130</v>
      </c>
      <c r="K77" s="2">
        <v>-5000000</v>
      </c>
      <c r="L77" s="1" t="s">
        <v>23</v>
      </c>
      <c r="N77" s="2">
        <v>-5000000</v>
      </c>
      <c r="O77" s="1" t="s">
        <v>23</v>
      </c>
      <c r="P77" s="1" t="s">
        <v>467</v>
      </c>
      <c r="Q77" s="1">
        <v>1</v>
      </c>
    </row>
    <row r="78" spans="1:17" x14ac:dyDescent="0.2">
      <c r="D78" s="1" t="s">
        <v>444</v>
      </c>
      <c r="E78" s="1">
        <v>1400015817</v>
      </c>
      <c r="G78" s="1" t="s">
        <v>104</v>
      </c>
      <c r="I78" s="1" t="s">
        <v>104</v>
      </c>
      <c r="K78" s="2">
        <v>-3000000</v>
      </c>
      <c r="L78" s="1" t="s">
        <v>23</v>
      </c>
      <c r="N78" s="2">
        <v>-3000000</v>
      </c>
      <c r="O78" s="1" t="s">
        <v>23</v>
      </c>
      <c r="P78" s="1" t="s">
        <v>468</v>
      </c>
      <c r="Q78" s="1">
        <v>1</v>
      </c>
    </row>
    <row r="79" spans="1:17" x14ac:dyDescent="0.2">
      <c r="D79" s="1" t="s">
        <v>444</v>
      </c>
      <c r="E79" s="1">
        <v>1400015817</v>
      </c>
      <c r="G79" s="1" t="s">
        <v>104</v>
      </c>
      <c r="I79" s="1" t="s">
        <v>104</v>
      </c>
      <c r="K79" s="2">
        <v>-2000000</v>
      </c>
      <c r="L79" s="1" t="s">
        <v>23</v>
      </c>
      <c r="N79" s="2">
        <v>-2000000</v>
      </c>
      <c r="O79" s="1" t="s">
        <v>23</v>
      </c>
      <c r="P79" s="1" t="s">
        <v>469</v>
      </c>
      <c r="Q79" s="1">
        <v>1</v>
      </c>
    </row>
    <row r="80" spans="1:17" x14ac:dyDescent="0.2">
      <c r="D80" s="1" t="s">
        <v>444</v>
      </c>
      <c r="E80" s="1">
        <v>1400015833</v>
      </c>
      <c r="G80" s="1" t="s">
        <v>75</v>
      </c>
      <c r="I80" s="1" t="s">
        <v>75</v>
      </c>
      <c r="K80" s="2">
        <v>-2500000</v>
      </c>
      <c r="L80" s="1" t="s">
        <v>23</v>
      </c>
      <c r="N80" s="2">
        <v>-2500000</v>
      </c>
      <c r="O80" s="1" t="s">
        <v>23</v>
      </c>
      <c r="P80" s="1" t="s">
        <v>470</v>
      </c>
      <c r="Q80" s="1">
        <v>1</v>
      </c>
    </row>
    <row r="81" spans="1:17" x14ac:dyDescent="0.2">
      <c r="D81" s="1" t="s">
        <v>444</v>
      </c>
      <c r="E81" s="1">
        <v>1400015845</v>
      </c>
      <c r="G81" s="1" t="s">
        <v>48</v>
      </c>
      <c r="I81" s="1" t="s">
        <v>48</v>
      </c>
      <c r="K81" s="2">
        <v>-2000000</v>
      </c>
      <c r="L81" s="1" t="s">
        <v>23</v>
      </c>
      <c r="N81" s="2">
        <v>-2000000</v>
      </c>
      <c r="O81" s="1" t="s">
        <v>23</v>
      </c>
      <c r="P81" s="1" t="s">
        <v>471</v>
      </c>
      <c r="Q81" s="1">
        <v>1</v>
      </c>
    </row>
    <row r="82" spans="1:17" x14ac:dyDescent="0.2">
      <c r="D82" s="1" t="s">
        <v>444</v>
      </c>
      <c r="E82" s="1">
        <v>1400015856</v>
      </c>
      <c r="G82" s="1" t="s">
        <v>58</v>
      </c>
      <c r="I82" s="1" t="s">
        <v>58</v>
      </c>
      <c r="K82" s="2">
        <v>-3300000</v>
      </c>
      <c r="L82" s="1" t="s">
        <v>23</v>
      </c>
      <c r="N82" s="2">
        <v>-3300000</v>
      </c>
      <c r="O82" s="1" t="s">
        <v>23</v>
      </c>
      <c r="P82" s="1" t="s">
        <v>472</v>
      </c>
      <c r="Q82" s="1">
        <v>1</v>
      </c>
    </row>
    <row r="83" spans="1:17" x14ac:dyDescent="0.2">
      <c r="D83" s="1" t="s">
        <v>444</v>
      </c>
      <c r="E83" s="1">
        <v>1400015856</v>
      </c>
      <c r="G83" s="1" t="s">
        <v>58</v>
      </c>
      <c r="I83" s="1" t="s">
        <v>58</v>
      </c>
      <c r="K83" s="2">
        <v>-4000000</v>
      </c>
      <c r="L83" s="1" t="s">
        <v>23</v>
      </c>
      <c r="N83" s="2">
        <v>-4000000</v>
      </c>
      <c r="O83" s="1" t="s">
        <v>23</v>
      </c>
      <c r="P83" s="1" t="s">
        <v>473</v>
      </c>
      <c r="Q83" s="1">
        <v>1</v>
      </c>
    </row>
    <row r="85" spans="1:17" x14ac:dyDescent="0.2">
      <c r="B85" s="1" t="s">
        <v>32</v>
      </c>
      <c r="K85" s="2">
        <v>-44900000</v>
      </c>
      <c r="L85" s="1" t="s">
        <v>23</v>
      </c>
      <c r="N85" s="2">
        <v>-44900000</v>
      </c>
      <c r="O85" s="1" t="s">
        <v>23</v>
      </c>
    </row>
    <row r="87" spans="1:17" x14ac:dyDescent="0.2">
      <c r="A87" s="3"/>
      <c r="B87" s="3" t="s">
        <v>33</v>
      </c>
      <c r="C87" s="3" t="s">
        <v>72</v>
      </c>
      <c r="D87" s="3"/>
      <c r="E87" s="3"/>
      <c r="F87" s="3"/>
      <c r="G87" s="3"/>
      <c r="H87" s="3"/>
      <c r="I87" s="3"/>
      <c r="J87" s="3"/>
      <c r="K87" s="4">
        <v>-44900000</v>
      </c>
      <c r="L87" s="3" t="s">
        <v>23</v>
      </c>
      <c r="M87" s="3"/>
      <c r="N87" s="4">
        <v>-44900000</v>
      </c>
      <c r="O87" s="3" t="s">
        <v>23</v>
      </c>
      <c r="P87" s="3"/>
      <c r="Q87" s="3"/>
    </row>
    <row r="89" spans="1:17" x14ac:dyDescent="0.2">
      <c r="A89" s="1" t="s">
        <v>0</v>
      </c>
      <c r="F89" s="1">
        <v>500943</v>
      </c>
    </row>
    <row r="90" spans="1:17" x14ac:dyDescent="0.2">
      <c r="A90" s="1" t="s">
        <v>1</v>
      </c>
      <c r="F90" s="1" t="s">
        <v>2</v>
      </c>
    </row>
    <row r="92" spans="1:17" x14ac:dyDescent="0.2">
      <c r="A92" s="1" t="s">
        <v>3</v>
      </c>
      <c r="F92" s="1" t="s">
        <v>474</v>
      </c>
    </row>
    <row r="93" spans="1:17" x14ac:dyDescent="0.2">
      <c r="A93" s="1" t="s">
        <v>5</v>
      </c>
      <c r="F93" s="1" t="s">
        <v>475</v>
      </c>
    </row>
    <row r="96" spans="1:17" x14ac:dyDescent="0.2">
      <c r="C96" s="1" t="s">
        <v>7</v>
      </c>
      <c r="D96" s="1" t="s">
        <v>8</v>
      </c>
      <c r="E96" s="1" t="s">
        <v>9</v>
      </c>
      <c r="G96" s="1" t="s">
        <v>10</v>
      </c>
      <c r="H96" s="1" t="s">
        <v>11</v>
      </c>
      <c r="I96" s="1" t="s">
        <v>12</v>
      </c>
      <c r="J96" s="1" t="s">
        <v>13</v>
      </c>
      <c r="K96" s="1" t="s">
        <v>14</v>
      </c>
      <c r="L96" s="1" t="s">
        <v>15</v>
      </c>
      <c r="M96" s="1" t="s">
        <v>16</v>
      </c>
      <c r="N96" s="1" t="s">
        <v>17</v>
      </c>
      <c r="O96" s="1" t="s">
        <v>18</v>
      </c>
      <c r="P96" s="1" t="s">
        <v>19</v>
      </c>
      <c r="Q96" s="1" t="s">
        <v>20</v>
      </c>
    </row>
    <row r="98" spans="1:17" x14ac:dyDescent="0.2">
      <c r="D98" s="1" t="s">
        <v>444</v>
      </c>
      <c r="E98" s="1">
        <v>1400015801</v>
      </c>
      <c r="G98" s="1" t="s">
        <v>104</v>
      </c>
      <c r="I98" s="1" t="s">
        <v>104</v>
      </c>
      <c r="K98" s="2">
        <v>-208407.32</v>
      </c>
      <c r="L98" s="1" t="s">
        <v>23</v>
      </c>
      <c r="N98" s="2">
        <v>-208407.32</v>
      </c>
      <c r="O98" s="1" t="s">
        <v>23</v>
      </c>
      <c r="P98" s="1" t="s">
        <v>476</v>
      </c>
      <c r="Q98" s="1">
        <v>1</v>
      </c>
    </row>
    <row r="100" spans="1:17" x14ac:dyDescent="0.2">
      <c r="B100" s="1" t="s">
        <v>32</v>
      </c>
      <c r="K100" s="2">
        <v>-208407.32</v>
      </c>
      <c r="L100" s="1" t="s">
        <v>23</v>
      </c>
      <c r="N100" s="2">
        <v>-208407.32</v>
      </c>
      <c r="O100" s="1" t="s">
        <v>23</v>
      </c>
    </row>
    <row r="102" spans="1:17" x14ac:dyDescent="0.2">
      <c r="A102" s="3"/>
      <c r="B102" s="3" t="s">
        <v>33</v>
      </c>
      <c r="C102" s="3" t="s">
        <v>477</v>
      </c>
      <c r="D102" s="3"/>
      <c r="E102" s="3"/>
      <c r="F102" s="3"/>
      <c r="G102" s="3"/>
      <c r="H102" s="3"/>
      <c r="I102" s="3"/>
      <c r="J102" s="3"/>
      <c r="K102" s="4">
        <v>-208407.32</v>
      </c>
      <c r="L102" s="3" t="s">
        <v>23</v>
      </c>
      <c r="M102" s="3"/>
      <c r="N102" s="4">
        <v>-208407.32</v>
      </c>
      <c r="O102" s="3" t="s">
        <v>23</v>
      </c>
      <c r="P102" s="3"/>
      <c r="Q102" s="3"/>
    </row>
    <row r="104" spans="1:17" x14ac:dyDescent="0.2">
      <c r="A104" s="1" t="s">
        <v>0</v>
      </c>
      <c r="F104" s="1">
        <v>500995</v>
      </c>
    </row>
    <row r="105" spans="1:17" x14ac:dyDescent="0.2">
      <c r="A105" s="1" t="s">
        <v>1</v>
      </c>
      <c r="F105" s="1" t="s">
        <v>2</v>
      </c>
    </row>
    <row r="107" spans="1:17" x14ac:dyDescent="0.2">
      <c r="A107" s="1" t="s">
        <v>3</v>
      </c>
      <c r="F107" s="1" t="s">
        <v>73</v>
      </c>
    </row>
    <row r="108" spans="1:17" x14ac:dyDescent="0.2">
      <c r="A108" s="1" t="s">
        <v>5</v>
      </c>
    </row>
    <row r="111" spans="1:17" x14ac:dyDescent="0.2">
      <c r="C111" s="1" t="s">
        <v>7</v>
      </c>
      <c r="D111" s="1" t="s">
        <v>8</v>
      </c>
      <c r="E111" s="1" t="s">
        <v>9</v>
      </c>
      <c r="G111" s="1" t="s">
        <v>10</v>
      </c>
      <c r="H111" s="1" t="s">
        <v>11</v>
      </c>
      <c r="I111" s="1" t="s">
        <v>12</v>
      </c>
      <c r="J111" s="1" t="s">
        <v>13</v>
      </c>
      <c r="K111" s="1" t="s">
        <v>14</v>
      </c>
      <c r="L111" s="1" t="s">
        <v>15</v>
      </c>
      <c r="M111" s="1" t="s">
        <v>16</v>
      </c>
      <c r="N111" s="1" t="s">
        <v>17</v>
      </c>
      <c r="O111" s="1" t="s">
        <v>18</v>
      </c>
      <c r="P111" s="1" t="s">
        <v>19</v>
      </c>
      <c r="Q111" s="1" t="s">
        <v>20</v>
      </c>
    </row>
    <row r="113" spans="1:17" x14ac:dyDescent="0.2">
      <c r="D113" s="1" t="s">
        <v>444</v>
      </c>
      <c r="E113" s="1">
        <v>1400015740</v>
      </c>
      <c r="G113" s="1" t="s">
        <v>36</v>
      </c>
      <c r="I113" s="1" t="s">
        <v>36</v>
      </c>
      <c r="K113" s="2">
        <v>-400000</v>
      </c>
      <c r="L113" s="1" t="s">
        <v>23</v>
      </c>
      <c r="N113" s="2">
        <v>-400000</v>
      </c>
      <c r="O113" s="1" t="s">
        <v>23</v>
      </c>
      <c r="P113" s="1" t="s">
        <v>478</v>
      </c>
      <c r="Q113" s="1">
        <v>1</v>
      </c>
    </row>
    <row r="114" spans="1:17" x14ac:dyDescent="0.2">
      <c r="D114" s="1" t="s">
        <v>444</v>
      </c>
      <c r="E114" s="1">
        <v>1400015934</v>
      </c>
      <c r="G114" s="1" t="s">
        <v>75</v>
      </c>
      <c r="I114" s="1" t="s">
        <v>75</v>
      </c>
      <c r="K114" s="2">
        <v>-596000</v>
      </c>
      <c r="L114" s="1" t="s">
        <v>23</v>
      </c>
      <c r="N114" s="2">
        <v>-596000</v>
      </c>
      <c r="O114" s="1" t="s">
        <v>23</v>
      </c>
      <c r="P114" s="1" t="s">
        <v>479</v>
      </c>
      <c r="Q114" s="1">
        <v>1</v>
      </c>
    </row>
    <row r="116" spans="1:17" x14ac:dyDescent="0.2">
      <c r="B116" s="1" t="s">
        <v>32</v>
      </c>
      <c r="K116" s="2">
        <v>-996000</v>
      </c>
      <c r="L116" s="1" t="s">
        <v>23</v>
      </c>
      <c r="N116" s="2">
        <v>-996000</v>
      </c>
      <c r="O116" s="1" t="s">
        <v>23</v>
      </c>
    </row>
    <row r="118" spans="1:17" x14ac:dyDescent="0.2">
      <c r="A118" s="3"/>
      <c r="B118" s="3" t="s">
        <v>33</v>
      </c>
      <c r="C118" s="3" t="s">
        <v>77</v>
      </c>
      <c r="D118" s="3"/>
      <c r="E118" s="3"/>
      <c r="F118" s="3"/>
      <c r="G118" s="3"/>
      <c r="H118" s="3"/>
      <c r="I118" s="3"/>
      <c r="J118" s="3"/>
      <c r="K118" s="4">
        <v>-996000</v>
      </c>
      <c r="L118" s="3" t="s">
        <v>23</v>
      </c>
      <c r="M118" s="3"/>
      <c r="N118" s="4">
        <v>-996000</v>
      </c>
      <c r="O118" s="3" t="s">
        <v>23</v>
      </c>
      <c r="P118" s="3"/>
      <c r="Q118" s="3"/>
    </row>
    <row r="120" spans="1:17" x14ac:dyDescent="0.2">
      <c r="A120" s="1" t="s">
        <v>0</v>
      </c>
      <c r="F120" s="1">
        <v>501049</v>
      </c>
    </row>
    <row r="121" spans="1:17" x14ac:dyDescent="0.2">
      <c r="A121" s="1" t="s">
        <v>1</v>
      </c>
      <c r="F121" s="1" t="s">
        <v>2</v>
      </c>
    </row>
    <row r="123" spans="1:17" x14ac:dyDescent="0.2">
      <c r="A123" s="1" t="s">
        <v>3</v>
      </c>
      <c r="F123" s="1" t="s">
        <v>4</v>
      </c>
    </row>
    <row r="124" spans="1:17" x14ac:dyDescent="0.2">
      <c r="A124" s="1" t="s">
        <v>5</v>
      </c>
      <c r="F124" s="1" t="s">
        <v>480</v>
      </c>
    </row>
    <row r="127" spans="1:17" x14ac:dyDescent="0.2">
      <c r="C127" s="1" t="s">
        <v>7</v>
      </c>
      <c r="D127" s="1" t="s">
        <v>8</v>
      </c>
      <c r="E127" s="1" t="s">
        <v>9</v>
      </c>
      <c r="G127" s="1" t="s">
        <v>10</v>
      </c>
      <c r="H127" s="1" t="s">
        <v>11</v>
      </c>
      <c r="I127" s="1" t="s">
        <v>12</v>
      </c>
      <c r="J127" s="1" t="s">
        <v>13</v>
      </c>
      <c r="K127" s="1" t="s">
        <v>14</v>
      </c>
      <c r="L127" s="1" t="s">
        <v>15</v>
      </c>
      <c r="M127" s="1" t="s">
        <v>16</v>
      </c>
      <c r="N127" s="1" t="s">
        <v>17</v>
      </c>
      <c r="O127" s="1" t="s">
        <v>18</v>
      </c>
      <c r="P127" s="1" t="s">
        <v>19</v>
      </c>
      <c r="Q127" s="1" t="s">
        <v>20</v>
      </c>
    </row>
    <row r="129" spans="1:17" x14ac:dyDescent="0.2">
      <c r="D129" s="1" t="s">
        <v>444</v>
      </c>
      <c r="E129" s="1">
        <v>1400015787</v>
      </c>
      <c r="G129" s="1" t="s">
        <v>28</v>
      </c>
      <c r="I129" s="1" t="s">
        <v>28</v>
      </c>
      <c r="K129" s="2">
        <v>-511090.32</v>
      </c>
      <c r="L129" s="1" t="s">
        <v>23</v>
      </c>
      <c r="N129" s="2">
        <v>-126429.27</v>
      </c>
      <c r="O129" s="1" t="s">
        <v>24</v>
      </c>
      <c r="P129" s="1" t="s">
        <v>481</v>
      </c>
      <c r="Q129" s="1">
        <v>4.0425000000000004</v>
      </c>
    </row>
    <row r="131" spans="1:17" x14ac:dyDescent="0.2">
      <c r="B131" s="1" t="s">
        <v>32</v>
      </c>
      <c r="K131" s="2">
        <v>-511090.32</v>
      </c>
      <c r="L131" s="1" t="s">
        <v>23</v>
      </c>
      <c r="N131" s="2">
        <v>-126429.27</v>
      </c>
      <c r="O131" s="1" t="s">
        <v>24</v>
      </c>
    </row>
    <row r="133" spans="1:17" x14ac:dyDescent="0.2">
      <c r="A133" s="3"/>
      <c r="B133" s="3" t="s">
        <v>33</v>
      </c>
      <c r="C133" s="3" t="s">
        <v>482</v>
      </c>
      <c r="D133" s="3"/>
      <c r="E133" s="3"/>
      <c r="F133" s="3"/>
      <c r="G133" s="3"/>
      <c r="H133" s="3"/>
      <c r="I133" s="3"/>
      <c r="J133" s="3"/>
      <c r="K133" s="4">
        <v>-511090.32</v>
      </c>
      <c r="L133" s="3" t="s">
        <v>23</v>
      </c>
      <c r="M133" s="3"/>
      <c r="N133" s="4">
        <v>-126429.27</v>
      </c>
      <c r="O133" s="3" t="s">
        <v>24</v>
      </c>
      <c r="P133" s="3"/>
      <c r="Q133" s="3"/>
    </row>
    <row r="135" spans="1:17" x14ac:dyDescent="0.2">
      <c r="A135" s="1" t="s">
        <v>0</v>
      </c>
      <c r="F135" s="1">
        <v>501060</v>
      </c>
    </row>
    <row r="136" spans="1:17" x14ac:dyDescent="0.2">
      <c r="A136" s="1" t="s">
        <v>1</v>
      </c>
      <c r="F136" s="1" t="s">
        <v>2</v>
      </c>
    </row>
    <row r="138" spans="1:17" x14ac:dyDescent="0.2">
      <c r="A138" s="1" t="s">
        <v>3</v>
      </c>
      <c r="F138" s="1" t="s">
        <v>433</v>
      </c>
    </row>
    <row r="139" spans="1:17" x14ac:dyDescent="0.2">
      <c r="A139" s="1" t="s">
        <v>5</v>
      </c>
      <c r="F139" s="1" t="s">
        <v>225</v>
      </c>
    </row>
    <row r="142" spans="1:17" x14ac:dyDescent="0.2">
      <c r="C142" s="1" t="s">
        <v>7</v>
      </c>
      <c r="D142" s="1" t="s">
        <v>8</v>
      </c>
      <c r="E142" s="1" t="s">
        <v>9</v>
      </c>
      <c r="G142" s="1" t="s">
        <v>10</v>
      </c>
      <c r="H142" s="1" t="s">
        <v>11</v>
      </c>
      <c r="I142" s="1" t="s">
        <v>12</v>
      </c>
      <c r="J142" s="1" t="s">
        <v>13</v>
      </c>
      <c r="K142" s="1" t="s">
        <v>14</v>
      </c>
      <c r="L142" s="1" t="s">
        <v>15</v>
      </c>
      <c r="M142" s="1" t="s">
        <v>16</v>
      </c>
      <c r="N142" s="1" t="s">
        <v>17</v>
      </c>
      <c r="O142" s="1" t="s">
        <v>18</v>
      </c>
      <c r="P142" s="1" t="s">
        <v>19</v>
      </c>
      <c r="Q142" s="1" t="s">
        <v>20</v>
      </c>
    </row>
    <row r="144" spans="1:17" x14ac:dyDescent="0.2">
      <c r="D144" s="1" t="s">
        <v>444</v>
      </c>
      <c r="E144" s="1">
        <v>103527170</v>
      </c>
      <c r="G144" s="1" t="s">
        <v>64</v>
      </c>
      <c r="I144" s="1" t="s">
        <v>64</v>
      </c>
      <c r="K144" s="2">
        <v>-2092416.94</v>
      </c>
      <c r="L144" s="1" t="s">
        <v>23</v>
      </c>
      <c r="N144" s="2">
        <v>-2092416.94</v>
      </c>
      <c r="O144" s="1" t="s">
        <v>23</v>
      </c>
      <c r="P144" s="1" t="s">
        <v>483</v>
      </c>
      <c r="Q144" s="1">
        <v>1</v>
      </c>
    </row>
    <row r="146" spans="1:17" x14ac:dyDescent="0.2">
      <c r="B146" s="1" t="s">
        <v>32</v>
      </c>
      <c r="K146" s="2">
        <v>-2092416.94</v>
      </c>
      <c r="L146" s="1" t="s">
        <v>23</v>
      </c>
      <c r="N146" s="2">
        <v>-2092416.94</v>
      </c>
      <c r="O146" s="1" t="s">
        <v>23</v>
      </c>
    </row>
    <row r="148" spans="1:17" x14ac:dyDescent="0.2">
      <c r="A148" s="3"/>
      <c r="B148" s="3" t="s">
        <v>33</v>
      </c>
      <c r="C148" s="3" t="s">
        <v>484</v>
      </c>
      <c r="D148" s="3"/>
      <c r="E148" s="3"/>
      <c r="F148" s="3"/>
      <c r="G148" s="3"/>
      <c r="H148" s="3"/>
      <c r="I148" s="3"/>
      <c r="J148" s="3"/>
      <c r="K148" s="4">
        <v>-2092416.94</v>
      </c>
      <c r="L148" s="3" t="s">
        <v>23</v>
      </c>
      <c r="M148" s="3"/>
      <c r="N148" s="4">
        <v>-2092416.94</v>
      </c>
      <c r="O148" s="3" t="s">
        <v>23</v>
      </c>
      <c r="P148" s="3"/>
      <c r="Q148" s="3"/>
    </row>
    <row r="150" spans="1:17" x14ac:dyDescent="0.2">
      <c r="A150" s="1" t="s">
        <v>0</v>
      </c>
      <c r="F150" s="1">
        <v>501061</v>
      </c>
    </row>
    <row r="151" spans="1:17" x14ac:dyDescent="0.2">
      <c r="A151" s="1" t="s">
        <v>1</v>
      </c>
      <c r="F151" s="1" t="s">
        <v>2</v>
      </c>
    </row>
    <row r="153" spans="1:17" x14ac:dyDescent="0.2">
      <c r="A153" s="1" t="s">
        <v>3</v>
      </c>
      <c r="F153" s="1" t="s">
        <v>433</v>
      </c>
    </row>
    <row r="154" spans="1:17" x14ac:dyDescent="0.2">
      <c r="A154" s="1" t="s">
        <v>5</v>
      </c>
      <c r="F154" s="1" t="s">
        <v>485</v>
      </c>
    </row>
    <row r="157" spans="1:17" x14ac:dyDescent="0.2">
      <c r="C157" s="1" t="s">
        <v>7</v>
      </c>
      <c r="D157" s="1" t="s">
        <v>8</v>
      </c>
      <c r="E157" s="1" t="s">
        <v>9</v>
      </c>
      <c r="G157" s="1" t="s">
        <v>10</v>
      </c>
      <c r="H157" s="1" t="s">
        <v>11</v>
      </c>
      <c r="I157" s="1" t="s">
        <v>12</v>
      </c>
      <c r="J157" s="1" t="s">
        <v>13</v>
      </c>
      <c r="K157" s="1" t="s">
        <v>14</v>
      </c>
      <c r="L157" s="1" t="s">
        <v>15</v>
      </c>
      <c r="M157" s="1" t="s">
        <v>16</v>
      </c>
      <c r="N157" s="1" t="s">
        <v>17</v>
      </c>
      <c r="O157" s="1" t="s">
        <v>18</v>
      </c>
      <c r="P157" s="1" t="s">
        <v>19</v>
      </c>
      <c r="Q157" s="1" t="s">
        <v>20</v>
      </c>
    </row>
    <row r="159" spans="1:17" x14ac:dyDescent="0.2">
      <c r="D159" s="1" t="s">
        <v>444</v>
      </c>
      <c r="E159" s="1">
        <v>103540064</v>
      </c>
      <c r="G159" s="1" t="s">
        <v>64</v>
      </c>
      <c r="I159" s="1" t="s">
        <v>64</v>
      </c>
      <c r="K159" s="2">
        <v>-1023090.59</v>
      </c>
      <c r="L159" s="1" t="s">
        <v>23</v>
      </c>
      <c r="N159" s="2">
        <v>-1023090.59</v>
      </c>
      <c r="O159" s="1" t="s">
        <v>23</v>
      </c>
      <c r="P159" s="1" t="s">
        <v>486</v>
      </c>
      <c r="Q159" s="1">
        <v>1</v>
      </c>
    </row>
    <row r="161" spans="1:17" x14ac:dyDescent="0.2">
      <c r="B161" s="1" t="s">
        <v>32</v>
      </c>
      <c r="K161" s="2">
        <v>-1023090.59</v>
      </c>
      <c r="L161" s="1" t="s">
        <v>23</v>
      </c>
      <c r="N161" s="2">
        <v>-1023090.59</v>
      </c>
      <c r="O161" s="1" t="s">
        <v>23</v>
      </c>
    </row>
    <row r="163" spans="1:17" x14ac:dyDescent="0.2">
      <c r="A163" s="3"/>
      <c r="B163" s="3" t="s">
        <v>33</v>
      </c>
      <c r="C163" s="3" t="s">
        <v>487</v>
      </c>
      <c r="D163" s="3"/>
      <c r="E163" s="3"/>
      <c r="F163" s="3"/>
      <c r="G163" s="3"/>
      <c r="H163" s="3"/>
      <c r="I163" s="3"/>
      <c r="J163" s="3"/>
      <c r="K163" s="4">
        <v>-1023090.59</v>
      </c>
      <c r="L163" s="3" t="s">
        <v>23</v>
      </c>
      <c r="M163" s="3"/>
      <c r="N163" s="4">
        <v>-1023090.59</v>
      </c>
      <c r="O163" s="3" t="s">
        <v>23</v>
      </c>
      <c r="P163" s="3"/>
      <c r="Q163" s="3"/>
    </row>
    <row r="165" spans="1:17" x14ac:dyDescent="0.2">
      <c r="A165" s="1" t="s">
        <v>0</v>
      </c>
      <c r="F165" s="1">
        <v>501070</v>
      </c>
    </row>
    <row r="166" spans="1:17" x14ac:dyDescent="0.2">
      <c r="A166" s="1" t="s">
        <v>1</v>
      </c>
      <c r="F166" s="1" t="s">
        <v>2</v>
      </c>
    </row>
    <row r="168" spans="1:17" x14ac:dyDescent="0.2">
      <c r="A168" s="1" t="s">
        <v>3</v>
      </c>
      <c r="F168" s="1" t="s">
        <v>488</v>
      </c>
    </row>
    <row r="169" spans="1:17" x14ac:dyDescent="0.2">
      <c r="A169" s="1" t="s">
        <v>5</v>
      </c>
      <c r="F169" s="1" t="s">
        <v>489</v>
      </c>
    </row>
    <row r="172" spans="1:17" x14ac:dyDescent="0.2">
      <c r="C172" s="1" t="s">
        <v>7</v>
      </c>
      <c r="D172" s="1" t="s">
        <v>8</v>
      </c>
      <c r="E172" s="1" t="s">
        <v>9</v>
      </c>
      <c r="G172" s="1" t="s">
        <v>10</v>
      </c>
      <c r="H172" s="1" t="s">
        <v>11</v>
      </c>
      <c r="I172" s="1" t="s">
        <v>12</v>
      </c>
      <c r="J172" s="1" t="s">
        <v>13</v>
      </c>
      <c r="K172" s="1" t="s">
        <v>14</v>
      </c>
      <c r="L172" s="1" t="s">
        <v>15</v>
      </c>
      <c r="M172" s="1" t="s">
        <v>16</v>
      </c>
      <c r="N172" s="1" t="s">
        <v>17</v>
      </c>
      <c r="O172" s="1" t="s">
        <v>18</v>
      </c>
      <c r="P172" s="1" t="s">
        <v>19</v>
      </c>
      <c r="Q172" s="1" t="s">
        <v>20</v>
      </c>
    </row>
    <row r="174" spans="1:17" x14ac:dyDescent="0.2">
      <c r="D174" s="1" t="s">
        <v>444</v>
      </c>
      <c r="E174" s="1">
        <v>1400015804</v>
      </c>
      <c r="G174" s="1" t="s">
        <v>44</v>
      </c>
      <c r="I174" s="1" t="s">
        <v>44</v>
      </c>
      <c r="K174" s="2">
        <v>-92258.3</v>
      </c>
      <c r="L174" s="1" t="s">
        <v>23</v>
      </c>
      <c r="N174" s="2">
        <v>-92258.3</v>
      </c>
      <c r="O174" s="1" t="s">
        <v>23</v>
      </c>
      <c r="P174" s="1" t="s">
        <v>490</v>
      </c>
      <c r="Q174" s="1">
        <v>1</v>
      </c>
    </row>
    <row r="176" spans="1:17" x14ac:dyDescent="0.2">
      <c r="B176" s="1" t="s">
        <v>32</v>
      </c>
      <c r="K176" s="2">
        <v>-92258.3</v>
      </c>
      <c r="L176" s="1" t="s">
        <v>23</v>
      </c>
      <c r="N176" s="2">
        <v>-92258.3</v>
      </c>
      <c r="O176" s="1" t="s">
        <v>23</v>
      </c>
    </row>
    <row r="178" spans="1:17" x14ac:dyDescent="0.2">
      <c r="A178" s="3"/>
      <c r="B178" s="3" t="s">
        <v>33</v>
      </c>
      <c r="C178" s="3" t="s">
        <v>491</v>
      </c>
      <c r="D178" s="3"/>
      <c r="E178" s="3"/>
      <c r="F178" s="3"/>
      <c r="G178" s="3"/>
      <c r="H178" s="3"/>
      <c r="I178" s="3"/>
      <c r="J178" s="3"/>
      <c r="K178" s="4">
        <v>-92258.3</v>
      </c>
      <c r="L178" s="3" t="s">
        <v>23</v>
      </c>
      <c r="M178" s="3"/>
      <c r="N178" s="4">
        <v>-92258.3</v>
      </c>
      <c r="O178" s="3" t="s">
        <v>23</v>
      </c>
      <c r="P178" s="3"/>
      <c r="Q178" s="3"/>
    </row>
    <row r="180" spans="1:17" x14ac:dyDescent="0.2">
      <c r="A180" s="1" t="s">
        <v>0</v>
      </c>
      <c r="F180" s="1">
        <v>501096</v>
      </c>
    </row>
    <row r="181" spans="1:17" x14ac:dyDescent="0.2">
      <c r="A181" s="1" t="s">
        <v>1</v>
      </c>
      <c r="F181" s="1" t="s">
        <v>2</v>
      </c>
    </row>
    <row r="183" spans="1:17" x14ac:dyDescent="0.2">
      <c r="A183" s="1" t="s">
        <v>3</v>
      </c>
      <c r="F183" s="1" t="s">
        <v>492</v>
      </c>
    </row>
    <row r="184" spans="1:17" x14ac:dyDescent="0.2">
      <c r="A184" s="1" t="s">
        <v>5</v>
      </c>
    </row>
    <row r="187" spans="1:17" x14ac:dyDescent="0.2">
      <c r="C187" s="1" t="s">
        <v>7</v>
      </c>
      <c r="D187" s="1" t="s">
        <v>8</v>
      </c>
      <c r="E187" s="1" t="s">
        <v>9</v>
      </c>
      <c r="G187" s="1" t="s">
        <v>10</v>
      </c>
      <c r="H187" s="1" t="s">
        <v>11</v>
      </c>
      <c r="I187" s="1" t="s">
        <v>12</v>
      </c>
      <c r="J187" s="1" t="s">
        <v>13</v>
      </c>
      <c r="K187" s="1" t="s">
        <v>14</v>
      </c>
      <c r="L187" s="1" t="s">
        <v>15</v>
      </c>
      <c r="M187" s="1" t="s">
        <v>16</v>
      </c>
      <c r="N187" s="1" t="s">
        <v>17</v>
      </c>
      <c r="O187" s="1" t="s">
        <v>18</v>
      </c>
      <c r="P187" s="1" t="s">
        <v>19</v>
      </c>
      <c r="Q187" s="1" t="s">
        <v>20</v>
      </c>
    </row>
    <row r="189" spans="1:17" x14ac:dyDescent="0.2">
      <c r="D189" s="1" t="s">
        <v>444</v>
      </c>
      <c r="E189" s="1">
        <v>1400015708</v>
      </c>
      <c r="G189" s="1" t="s">
        <v>86</v>
      </c>
      <c r="I189" s="1" t="s">
        <v>86</v>
      </c>
      <c r="K189" s="2">
        <v>-248164.51</v>
      </c>
      <c r="L189" s="1" t="s">
        <v>23</v>
      </c>
      <c r="N189" s="2">
        <v>-60624.04</v>
      </c>
      <c r="O189" s="1" t="s">
        <v>24</v>
      </c>
      <c r="P189" s="1" t="s">
        <v>493</v>
      </c>
      <c r="Q189" s="1">
        <v>4.0934999999999997</v>
      </c>
    </row>
    <row r="191" spans="1:17" x14ac:dyDescent="0.2">
      <c r="B191" s="1" t="s">
        <v>32</v>
      </c>
      <c r="K191" s="2">
        <v>-248164.51</v>
      </c>
      <c r="L191" s="1" t="s">
        <v>23</v>
      </c>
      <c r="N191" s="2">
        <v>-60624.04</v>
      </c>
      <c r="O191" s="1" t="s">
        <v>24</v>
      </c>
    </row>
    <row r="193" spans="1:17" x14ac:dyDescent="0.2">
      <c r="A193" s="3"/>
      <c r="B193" s="3" t="s">
        <v>33</v>
      </c>
      <c r="C193" s="3" t="s">
        <v>494</v>
      </c>
      <c r="D193" s="3"/>
      <c r="E193" s="3"/>
      <c r="F193" s="3"/>
      <c r="G193" s="3"/>
      <c r="H193" s="3"/>
      <c r="I193" s="3"/>
      <c r="J193" s="3"/>
      <c r="K193" s="4">
        <v>-248164.51</v>
      </c>
      <c r="L193" s="3" t="s">
        <v>23</v>
      </c>
      <c r="M193" s="3"/>
      <c r="N193" s="4">
        <v>-60624.04</v>
      </c>
      <c r="O193" s="3" t="s">
        <v>24</v>
      </c>
      <c r="P193" s="3"/>
      <c r="Q193" s="3"/>
    </row>
    <row r="195" spans="1:17" x14ac:dyDescent="0.2">
      <c r="A195" s="1" t="s">
        <v>0</v>
      </c>
      <c r="F195" s="1">
        <v>501097</v>
      </c>
    </row>
    <row r="196" spans="1:17" x14ac:dyDescent="0.2">
      <c r="A196" s="1" t="s">
        <v>1</v>
      </c>
      <c r="F196" s="1" t="s">
        <v>2</v>
      </c>
    </row>
    <row r="198" spans="1:17" x14ac:dyDescent="0.2">
      <c r="A198" s="1" t="s">
        <v>3</v>
      </c>
      <c r="F198" s="1" t="s">
        <v>495</v>
      </c>
    </row>
    <row r="199" spans="1:17" x14ac:dyDescent="0.2">
      <c r="A199" s="1" t="s">
        <v>5</v>
      </c>
      <c r="F199" s="1" t="s">
        <v>225</v>
      </c>
    </row>
    <row r="202" spans="1:17" x14ac:dyDescent="0.2">
      <c r="C202" s="1" t="s">
        <v>7</v>
      </c>
      <c r="D202" s="1" t="s">
        <v>8</v>
      </c>
      <c r="E202" s="1" t="s">
        <v>9</v>
      </c>
      <c r="G202" s="1" t="s">
        <v>10</v>
      </c>
      <c r="H202" s="1" t="s">
        <v>11</v>
      </c>
      <c r="I202" s="1" t="s">
        <v>12</v>
      </c>
      <c r="J202" s="1" t="s">
        <v>13</v>
      </c>
      <c r="K202" s="1" t="s">
        <v>14</v>
      </c>
      <c r="L202" s="1" t="s">
        <v>15</v>
      </c>
      <c r="M202" s="1" t="s">
        <v>16</v>
      </c>
      <c r="N202" s="1" t="s">
        <v>17</v>
      </c>
      <c r="O202" s="1" t="s">
        <v>18</v>
      </c>
      <c r="P202" s="1" t="s">
        <v>19</v>
      </c>
      <c r="Q202" s="1" t="s">
        <v>20</v>
      </c>
    </row>
    <row r="204" spans="1:17" x14ac:dyDescent="0.2">
      <c r="D204" s="1" t="s">
        <v>444</v>
      </c>
      <c r="E204" s="1">
        <v>1400015806</v>
      </c>
      <c r="G204" s="1" t="s">
        <v>44</v>
      </c>
      <c r="I204" s="1" t="s">
        <v>44</v>
      </c>
      <c r="K204" s="2">
        <v>-23290.959999999999</v>
      </c>
      <c r="L204" s="1" t="s">
        <v>23</v>
      </c>
      <c r="N204" s="2">
        <v>-23290.959999999999</v>
      </c>
      <c r="O204" s="1" t="s">
        <v>23</v>
      </c>
      <c r="P204" s="1" t="s">
        <v>496</v>
      </c>
      <c r="Q204" s="1">
        <v>1</v>
      </c>
    </row>
    <row r="206" spans="1:17" x14ac:dyDescent="0.2">
      <c r="B206" s="1" t="s">
        <v>32</v>
      </c>
      <c r="K206" s="2">
        <v>-23290.959999999999</v>
      </c>
      <c r="L206" s="1" t="s">
        <v>23</v>
      </c>
      <c r="N206" s="2">
        <v>-23290.959999999999</v>
      </c>
      <c r="O206" s="1" t="s">
        <v>23</v>
      </c>
    </row>
    <row r="208" spans="1:17" x14ac:dyDescent="0.2">
      <c r="A208" s="3"/>
      <c r="B208" s="3" t="s">
        <v>33</v>
      </c>
      <c r="C208" s="3" t="s">
        <v>497</v>
      </c>
      <c r="D208" s="3"/>
      <c r="E208" s="3"/>
      <c r="F208" s="3"/>
      <c r="G208" s="3"/>
      <c r="H208" s="3"/>
      <c r="I208" s="3"/>
      <c r="J208" s="3"/>
      <c r="K208" s="4">
        <v>-23290.959999999999</v>
      </c>
      <c r="L208" s="3" t="s">
        <v>23</v>
      </c>
      <c r="M208" s="3"/>
      <c r="N208" s="4">
        <v>-23290.959999999999</v>
      </c>
      <c r="O208" s="3" t="s">
        <v>23</v>
      </c>
      <c r="P208" s="3"/>
      <c r="Q208" s="3"/>
    </row>
    <row r="210" spans="1:17" x14ac:dyDescent="0.2">
      <c r="A210" s="1" t="s">
        <v>0</v>
      </c>
      <c r="F210" s="1">
        <v>501106</v>
      </c>
    </row>
    <row r="211" spans="1:17" x14ac:dyDescent="0.2">
      <c r="A211" s="1" t="s">
        <v>1</v>
      </c>
      <c r="F211" s="1" t="s">
        <v>2</v>
      </c>
    </row>
    <row r="213" spans="1:17" x14ac:dyDescent="0.2">
      <c r="A213" s="1" t="s">
        <v>3</v>
      </c>
      <c r="F213" s="1" t="s">
        <v>498</v>
      </c>
    </row>
    <row r="214" spans="1:17" x14ac:dyDescent="0.2">
      <c r="A214" s="1" t="s">
        <v>5</v>
      </c>
      <c r="F214" s="1" t="s">
        <v>499</v>
      </c>
    </row>
    <row r="217" spans="1:17" x14ac:dyDescent="0.2">
      <c r="C217" s="1" t="s">
        <v>7</v>
      </c>
      <c r="D217" s="1" t="s">
        <v>8</v>
      </c>
      <c r="E217" s="1" t="s">
        <v>9</v>
      </c>
      <c r="G217" s="1" t="s">
        <v>10</v>
      </c>
      <c r="H217" s="1" t="s">
        <v>11</v>
      </c>
      <c r="I217" s="1" t="s">
        <v>12</v>
      </c>
      <c r="J217" s="1" t="s">
        <v>13</v>
      </c>
      <c r="K217" s="1" t="s">
        <v>14</v>
      </c>
      <c r="L217" s="1" t="s">
        <v>15</v>
      </c>
      <c r="M217" s="1" t="s">
        <v>16</v>
      </c>
      <c r="N217" s="1" t="s">
        <v>17</v>
      </c>
      <c r="O217" s="1" t="s">
        <v>18</v>
      </c>
      <c r="P217" s="1" t="s">
        <v>19</v>
      </c>
      <c r="Q217" s="1" t="s">
        <v>20</v>
      </c>
    </row>
    <row r="219" spans="1:17" x14ac:dyDescent="0.2">
      <c r="D219" s="1" t="s">
        <v>444</v>
      </c>
      <c r="E219" s="1">
        <v>1400015846</v>
      </c>
      <c r="G219" s="1" t="s">
        <v>44</v>
      </c>
      <c r="I219" s="1" t="s">
        <v>44</v>
      </c>
      <c r="K219" s="2">
        <v>-34037.94</v>
      </c>
      <c r="L219" s="1" t="s">
        <v>23</v>
      </c>
      <c r="N219" s="2">
        <v>-34037.94</v>
      </c>
      <c r="O219" s="1" t="s">
        <v>23</v>
      </c>
      <c r="P219" s="1" t="s">
        <v>500</v>
      </c>
      <c r="Q219" s="1">
        <v>1</v>
      </c>
    </row>
    <row r="221" spans="1:17" x14ac:dyDescent="0.2">
      <c r="B221" s="1" t="s">
        <v>32</v>
      </c>
      <c r="K221" s="2">
        <v>-34037.94</v>
      </c>
      <c r="L221" s="1" t="s">
        <v>23</v>
      </c>
      <c r="N221" s="2">
        <v>-34037.94</v>
      </c>
      <c r="O221" s="1" t="s">
        <v>23</v>
      </c>
    </row>
    <row r="223" spans="1:17" x14ac:dyDescent="0.2">
      <c r="A223" s="3"/>
      <c r="B223" s="3" t="s">
        <v>33</v>
      </c>
      <c r="C223" s="3" t="s">
        <v>501</v>
      </c>
      <c r="D223" s="3"/>
      <c r="E223" s="3"/>
      <c r="F223" s="3"/>
      <c r="G223" s="3"/>
      <c r="H223" s="3"/>
      <c r="I223" s="3"/>
      <c r="J223" s="3"/>
      <c r="K223" s="4">
        <v>-34037.94</v>
      </c>
      <c r="L223" s="3" t="s">
        <v>23</v>
      </c>
      <c r="M223" s="3"/>
      <c r="N223" s="4">
        <v>-34037.94</v>
      </c>
      <c r="O223" s="3" t="s">
        <v>23</v>
      </c>
      <c r="P223" s="3"/>
      <c r="Q223" s="3"/>
    </row>
    <row r="225" spans="1:17" x14ac:dyDescent="0.2">
      <c r="A225" s="1" t="s">
        <v>0</v>
      </c>
      <c r="F225" s="1">
        <v>501107</v>
      </c>
    </row>
    <row r="226" spans="1:17" x14ac:dyDescent="0.2">
      <c r="A226" s="1" t="s">
        <v>1</v>
      </c>
      <c r="F226" s="1" t="s">
        <v>2</v>
      </c>
    </row>
    <row r="228" spans="1:17" x14ac:dyDescent="0.2">
      <c r="A228" s="1" t="s">
        <v>3</v>
      </c>
      <c r="F228" s="1" t="s">
        <v>498</v>
      </c>
    </row>
    <row r="229" spans="1:17" x14ac:dyDescent="0.2">
      <c r="A229" s="1" t="s">
        <v>5</v>
      </c>
      <c r="F229" s="1" t="s">
        <v>502</v>
      </c>
    </row>
    <row r="232" spans="1:17" x14ac:dyDescent="0.2">
      <c r="C232" s="1" t="s">
        <v>7</v>
      </c>
      <c r="D232" s="1" t="s">
        <v>8</v>
      </c>
      <c r="E232" s="1" t="s">
        <v>9</v>
      </c>
      <c r="G232" s="1" t="s">
        <v>10</v>
      </c>
      <c r="H232" s="1" t="s">
        <v>11</v>
      </c>
      <c r="I232" s="1" t="s">
        <v>12</v>
      </c>
      <c r="J232" s="1" t="s">
        <v>13</v>
      </c>
      <c r="K232" s="1" t="s">
        <v>14</v>
      </c>
      <c r="L232" s="1" t="s">
        <v>15</v>
      </c>
      <c r="M232" s="1" t="s">
        <v>16</v>
      </c>
      <c r="N232" s="1" t="s">
        <v>17</v>
      </c>
      <c r="O232" s="1" t="s">
        <v>18</v>
      </c>
      <c r="P232" s="1" t="s">
        <v>19</v>
      </c>
      <c r="Q232" s="1" t="s">
        <v>20</v>
      </c>
    </row>
    <row r="234" spans="1:17" x14ac:dyDescent="0.2">
      <c r="D234" s="1" t="s">
        <v>444</v>
      </c>
      <c r="E234" s="1">
        <v>1400015846</v>
      </c>
      <c r="G234" s="1" t="s">
        <v>44</v>
      </c>
      <c r="I234" s="1" t="s">
        <v>44</v>
      </c>
      <c r="K234" s="2">
        <v>-33847.78</v>
      </c>
      <c r="L234" s="1" t="s">
        <v>23</v>
      </c>
      <c r="N234" s="2">
        <v>-33847.78</v>
      </c>
      <c r="O234" s="1" t="s">
        <v>23</v>
      </c>
      <c r="P234" s="1" t="s">
        <v>503</v>
      </c>
      <c r="Q234" s="1">
        <v>1</v>
      </c>
    </row>
    <row r="236" spans="1:17" x14ac:dyDescent="0.2">
      <c r="B236" s="1" t="s">
        <v>32</v>
      </c>
      <c r="K236" s="2">
        <v>-33847.78</v>
      </c>
      <c r="L236" s="1" t="s">
        <v>23</v>
      </c>
      <c r="N236" s="2">
        <v>-33847.78</v>
      </c>
      <c r="O236" s="1" t="s">
        <v>23</v>
      </c>
    </row>
    <row r="238" spans="1:17" x14ac:dyDescent="0.2">
      <c r="A238" s="3"/>
      <c r="B238" s="3" t="s">
        <v>33</v>
      </c>
      <c r="C238" s="3" t="s">
        <v>504</v>
      </c>
      <c r="D238" s="3"/>
      <c r="E238" s="3"/>
      <c r="F238" s="3"/>
      <c r="G238" s="3"/>
      <c r="H238" s="3"/>
      <c r="I238" s="3"/>
      <c r="J238" s="3"/>
      <c r="K238" s="4">
        <v>-33847.78</v>
      </c>
      <c r="L238" s="3" t="s">
        <v>23</v>
      </c>
      <c r="M238" s="3"/>
      <c r="N238" s="4">
        <v>-33847.78</v>
      </c>
      <c r="O238" s="3" t="s">
        <v>23</v>
      </c>
      <c r="P238" s="3"/>
      <c r="Q238" s="3"/>
    </row>
    <row r="240" spans="1:17" x14ac:dyDescent="0.2">
      <c r="A240" s="1" t="s">
        <v>0</v>
      </c>
      <c r="F240" s="1">
        <v>501108</v>
      </c>
    </row>
    <row r="241" spans="1:17" x14ac:dyDescent="0.2">
      <c r="A241" s="1" t="s">
        <v>1</v>
      </c>
      <c r="F241" s="1" t="s">
        <v>2</v>
      </c>
    </row>
    <row r="243" spans="1:17" x14ac:dyDescent="0.2">
      <c r="A243" s="1" t="s">
        <v>3</v>
      </c>
      <c r="F243" s="1" t="s">
        <v>498</v>
      </c>
    </row>
    <row r="244" spans="1:17" x14ac:dyDescent="0.2">
      <c r="A244" s="1" t="s">
        <v>5</v>
      </c>
      <c r="F244" s="1" t="s">
        <v>505</v>
      </c>
    </row>
    <row r="247" spans="1:17" x14ac:dyDescent="0.2">
      <c r="C247" s="1" t="s">
        <v>7</v>
      </c>
      <c r="D247" s="1" t="s">
        <v>8</v>
      </c>
      <c r="E247" s="1" t="s">
        <v>9</v>
      </c>
      <c r="G247" s="1" t="s">
        <v>10</v>
      </c>
      <c r="H247" s="1" t="s">
        <v>11</v>
      </c>
      <c r="I247" s="1" t="s">
        <v>12</v>
      </c>
      <c r="J247" s="1" t="s">
        <v>13</v>
      </c>
      <c r="K247" s="1" t="s">
        <v>14</v>
      </c>
      <c r="L247" s="1" t="s">
        <v>15</v>
      </c>
      <c r="M247" s="1" t="s">
        <v>16</v>
      </c>
      <c r="N247" s="1" t="s">
        <v>17</v>
      </c>
      <c r="O247" s="1" t="s">
        <v>18</v>
      </c>
      <c r="P247" s="1" t="s">
        <v>19</v>
      </c>
      <c r="Q247" s="1" t="s">
        <v>20</v>
      </c>
    </row>
    <row r="249" spans="1:17" x14ac:dyDescent="0.2">
      <c r="D249" s="1" t="s">
        <v>444</v>
      </c>
      <c r="E249" s="1">
        <v>1400015846</v>
      </c>
      <c r="G249" s="1" t="s">
        <v>44</v>
      </c>
      <c r="I249" s="1" t="s">
        <v>44</v>
      </c>
      <c r="K249" s="2">
        <v>-12930.61</v>
      </c>
      <c r="L249" s="1" t="s">
        <v>23</v>
      </c>
      <c r="N249" s="2">
        <v>-12930.61</v>
      </c>
      <c r="O249" s="1" t="s">
        <v>23</v>
      </c>
      <c r="P249" s="1" t="s">
        <v>506</v>
      </c>
      <c r="Q249" s="1">
        <v>1</v>
      </c>
    </row>
    <row r="251" spans="1:17" x14ac:dyDescent="0.2">
      <c r="B251" s="1" t="s">
        <v>32</v>
      </c>
      <c r="K251" s="2">
        <v>-12930.61</v>
      </c>
      <c r="L251" s="1" t="s">
        <v>23</v>
      </c>
      <c r="N251" s="2">
        <v>-12930.61</v>
      </c>
      <c r="O251" s="1" t="s">
        <v>23</v>
      </c>
    </row>
    <row r="253" spans="1:17" x14ac:dyDescent="0.2">
      <c r="A253" s="3"/>
      <c r="B253" s="3" t="s">
        <v>33</v>
      </c>
      <c r="C253" s="3" t="s">
        <v>507</v>
      </c>
      <c r="D253" s="3"/>
      <c r="E253" s="3"/>
      <c r="F253" s="3"/>
      <c r="G253" s="3"/>
      <c r="H253" s="3"/>
      <c r="I253" s="3"/>
      <c r="J253" s="3"/>
      <c r="K253" s="4">
        <v>-12930.61</v>
      </c>
      <c r="L253" s="3" t="s">
        <v>23</v>
      </c>
      <c r="M253" s="3"/>
      <c r="N253" s="4">
        <v>-12930.61</v>
      </c>
      <c r="O253" s="3" t="s">
        <v>23</v>
      </c>
      <c r="P253" s="3"/>
      <c r="Q253" s="3"/>
    </row>
    <row r="255" spans="1:17" x14ac:dyDescent="0.2">
      <c r="A255" s="1" t="s">
        <v>0</v>
      </c>
      <c r="F255" s="1">
        <v>501109</v>
      </c>
    </row>
    <row r="256" spans="1:17" x14ac:dyDescent="0.2">
      <c r="A256" s="1" t="s">
        <v>1</v>
      </c>
      <c r="F256" s="1" t="s">
        <v>2</v>
      </c>
    </row>
    <row r="258" spans="1:17" x14ac:dyDescent="0.2">
      <c r="A258" s="1" t="s">
        <v>3</v>
      </c>
      <c r="F258" s="1" t="s">
        <v>498</v>
      </c>
    </row>
    <row r="259" spans="1:17" x14ac:dyDescent="0.2">
      <c r="A259" s="1" t="s">
        <v>5</v>
      </c>
      <c r="F259" s="1" t="s">
        <v>508</v>
      </c>
    </row>
    <row r="262" spans="1:17" x14ac:dyDescent="0.2">
      <c r="C262" s="1" t="s">
        <v>7</v>
      </c>
      <c r="D262" s="1" t="s">
        <v>8</v>
      </c>
      <c r="E262" s="1" t="s">
        <v>9</v>
      </c>
      <c r="G262" s="1" t="s">
        <v>10</v>
      </c>
      <c r="H262" s="1" t="s">
        <v>11</v>
      </c>
      <c r="I262" s="1" t="s">
        <v>12</v>
      </c>
      <c r="J262" s="1" t="s">
        <v>13</v>
      </c>
      <c r="K262" s="1" t="s">
        <v>14</v>
      </c>
      <c r="L262" s="1" t="s">
        <v>15</v>
      </c>
      <c r="M262" s="1" t="s">
        <v>16</v>
      </c>
      <c r="N262" s="1" t="s">
        <v>17</v>
      </c>
      <c r="O262" s="1" t="s">
        <v>18</v>
      </c>
      <c r="P262" s="1" t="s">
        <v>19</v>
      </c>
      <c r="Q262" s="1" t="s">
        <v>20</v>
      </c>
    </row>
    <row r="264" spans="1:17" x14ac:dyDescent="0.2">
      <c r="D264" s="1" t="s">
        <v>444</v>
      </c>
      <c r="E264" s="1">
        <v>1400015846</v>
      </c>
      <c r="G264" s="1" t="s">
        <v>44</v>
      </c>
      <c r="I264" s="1" t="s">
        <v>44</v>
      </c>
      <c r="K264" s="2">
        <v>-34220.410000000003</v>
      </c>
      <c r="L264" s="1" t="s">
        <v>23</v>
      </c>
      <c r="N264" s="2">
        <v>-34220.410000000003</v>
      </c>
      <c r="O264" s="1" t="s">
        <v>23</v>
      </c>
      <c r="P264" s="1" t="s">
        <v>509</v>
      </c>
      <c r="Q264" s="1">
        <v>1</v>
      </c>
    </row>
    <row r="266" spans="1:17" x14ac:dyDescent="0.2">
      <c r="B266" s="1" t="s">
        <v>32</v>
      </c>
      <c r="K266" s="2">
        <v>-34220.410000000003</v>
      </c>
      <c r="L266" s="1" t="s">
        <v>23</v>
      </c>
      <c r="N266" s="2">
        <v>-34220.410000000003</v>
      </c>
      <c r="O266" s="1" t="s">
        <v>23</v>
      </c>
    </row>
    <row r="268" spans="1:17" x14ac:dyDescent="0.2">
      <c r="A268" s="3"/>
      <c r="B268" s="3" t="s">
        <v>33</v>
      </c>
      <c r="C268" s="3" t="s">
        <v>510</v>
      </c>
      <c r="D268" s="3"/>
      <c r="E268" s="3"/>
      <c r="F268" s="3"/>
      <c r="G268" s="3"/>
      <c r="H268" s="3"/>
      <c r="I268" s="3"/>
      <c r="J268" s="3"/>
      <c r="K268" s="4">
        <v>-34220.410000000003</v>
      </c>
      <c r="L268" s="3" t="s">
        <v>23</v>
      </c>
      <c r="M268" s="3"/>
      <c r="N268" s="4">
        <v>-34220.410000000003</v>
      </c>
      <c r="O268" s="3" t="s">
        <v>23</v>
      </c>
      <c r="P268" s="3"/>
      <c r="Q268" s="3"/>
    </row>
    <row r="270" spans="1:17" x14ac:dyDescent="0.2">
      <c r="A270" s="1" t="s">
        <v>0</v>
      </c>
      <c r="F270" s="1">
        <v>501110</v>
      </c>
    </row>
    <row r="271" spans="1:17" x14ac:dyDescent="0.2">
      <c r="A271" s="1" t="s">
        <v>1</v>
      </c>
      <c r="F271" s="1" t="s">
        <v>2</v>
      </c>
    </row>
    <row r="273" spans="1:17" x14ac:dyDescent="0.2">
      <c r="A273" s="1" t="s">
        <v>3</v>
      </c>
      <c r="F273" s="1" t="s">
        <v>511</v>
      </c>
    </row>
    <row r="274" spans="1:17" x14ac:dyDescent="0.2">
      <c r="A274" s="1" t="s">
        <v>5</v>
      </c>
      <c r="F274" s="1" t="s">
        <v>151</v>
      </c>
    </row>
    <row r="277" spans="1:17" x14ac:dyDescent="0.2">
      <c r="C277" s="1" t="s">
        <v>7</v>
      </c>
      <c r="D277" s="1" t="s">
        <v>8</v>
      </c>
      <c r="E277" s="1" t="s">
        <v>9</v>
      </c>
      <c r="G277" s="1" t="s">
        <v>10</v>
      </c>
      <c r="H277" s="1" t="s">
        <v>11</v>
      </c>
      <c r="I277" s="1" t="s">
        <v>12</v>
      </c>
      <c r="J277" s="1" t="s">
        <v>13</v>
      </c>
      <c r="K277" s="1" t="s">
        <v>14</v>
      </c>
      <c r="L277" s="1" t="s">
        <v>15</v>
      </c>
      <c r="M277" s="1" t="s">
        <v>16</v>
      </c>
      <c r="N277" s="1" t="s">
        <v>17</v>
      </c>
      <c r="O277" s="1" t="s">
        <v>18</v>
      </c>
      <c r="P277" s="1" t="s">
        <v>19</v>
      </c>
      <c r="Q277" s="1" t="s">
        <v>20</v>
      </c>
    </row>
    <row r="279" spans="1:17" x14ac:dyDescent="0.2">
      <c r="D279" s="1" t="s">
        <v>444</v>
      </c>
      <c r="E279" s="1">
        <v>1400015830</v>
      </c>
      <c r="G279" s="1" t="s">
        <v>46</v>
      </c>
      <c r="I279" s="1" t="s">
        <v>46</v>
      </c>
      <c r="K279" s="2">
        <v>-298816.37</v>
      </c>
      <c r="L279" s="1" t="s">
        <v>23</v>
      </c>
      <c r="N279" s="2">
        <v>-298816.37</v>
      </c>
      <c r="O279" s="1" t="s">
        <v>23</v>
      </c>
      <c r="P279" s="1" t="s">
        <v>512</v>
      </c>
      <c r="Q279" s="1">
        <v>1</v>
      </c>
    </row>
    <row r="281" spans="1:17" x14ac:dyDescent="0.2">
      <c r="B281" s="1" t="s">
        <v>32</v>
      </c>
      <c r="K281" s="2">
        <v>-298816.37</v>
      </c>
      <c r="L281" s="1" t="s">
        <v>23</v>
      </c>
      <c r="N281" s="2">
        <v>-298816.37</v>
      </c>
      <c r="O281" s="1" t="s">
        <v>23</v>
      </c>
    </row>
    <row r="283" spans="1:17" x14ac:dyDescent="0.2">
      <c r="A283" s="3"/>
      <c r="B283" s="3" t="s">
        <v>33</v>
      </c>
      <c r="C283" s="3" t="s">
        <v>513</v>
      </c>
      <c r="D283" s="3"/>
      <c r="E283" s="3"/>
      <c r="F283" s="3"/>
      <c r="G283" s="3"/>
      <c r="H283" s="3"/>
      <c r="I283" s="3"/>
      <c r="J283" s="3"/>
      <c r="K283" s="4">
        <v>-298816.37</v>
      </c>
      <c r="L283" s="3" t="s">
        <v>23</v>
      </c>
      <c r="M283" s="3"/>
      <c r="N283" s="4">
        <v>-298816.37</v>
      </c>
      <c r="O283" s="3" t="s">
        <v>23</v>
      </c>
      <c r="P283" s="3"/>
      <c r="Q283" s="3"/>
    </row>
    <row r="285" spans="1:17" x14ac:dyDescent="0.2">
      <c r="A285" s="1" t="s">
        <v>0</v>
      </c>
      <c r="F285" s="1">
        <v>501114</v>
      </c>
    </row>
    <row r="286" spans="1:17" x14ac:dyDescent="0.2">
      <c r="A286" s="1" t="s">
        <v>1</v>
      </c>
      <c r="F286" s="1" t="s">
        <v>2</v>
      </c>
    </row>
    <row r="288" spans="1:17" x14ac:dyDescent="0.2">
      <c r="A288" s="1" t="s">
        <v>3</v>
      </c>
      <c r="F288" s="1" t="s">
        <v>126</v>
      </c>
    </row>
    <row r="289" spans="1:17" x14ac:dyDescent="0.2">
      <c r="A289" s="1" t="s">
        <v>5</v>
      </c>
      <c r="F289" s="1" t="s">
        <v>514</v>
      </c>
    </row>
    <row r="292" spans="1:17" x14ac:dyDescent="0.2">
      <c r="C292" s="1" t="s">
        <v>7</v>
      </c>
      <c r="D292" s="1" t="s">
        <v>8</v>
      </c>
      <c r="E292" s="1" t="s">
        <v>9</v>
      </c>
      <c r="G292" s="1" t="s">
        <v>10</v>
      </c>
      <c r="H292" s="1" t="s">
        <v>11</v>
      </c>
      <c r="I292" s="1" t="s">
        <v>12</v>
      </c>
      <c r="J292" s="1" t="s">
        <v>13</v>
      </c>
      <c r="K292" s="1" t="s">
        <v>14</v>
      </c>
      <c r="L292" s="1" t="s">
        <v>15</v>
      </c>
      <c r="M292" s="1" t="s">
        <v>16</v>
      </c>
      <c r="N292" s="1" t="s">
        <v>17</v>
      </c>
      <c r="O292" s="1" t="s">
        <v>18</v>
      </c>
      <c r="P292" s="1" t="s">
        <v>19</v>
      </c>
      <c r="Q292" s="1" t="s">
        <v>20</v>
      </c>
    </row>
    <row r="294" spans="1:17" x14ac:dyDescent="0.2">
      <c r="D294" s="1" t="s">
        <v>444</v>
      </c>
      <c r="E294" s="1">
        <v>1400015851</v>
      </c>
      <c r="G294" s="1" t="s">
        <v>48</v>
      </c>
      <c r="I294" s="1" t="s">
        <v>48</v>
      </c>
      <c r="K294" s="2">
        <v>-32865.519999999997</v>
      </c>
      <c r="L294" s="1" t="s">
        <v>23</v>
      </c>
      <c r="N294" s="2">
        <v>-32865.519999999997</v>
      </c>
      <c r="O294" s="1" t="s">
        <v>23</v>
      </c>
      <c r="P294" s="1" t="s">
        <v>515</v>
      </c>
      <c r="Q294" s="1">
        <v>1</v>
      </c>
    </row>
    <row r="296" spans="1:17" x14ac:dyDescent="0.2">
      <c r="B296" s="1" t="s">
        <v>32</v>
      </c>
      <c r="K296" s="2">
        <v>-32865.519999999997</v>
      </c>
      <c r="L296" s="1" t="s">
        <v>23</v>
      </c>
      <c r="N296" s="2">
        <v>-32865.519999999997</v>
      </c>
      <c r="O296" s="1" t="s">
        <v>23</v>
      </c>
    </row>
    <row r="298" spans="1:17" x14ac:dyDescent="0.2">
      <c r="A298" s="3"/>
      <c r="B298" s="3" t="s">
        <v>33</v>
      </c>
      <c r="C298" s="3" t="s">
        <v>516</v>
      </c>
      <c r="D298" s="3"/>
      <c r="E298" s="3"/>
      <c r="F298" s="3"/>
      <c r="G298" s="3"/>
      <c r="H298" s="3"/>
      <c r="I298" s="3"/>
      <c r="J298" s="3"/>
      <c r="K298" s="4">
        <v>-32865.519999999997</v>
      </c>
      <c r="L298" s="3" t="s">
        <v>23</v>
      </c>
      <c r="M298" s="3"/>
      <c r="N298" s="4">
        <v>-32865.519999999997</v>
      </c>
      <c r="O298" s="3" t="s">
        <v>23</v>
      </c>
      <c r="P298" s="3"/>
      <c r="Q298" s="3"/>
    </row>
    <row r="300" spans="1:17" x14ac:dyDescent="0.2">
      <c r="A300" s="1" t="s">
        <v>0</v>
      </c>
      <c r="F300" s="1">
        <v>501116</v>
      </c>
    </row>
    <row r="301" spans="1:17" x14ac:dyDescent="0.2">
      <c r="A301" s="1" t="s">
        <v>1</v>
      </c>
      <c r="F301" s="1" t="s">
        <v>2</v>
      </c>
    </row>
    <row r="303" spans="1:17" x14ac:dyDescent="0.2">
      <c r="A303" s="1" t="s">
        <v>3</v>
      </c>
      <c r="F303" s="1" t="s">
        <v>517</v>
      </c>
    </row>
    <row r="304" spans="1:17" x14ac:dyDescent="0.2">
      <c r="A304" s="1" t="s">
        <v>5</v>
      </c>
      <c r="F304" s="1" t="s">
        <v>514</v>
      </c>
    </row>
    <row r="307" spans="1:17" x14ac:dyDescent="0.2">
      <c r="C307" s="1" t="s">
        <v>7</v>
      </c>
      <c r="D307" s="1" t="s">
        <v>8</v>
      </c>
      <c r="E307" s="1" t="s">
        <v>9</v>
      </c>
      <c r="G307" s="1" t="s">
        <v>10</v>
      </c>
      <c r="H307" s="1" t="s">
        <v>11</v>
      </c>
      <c r="I307" s="1" t="s">
        <v>12</v>
      </c>
      <c r="J307" s="1" t="s">
        <v>13</v>
      </c>
      <c r="K307" s="1" t="s">
        <v>14</v>
      </c>
      <c r="L307" s="1" t="s">
        <v>15</v>
      </c>
      <c r="M307" s="1" t="s">
        <v>16</v>
      </c>
      <c r="N307" s="1" t="s">
        <v>17</v>
      </c>
      <c r="O307" s="1" t="s">
        <v>18</v>
      </c>
      <c r="P307" s="1" t="s">
        <v>19</v>
      </c>
      <c r="Q307" s="1" t="s">
        <v>20</v>
      </c>
    </row>
    <row r="309" spans="1:17" x14ac:dyDescent="0.2">
      <c r="D309" s="1" t="s">
        <v>444</v>
      </c>
      <c r="E309" s="1">
        <v>1400015867</v>
      </c>
      <c r="G309" s="1" t="s">
        <v>44</v>
      </c>
      <c r="I309" s="1" t="s">
        <v>44</v>
      </c>
      <c r="K309" s="2">
        <v>-439557.36</v>
      </c>
      <c r="L309" s="1" t="s">
        <v>23</v>
      </c>
      <c r="N309" s="2">
        <v>-439557.36</v>
      </c>
      <c r="O309" s="1" t="s">
        <v>23</v>
      </c>
      <c r="P309" s="1" t="s">
        <v>518</v>
      </c>
      <c r="Q309" s="1">
        <v>1</v>
      </c>
    </row>
    <row r="311" spans="1:17" x14ac:dyDescent="0.2">
      <c r="B311" s="1" t="s">
        <v>32</v>
      </c>
      <c r="K311" s="2">
        <v>-439557.36</v>
      </c>
      <c r="L311" s="1" t="s">
        <v>23</v>
      </c>
      <c r="N311" s="2">
        <v>-439557.36</v>
      </c>
      <c r="O311" s="1" t="s">
        <v>23</v>
      </c>
    </row>
    <row r="313" spans="1:17" x14ac:dyDescent="0.2">
      <c r="A313" s="3"/>
      <c r="B313" s="3" t="s">
        <v>33</v>
      </c>
      <c r="C313" s="3" t="s">
        <v>519</v>
      </c>
      <c r="D313" s="3"/>
      <c r="E313" s="3"/>
      <c r="F313" s="3"/>
      <c r="G313" s="3"/>
      <c r="H313" s="3"/>
      <c r="I313" s="3"/>
      <c r="J313" s="3"/>
      <c r="K313" s="4">
        <v>-439557.36</v>
      </c>
      <c r="L313" s="3" t="s">
        <v>23</v>
      </c>
      <c r="M313" s="3"/>
      <c r="N313" s="4">
        <v>-439557.36</v>
      </c>
      <c r="O313" s="3" t="s">
        <v>23</v>
      </c>
      <c r="P313" s="3"/>
      <c r="Q313" s="3"/>
    </row>
    <row r="315" spans="1:17" x14ac:dyDescent="0.2">
      <c r="A315" s="1" t="s">
        <v>0</v>
      </c>
      <c r="F315" s="1">
        <v>501118</v>
      </c>
    </row>
    <row r="316" spans="1:17" x14ac:dyDescent="0.2">
      <c r="A316" s="1" t="s">
        <v>1</v>
      </c>
      <c r="F316" s="1" t="s">
        <v>2</v>
      </c>
    </row>
    <row r="318" spans="1:17" x14ac:dyDescent="0.2">
      <c r="A318" s="1" t="s">
        <v>3</v>
      </c>
      <c r="F318" s="1" t="s">
        <v>520</v>
      </c>
    </row>
    <row r="319" spans="1:17" x14ac:dyDescent="0.2">
      <c r="A319" s="1" t="s">
        <v>5</v>
      </c>
      <c r="F319" s="1" t="s">
        <v>514</v>
      </c>
    </row>
    <row r="322" spans="1:17" x14ac:dyDescent="0.2">
      <c r="C322" s="1" t="s">
        <v>7</v>
      </c>
      <c r="D322" s="1" t="s">
        <v>8</v>
      </c>
      <c r="E322" s="1" t="s">
        <v>9</v>
      </c>
      <c r="G322" s="1" t="s">
        <v>10</v>
      </c>
      <c r="H322" s="1" t="s">
        <v>11</v>
      </c>
      <c r="I322" s="1" t="s">
        <v>12</v>
      </c>
      <c r="J322" s="1" t="s">
        <v>13</v>
      </c>
      <c r="K322" s="1" t="s">
        <v>14</v>
      </c>
      <c r="L322" s="1" t="s">
        <v>15</v>
      </c>
      <c r="M322" s="1" t="s">
        <v>16</v>
      </c>
      <c r="N322" s="1" t="s">
        <v>17</v>
      </c>
      <c r="O322" s="1" t="s">
        <v>18</v>
      </c>
      <c r="P322" s="1" t="s">
        <v>19</v>
      </c>
      <c r="Q322" s="1" t="s">
        <v>20</v>
      </c>
    </row>
    <row r="324" spans="1:17" x14ac:dyDescent="0.2">
      <c r="D324" s="1" t="s">
        <v>444</v>
      </c>
      <c r="E324" s="1">
        <v>1400015794</v>
      </c>
      <c r="G324" s="1" t="s">
        <v>36</v>
      </c>
      <c r="I324" s="1" t="s">
        <v>36</v>
      </c>
      <c r="K324" s="2">
        <v>-90474.5</v>
      </c>
      <c r="L324" s="1" t="s">
        <v>23</v>
      </c>
      <c r="N324" s="2">
        <v>-90474.5</v>
      </c>
      <c r="O324" s="1" t="s">
        <v>23</v>
      </c>
      <c r="P324" s="1" t="s">
        <v>521</v>
      </c>
      <c r="Q324" s="1">
        <v>1</v>
      </c>
    </row>
    <row r="326" spans="1:17" x14ac:dyDescent="0.2">
      <c r="B326" s="1" t="s">
        <v>32</v>
      </c>
      <c r="K326" s="2">
        <v>-90474.5</v>
      </c>
      <c r="L326" s="1" t="s">
        <v>23</v>
      </c>
      <c r="N326" s="2">
        <v>-90474.5</v>
      </c>
      <c r="O326" s="1" t="s">
        <v>23</v>
      </c>
    </row>
    <row r="328" spans="1:17" x14ac:dyDescent="0.2">
      <c r="A328" s="3"/>
      <c r="B328" s="3" t="s">
        <v>33</v>
      </c>
      <c r="C328" s="3" t="s">
        <v>522</v>
      </c>
      <c r="D328" s="3"/>
      <c r="E328" s="3"/>
      <c r="F328" s="3"/>
      <c r="G328" s="3"/>
      <c r="H328" s="3"/>
      <c r="I328" s="3"/>
      <c r="J328" s="3"/>
      <c r="K328" s="4">
        <v>-90474.5</v>
      </c>
      <c r="L328" s="3" t="s">
        <v>23</v>
      </c>
      <c r="M328" s="3"/>
      <c r="N328" s="4">
        <v>-90474.5</v>
      </c>
      <c r="O328" s="3" t="s">
        <v>23</v>
      </c>
      <c r="P328" s="3"/>
      <c r="Q328" s="3"/>
    </row>
    <row r="330" spans="1:17" x14ac:dyDescent="0.2">
      <c r="A330" s="1" t="s">
        <v>0</v>
      </c>
      <c r="F330" s="1">
        <v>501123</v>
      </c>
    </row>
    <row r="331" spans="1:17" x14ac:dyDescent="0.2">
      <c r="A331" s="1" t="s">
        <v>1</v>
      </c>
      <c r="F331" s="1" t="s">
        <v>2</v>
      </c>
    </row>
    <row r="333" spans="1:17" x14ac:dyDescent="0.2">
      <c r="A333" s="1" t="s">
        <v>3</v>
      </c>
      <c r="F333" s="1" t="s">
        <v>84</v>
      </c>
    </row>
    <row r="334" spans="1:17" x14ac:dyDescent="0.2">
      <c r="A334" s="1" t="s">
        <v>5</v>
      </c>
      <c r="F334" s="1" t="s">
        <v>55</v>
      </c>
    </row>
    <row r="337" spans="1:17" x14ac:dyDescent="0.2">
      <c r="C337" s="1" t="s">
        <v>7</v>
      </c>
      <c r="D337" s="1" t="s">
        <v>8</v>
      </c>
      <c r="E337" s="1" t="s">
        <v>9</v>
      </c>
      <c r="G337" s="1" t="s">
        <v>10</v>
      </c>
      <c r="H337" s="1" t="s">
        <v>11</v>
      </c>
      <c r="I337" s="1" t="s">
        <v>12</v>
      </c>
      <c r="J337" s="1" t="s">
        <v>13</v>
      </c>
      <c r="K337" s="1" t="s">
        <v>14</v>
      </c>
      <c r="L337" s="1" t="s">
        <v>15</v>
      </c>
      <c r="M337" s="1" t="s">
        <v>16</v>
      </c>
      <c r="N337" s="1" t="s">
        <v>17</v>
      </c>
      <c r="O337" s="1" t="s">
        <v>18</v>
      </c>
      <c r="P337" s="1" t="s">
        <v>19</v>
      </c>
      <c r="Q337" s="1" t="s">
        <v>20</v>
      </c>
    </row>
    <row r="339" spans="1:17" x14ac:dyDescent="0.2">
      <c r="D339" s="1" t="s">
        <v>444</v>
      </c>
      <c r="E339" s="1">
        <v>1400015743</v>
      </c>
      <c r="G339" s="1" t="s">
        <v>36</v>
      </c>
      <c r="I339" s="1" t="s">
        <v>36</v>
      </c>
      <c r="K339" s="2">
        <v>-1383432.75</v>
      </c>
      <c r="L339" s="1" t="s">
        <v>23</v>
      </c>
      <c r="N339" s="2">
        <v>-1383432.75</v>
      </c>
      <c r="O339" s="1" t="s">
        <v>23</v>
      </c>
      <c r="P339" s="1" t="s">
        <v>523</v>
      </c>
      <c r="Q339" s="1">
        <v>1</v>
      </c>
    </row>
    <row r="341" spans="1:17" x14ac:dyDescent="0.2">
      <c r="B341" s="1" t="s">
        <v>32</v>
      </c>
      <c r="K341" s="2">
        <v>-1383432.75</v>
      </c>
      <c r="L341" s="1" t="s">
        <v>23</v>
      </c>
      <c r="N341" s="2">
        <v>-1383432.75</v>
      </c>
      <c r="O341" s="1" t="s">
        <v>23</v>
      </c>
    </row>
    <row r="343" spans="1:17" x14ac:dyDescent="0.2">
      <c r="A343" s="3"/>
      <c r="B343" s="3" t="s">
        <v>33</v>
      </c>
      <c r="C343" s="3" t="s">
        <v>88</v>
      </c>
      <c r="D343" s="3"/>
      <c r="E343" s="3"/>
      <c r="F343" s="3"/>
      <c r="G343" s="3"/>
      <c r="H343" s="3"/>
      <c r="I343" s="3"/>
      <c r="J343" s="3"/>
      <c r="K343" s="4">
        <v>-1383432.75</v>
      </c>
      <c r="L343" s="3" t="s">
        <v>23</v>
      </c>
      <c r="M343" s="3"/>
      <c r="N343" s="4">
        <v>-1383432.75</v>
      </c>
      <c r="O343" s="3" t="s">
        <v>23</v>
      </c>
      <c r="P343" s="3"/>
      <c r="Q343" s="3"/>
    </row>
    <row r="345" spans="1:17" x14ac:dyDescent="0.2">
      <c r="A345" s="1" t="s">
        <v>0</v>
      </c>
      <c r="F345" s="1">
        <v>501124</v>
      </c>
    </row>
    <row r="346" spans="1:17" x14ac:dyDescent="0.2">
      <c r="A346" s="1" t="s">
        <v>1</v>
      </c>
      <c r="F346" s="1" t="s">
        <v>2</v>
      </c>
    </row>
    <row r="348" spans="1:17" x14ac:dyDescent="0.2">
      <c r="A348" s="1" t="s">
        <v>3</v>
      </c>
      <c r="F348" s="1" t="s">
        <v>89</v>
      </c>
    </row>
    <row r="349" spans="1:17" x14ac:dyDescent="0.2">
      <c r="A349" s="1" t="s">
        <v>5</v>
      </c>
      <c r="F349" s="1" t="s">
        <v>55</v>
      </c>
    </row>
    <row r="352" spans="1:17" x14ac:dyDescent="0.2">
      <c r="C352" s="1" t="s">
        <v>7</v>
      </c>
      <c r="D352" s="1" t="s">
        <v>8</v>
      </c>
      <c r="E352" s="1" t="s">
        <v>9</v>
      </c>
      <c r="G352" s="1" t="s">
        <v>10</v>
      </c>
      <c r="H352" s="1" t="s">
        <v>11</v>
      </c>
      <c r="I352" s="1" t="s">
        <v>12</v>
      </c>
      <c r="J352" s="1" t="s">
        <v>13</v>
      </c>
      <c r="K352" s="1" t="s">
        <v>14</v>
      </c>
      <c r="L352" s="1" t="s">
        <v>15</v>
      </c>
      <c r="M352" s="1" t="s">
        <v>16</v>
      </c>
      <c r="N352" s="1" t="s">
        <v>17</v>
      </c>
      <c r="O352" s="1" t="s">
        <v>18</v>
      </c>
      <c r="P352" s="1" t="s">
        <v>19</v>
      </c>
      <c r="Q352" s="1" t="s">
        <v>20</v>
      </c>
    </row>
    <row r="354" spans="1:17" x14ac:dyDescent="0.2">
      <c r="D354" s="1" t="s">
        <v>444</v>
      </c>
      <c r="E354" s="1">
        <v>1400015747</v>
      </c>
      <c r="G354" s="1" t="s">
        <v>39</v>
      </c>
      <c r="I354" s="1" t="s">
        <v>39</v>
      </c>
      <c r="K354" s="2">
        <v>-1197777</v>
      </c>
      <c r="L354" s="1" t="s">
        <v>23</v>
      </c>
      <c r="N354" s="2">
        <v>-1197777</v>
      </c>
      <c r="O354" s="1" t="s">
        <v>23</v>
      </c>
      <c r="P354" s="1" t="s">
        <v>524</v>
      </c>
      <c r="Q354" s="1">
        <v>1</v>
      </c>
    </row>
    <row r="355" spans="1:17" x14ac:dyDescent="0.2">
      <c r="D355" s="1" t="s">
        <v>444</v>
      </c>
      <c r="E355" s="1">
        <v>1400015772</v>
      </c>
      <c r="G355" s="1" t="s">
        <v>86</v>
      </c>
      <c r="I355" s="1" t="s">
        <v>86</v>
      </c>
      <c r="K355" s="2">
        <v>-282145</v>
      </c>
      <c r="L355" s="1" t="s">
        <v>23</v>
      </c>
      <c r="N355" s="2">
        <v>-282145</v>
      </c>
      <c r="O355" s="1" t="s">
        <v>23</v>
      </c>
      <c r="P355" s="1" t="s">
        <v>525</v>
      </c>
      <c r="Q355" s="1">
        <v>1</v>
      </c>
    </row>
    <row r="357" spans="1:17" x14ac:dyDescent="0.2">
      <c r="B357" s="1" t="s">
        <v>32</v>
      </c>
      <c r="K357" s="2">
        <v>-1479922</v>
      </c>
      <c r="L357" s="1" t="s">
        <v>23</v>
      </c>
      <c r="N357" s="2">
        <v>-1479922</v>
      </c>
      <c r="O357" s="1" t="s">
        <v>23</v>
      </c>
    </row>
    <row r="359" spans="1:17" x14ac:dyDescent="0.2">
      <c r="A359" s="3"/>
      <c r="B359" s="3" t="s">
        <v>33</v>
      </c>
      <c r="C359" s="3" t="s">
        <v>91</v>
      </c>
      <c r="D359" s="3"/>
      <c r="E359" s="3"/>
      <c r="F359" s="3"/>
      <c r="G359" s="3"/>
      <c r="H359" s="3"/>
      <c r="I359" s="3"/>
      <c r="J359" s="3"/>
      <c r="K359" s="4">
        <v>-1479922</v>
      </c>
      <c r="L359" s="3" t="s">
        <v>23</v>
      </c>
      <c r="M359" s="3"/>
      <c r="N359" s="4">
        <v>-1479922</v>
      </c>
      <c r="O359" s="3" t="s">
        <v>23</v>
      </c>
      <c r="P359" s="3"/>
      <c r="Q359" s="3"/>
    </row>
    <row r="361" spans="1:17" x14ac:dyDescent="0.2">
      <c r="A361" s="1" t="s">
        <v>0</v>
      </c>
      <c r="F361" s="1">
        <v>501127</v>
      </c>
    </row>
    <row r="362" spans="1:17" x14ac:dyDescent="0.2">
      <c r="A362" s="1" t="s">
        <v>1</v>
      </c>
      <c r="F362" s="1" t="s">
        <v>2</v>
      </c>
    </row>
    <row r="364" spans="1:17" x14ac:dyDescent="0.2">
      <c r="A364" s="1" t="s">
        <v>3</v>
      </c>
      <c r="F364" s="1" t="s">
        <v>89</v>
      </c>
    </row>
    <row r="365" spans="1:17" x14ac:dyDescent="0.2">
      <c r="A365" s="1" t="s">
        <v>5</v>
      </c>
      <c r="F365" s="1" t="s">
        <v>514</v>
      </c>
    </row>
    <row r="368" spans="1:17" x14ac:dyDescent="0.2">
      <c r="C368" s="1" t="s">
        <v>7</v>
      </c>
      <c r="D368" s="1" t="s">
        <v>8</v>
      </c>
      <c r="E368" s="1" t="s">
        <v>9</v>
      </c>
      <c r="G368" s="1" t="s">
        <v>10</v>
      </c>
      <c r="H368" s="1" t="s">
        <v>11</v>
      </c>
      <c r="I368" s="1" t="s">
        <v>12</v>
      </c>
      <c r="J368" s="1" t="s">
        <v>13</v>
      </c>
      <c r="K368" s="1" t="s">
        <v>14</v>
      </c>
      <c r="L368" s="1" t="s">
        <v>15</v>
      </c>
      <c r="M368" s="1" t="s">
        <v>16</v>
      </c>
      <c r="N368" s="1" t="s">
        <v>17</v>
      </c>
      <c r="O368" s="1" t="s">
        <v>18</v>
      </c>
      <c r="P368" s="1" t="s">
        <v>19</v>
      </c>
      <c r="Q368" s="1" t="s">
        <v>20</v>
      </c>
    </row>
    <row r="370" spans="1:17" x14ac:dyDescent="0.2">
      <c r="D370" s="1" t="s">
        <v>444</v>
      </c>
      <c r="E370" s="1">
        <v>1400015800</v>
      </c>
      <c r="G370" s="1" t="s">
        <v>104</v>
      </c>
      <c r="I370" s="1" t="s">
        <v>104</v>
      </c>
      <c r="K370" s="2">
        <v>-31388.22</v>
      </c>
      <c r="L370" s="1" t="s">
        <v>23</v>
      </c>
      <c r="N370" s="2">
        <v>-31388.22</v>
      </c>
      <c r="O370" s="1" t="s">
        <v>23</v>
      </c>
      <c r="P370" s="1" t="s">
        <v>526</v>
      </c>
      <c r="Q370" s="1">
        <v>1</v>
      </c>
    </row>
    <row r="372" spans="1:17" x14ac:dyDescent="0.2">
      <c r="B372" s="1" t="s">
        <v>32</v>
      </c>
      <c r="K372" s="2">
        <v>-31388.22</v>
      </c>
      <c r="L372" s="1" t="s">
        <v>23</v>
      </c>
      <c r="N372" s="2">
        <v>-31388.22</v>
      </c>
      <c r="O372" s="1" t="s">
        <v>23</v>
      </c>
    </row>
    <row r="374" spans="1:17" x14ac:dyDescent="0.2">
      <c r="A374" s="3"/>
      <c r="B374" s="3" t="s">
        <v>33</v>
      </c>
      <c r="C374" s="3" t="s">
        <v>527</v>
      </c>
      <c r="D374" s="3"/>
      <c r="E374" s="3"/>
      <c r="F374" s="3"/>
      <c r="G374" s="3"/>
      <c r="H374" s="3"/>
      <c r="I374" s="3"/>
      <c r="J374" s="3"/>
      <c r="K374" s="4">
        <v>-31388.22</v>
      </c>
      <c r="L374" s="3" t="s">
        <v>23</v>
      </c>
      <c r="M374" s="3"/>
      <c r="N374" s="4">
        <v>-31388.22</v>
      </c>
      <c r="O374" s="3" t="s">
        <v>23</v>
      </c>
      <c r="P374" s="3"/>
      <c r="Q374" s="3"/>
    </row>
    <row r="376" spans="1:17" x14ac:dyDescent="0.2">
      <c r="A376" s="1" t="s">
        <v>0</v>
      </c>
      <c r="F376" s="1">
        <v>501129</v>
      </c>
    </row>
    <row r="377" spans="1:17" x14ac:dyDescent="0.2">
      <c r="A377" s="1" t="s">
        <v>1</v>
      </c>
      <c r="F377" s="1" t="s">
        <v>2</v>
      </c>
    </row>
    <row r="379" spans="1:17" x14ac:dyDescent="0.2">
      <c r="A379" s="1" t="s">
        <v>3</v>
      </c>
      <c r="F379" s="1" t="s">
        <v>96</v>
      </c>
    </row>
    <row r="380" spans="1:17" x14ac:dyDescent="0.2">
      <c r="A380" s="1" t="s">
        <v>5</v>
      </c>
      <c r="F380" s="1" t="s">
        <v>55</v>
      </c>
    </row>
    <row r="383" spans="1:17" x14ac:dyDescent="0.2">
      <c r="C383" s="1" t="s">
        <v>7</v>
      </c>
      <c r="D383" s="1" t="s">
        <v>8</v>
      </c>
      <c r="E383" s="1" t="s">
        <v>9</v>
      </c>
      <c r="G383" s="1" t="s">
        <v>10</v>
      </c>
      <c r="H383" s="1" t="s">
        <v>11</v>
      </c>
      <c r="I383" s="1" t="s">
        <v>12</v>
      </c>
      <c r="J383" s="1" t="s">
        <v>13</v>
      </c>
      <c r="K383" s="1" t="s">
        <v>14</v>
      </c>
      <c r="L383" s="1" t="s">
        <v>15</v>
      </c>
      <c r="M383" s="1" t="s">
        <v>16</v>
      </c>
      <c r="N383" s="1" t="s">
        <v>17</v>
      </c>
      <c r="O383" s="1" t="s">
        <v>18</v>
      </c>
      <c r="P383" s="1" t="s">
        <v>19</v>
      </c>
      <c r="Q383" s="1" t="s">
        <v>20</v>
      </c>
    </row>
    <row r="385" spans="4:17" x14ac:dyDescent="0.2">
      <c r="D385" s="1" t="s">
        <v>444</v>
      </c>
      <c r="E385" s="1">
        <v>1400015754</v>
      </c>
      <c r="G385" s="1" t="s">
        <v>22</v>
      </c>
      <c r="I385" s="1" t="s">
        <v>22</v>
      </c>
      <c r="K385" s="2">
        <v>-84677.29</v>
      </c>
      <c r="L385" s="1" t="s">
        <v>23</v>
      </c>
      <c r="N385" s="2">
        <v>-84677.29</v>
      </c>
      <c r="O385" s="1" t="s">
        <v>23</v>
      </c>
      <c r="P385" s="1" t="s">
        <v>528</v>
      </c>
      <c r="Q385" s="1">
        <v>1</v>
      </c>
    </row>
    <row r="386" spans="4:17" x14ac:dyDescent="0.2">
      <c r="D386" s="1" t="s">
        <v>444</v>
      </c>
      <c r="E386" s="1">
        <v>1400015763</v>
      </c>
      <c r="G386" s="1" t="s">
        <v>26</v>
      </c>
      <c r="I386" s="1" t="s">
        <v>26</v>
      </c>
      <c r="K386" s="2">
        <v>-247238.2</v>
      </c>
      <c r="L386" s="1" t="s">
        <v>23</v>
      </c>
      <c r="N386" s="2">
        <v>-247238.2</v>
      </c>
      <c r="O386" s="1" t="s">
        <v>23</v>
      </c>
      <c r="P386" s="1" t="s">
        <v>529</v>
      </c>
      <c r="Q386" s="1">
        <v>1</v>
      </c>
    </row>
    <row r="387" spans="4:17" x14ac:dyDescent="0.2">
      <c r="D387" s="1" t="s">
        <v>444</v>
      </c>
      <c r="E387" s="1">
        <v>1400015771</v>
      </c>
      <c r="G387" s="1" t="s">
        <v>86</v>
      </c>
      <c r="I387" s="1" t="s">
        <v>86</v>
      </c>
      <c r="K387" s="2">
        <v>-46074.39</v>
      </c>
      <c r="L387" s="1" t="s">
        <v>23</v>
      </c>
      <c r="N387" s="2">
        <v>-46074.39</v>
      </c>
      <c r="O387" s="1" t="s">
        <v>23</v>
      </c>
      <c r="P387" s="1" t="s">
        <v>530</v>
      </c>
      <c r="Q387" s="1">
        <v>1</v>
      </c>
    </row>
    <row r="388" spans="4:17" x14ac:dyDescent="0.2">
      <c r="D388" s="1" t="s">
        <v>444</v>
      </c>
      <c r="E388" s="1">
        <v>1400015771</v>
      </c>
      <c r="G388" s="1" t="s">
        <v>86</v>
      </c>
      <c r="I388" s="1" t="s">
        <v>86</v>
      </c>
      <c r="K388" s="2">
        <v>-83182.25</v>
      </c>
      <c r="L388" s="1" t="s">
        <v>23</v>
      </c>
      <c r="N388" s="2">
        <v>-83182.25</v>
      </c>
      <c r="O388" s="1" t="s">
        <v>23</v>
      </c>
      <c r="P388" s="1" t="s">
        <v>531</v>
      </c>
      <c r="Q388" s="1">
        <v>1</v>
      </c>
    </row>
    <row r="389" spans="4:17" x14ac:dyDescent="0.2">
      <c r="D389" s="1" t="s">
        <v>444</v>
      </c>
      <c r="E389" s="1">
        <v>1400015771</v>
      </c>
      <c r="G389" s="1" t="s">
        <v>86</v>
      </c>
      <c r="I389" s="1" t="s">
        <v>86</v>
      </c>
      <c r="K389" s="2">
        <v>-63247.06</v>
      </c>
      <c r="L389" s="1" t="s">
        <v>23</v>
      </c>
      <c r="N389" s="2">
        <v>-63247.06</v>
      </c>
      <c r="O389" s="1" t="s">
        <v>23</v>
      </c>
      <c r="P389" s="1" t="s">
        <v>532</v>
      </c>
      <c r="Q389" s="1">
        <v>1</v>
      </c>
    </row>
    <row r="390" spans="4:17" x14ac:dyDescent="0.2">
      <c r="D390" s="1" t="s">
        <v>444</v>
      </c>
      <c r="E390" s="1">
        <v>1400015771</v>
      </c>
      <c r="G390" s="1" t="s">
        <v>86</v>
      </c>
      <c r="I390" s="1" t="s">
        <v>86</v>
      </c>
      <c r="K390" s="2">
        <v>-128332.29</v>
      </c>
      <c r="L390" s="1" t="s">
        <v>23</v>
      </c>
      <c r="N390" s="2">
        <v>-128332.29</v>
      </c>
      <c r="O390" s="1" t="s">
        <v>23</v>
      </c>
      <c r="P390" s="1" t="s">
        <v>533</v>
      </c>
      <c r="Q390" s="1">
        <v>1</v>
      </c>
    </row>
    <row r="391" spans="4:17" x14ac:dyDescent="0.2">
      <c r="D391" s="1" t="s">
        <v>444</v>
      </c>
      <c r="E391" s="1">
        <v>1400015823</v>
      </c>
      <c r="G391" s="1" t="s">
        <v>64</v>
      </c>
      <c r="I391" s="1" t="s">
        <v>64</v>
      </c>
      <c r="K391" s="2">
        <v>-24037.52</v>
      </c>
      <c r="L391" s="1" t="s">
        <v>23</v>
      </c>
      <c r="N391" s="2">
        <v>-24037.52</v>
      </c>
      <c r="O391" s="1" t="s">
        <v>23</v>
      </c>
      <c r="P391" s="1" t="s">
        <v>534</v>
      </c>
      <c r="Q391" s="1">
        <v>1</v>
      </c>
    </row>
    <row r="392" spans="4:17" x14ac:dyDescent="0.2">
      <c r="D392" s="1" t="s">
        <v>444</v>
      </c>
      <c r="E392" s="1">
        <v>1400015823</v>
      </c>
      <c r="G392" s="1" t="s">
        <v>64</v>
      </c>
      <c r="I392" s="1" t="s">
        <v>64</v>
      </c>
      <c r="K392" s="2">
        <v>-138829.51</v>
      </c>
      <c r="L392" s="1" t="s">
        <v>23</v>
      </c>
      <c r="N392" s="2">
        <v>-138829.51</v>
      </c>
      <c r="O392" s="1" t="s">
        <v>23</v>
      </c>
      <c r="P392" s="1" t="s">
        <v>535</v>
      </c>
      <c r="Q392" s="1">
        <v>1</v>
      </c>
    </row>
    <row r="393" spans="4:17" x14ac:dyDescent="0.2">
      <c r="D393" s="1" t="s">
        <v>444</v>
      </c>
      <c r="E393" s="1">
        <v>1400015829</v>
      </c>
      <c r="G393" s="1" t="s">
        <v>46</v>
      </c>
      <c r="I393" s="1" t="s">
        <v>46</v>
      </c>
      <c r="K393" s="2">
        <v>-106017.8</v>
      </c>
      <c r="L393" s="1" t="s">
        <v>23</v>
      </c>
      <c r="N393" s="2">
        <v>-106017.8</v>
      </c>
      <c r="O393" s="1" t="s">
        <v>23</v>
      </c>
      <c r="P393" s="1" t="s">
        <v>536</v>
      </c>
      <c r="Q393" s="1">
        <v>1</v>
      </c>
    </row>
    <row r="394" spans="4:17" x14ac:dyDescent="0.2">
      <c r="D394" s="1" t="s">
        <v>444</v>
      </c>
      <c r="E394" s="1">
        <v>1400015829</v>
      </c>
      <c r="G394" s="1" t="s">
        <v>46</v>
      </c>
      <c r="I394" s="1" t="s">
        <v>46</v>
      </c>
      <c r="K394" s="2">
        <v>-98524.23</v>
      </c>
      <c r="L394" s="1" t="s">
        <v>23</v>
      </c>
      <c r="N394" s="2">
        <v>-98524.23</v>
      </c>
      <c r="O394" s="1" t="s">
        <v>23</v>
      </c>
      <c r="P394" s="1" t="s">
        <v>537</v>
      </c>
      <c r="Q394" s="1">
        <v>1</v>
      </c>
    </row>
    <row r="395" spans="4:17" x14ac:dyDescent="0.2">
      <c r="D395" s="1" t="s">
        <v>444</v>
      </c>
      <c r="E395" s="1">
        <v>1400015829</v>
      </c>
      <c r="G395" s="1" t="s">
        <v>46</v>
      </c>
      <c r="I395" s="1" t="s">
        <v>46</v>
      </c>
      <c r="K395" s="2">
        <v>-122935.43</v>
      </c>
      <c r="L395" s="1" t="s">
        <v>23</v>
      </c>
      <c r="N395" s="2">
        <v>-122935.43</v>
      </c>
      <c r="O395" s="1" t="s">
        <v>23</v>
      </c>
      <c r="P395" s="1" t="s">
        <v>538</v>
      </c>
      <c r="Q395" s="1">
        <v>1</v>
      </c>
    </row>
    <row r="396" spans="4:17" x14ac:dyDescent="0.2">
      <c r="D396" s="1" t="s">
        <v>444</v>
      </c>
      <c r="E396" s="1">
        <v>1400015829</v>
      </c>
      <c r="G396" s="1" t="s">
        <v>46</v>
      </c>
      <c r="I396" s="1" t="s">
        <v>46</v>
      </c>
      <c r="K396" s="2">
        <v>-107266.99</v>
      </c>
      <c r="L396" s="1" t="s">
        <v>23</v>
      </c>
      <c r="N396" s="2">
        <v>-107266.99</v>
      </c>
      <c r="O396" s="1" t="s">
        <v>23</v>
      </c>
      <c r="P396" s="1" t="s">
        <v>539</v>
      </c>
      <c r="Q396" s="1">
        <v>1</v>
      </c>
    </row>
    <row r="397" spans="4:17" x14ac:dyDescent="0.2">
      <c r="D397" s="1" t="s">
        <v>444</v>
      </c>
      <c r="E397" s="1">
        <v>1400015829</v>
      </c>
      <c r="G397" s="1" t="s">
        <v>46</v>
      </c>
      <c r="I397" s="1" t="s">
        <v>46</v>
      </c>
      <c r="K397" s="2">
        <v>-86632.8</v>
      </c>
      <c r="L397" s="1" t="s">
        <v>23</v>
      </c>
      <c r="N397" s="2">
        <v>-86632.8</v>
      </c>
      <c r="O397" s="1" t="s">
        <v>23</v>
      </c>
      <c r="P397" s="1" t="s">
        <v>540</v>
      </c>
      <c r="Q397" s="1">
        <v>1</v>
      </c>
    </row>
    <row r="398" spans="4:17" x14ac:dyDescent="0.2">
      <c r="D398" s="1" t="s">
        <v>444</v>
      </c>
      <c r="E398" s="1">
        <v>1400015835</v>
      </c>
      <c r="G398" s="1" t="s">
        <v>28</v>
      </c>
      <c r="I398" s="1" t="s">
        <v>28</v>
      </c>
      <c r="K398" s="2">
        <v>-85287.86</v>
      </c>
      <c r="L398" s="1" t="s">
        <v>23</v>
      </c>
      <c r="N398" s="2">
        <v>-85287.86</v>
      </c>
      <c r="O398" s="1" t="s">
        <v>23</v>
      </c>
      <c r="P398" s="1" t="s">
        <v>541</v>
      </c>
      <c r="Q398" s="1">
        <v>1</v>
      </c>
    </row>
    <row r="399" spans="4:17" x14ac:dyDescent="0.2">
      <c r="D399" s="1" t="s">
        <v>444</v>
      </c>
      <c r="E399" s="1">
        <v>1400015842</v>
      </c>
      <c r="G399" s="1" t="s">
        <v>67</v>
      </c>
      <c r="I399" s="1" t="s">
        <v>67</v>
      </c>
      <c r="K399" s="2">
        <v>-85177.27</v>
      </c>
      <c r="L399" s="1" t="s">
        <v>23</v>
      </c>
      <c r="N399" s="2">
        <v>-85177.27</v>
      </c>
      <c r="O399" s="1" t="s">
        <v>23</v>
      </c>
      <c r="P399" s="1" t="s">
        <v>542</v>
      </c>
      <c r="Q399" s="1">
        <v>1</v>
      </c>
    </row>
    <row r="400" spans="4:17" x14ac:dyDescent="0.2">
      <c r="D400" s="1" t="s">
        <v>444</v>
      </c>
      <c r="E400" s="1">
        <v>1400015842</v>
      </c>
      <c r="G400" s="1" t="s">
        <v>67</v>
      </c>
      <c r="I400" s="1" t="s">
        <v>67</v>
      </c>
      <c r="K400" s="2">
        <v>-82708.179999999993</v>
      </c>
      <c r="L400" s="1" t="s">
        <v>23</v>
      </c>
      <c r="N400" s="2">
        <v>-82708.179999999993</v>
      </c>
      <c r="O400" s="1" t="s">
        <v>23</v>
      </c>
      <c r="P400" s="1" t="s">
        <v>543</v>
      </c>
      <c r="Q400" s="1">
        <v>1</v>
      </c>
    </row>
    <row r="401" spans="1:17" x14ac:dyDescent="0.2">
      <c r="D401" s="1" t="s">
        <v>444</v>
      </c>
      <c r="E401" s="1">
        <v>1400015850</v>
      </c>
      <c r="G401" s="1" t="s">
        <v>48</v>
      </c>
      <c r="I401" s="1" t="s">
        <v>48</v>
      </c>
      <c r="K401" s="2">
        <v>-120352.36</v>
      </c>
      <c r="L401" s="1" t="s">
        <v>23</v>
      </c>
      <c r="N401" s="2">
        <v>-120352.36</v>
      </c>
      <c r="O401" s="1" t="s">
        <v>23</v>
      </c>
      <c r="P401" s="1" t="s">
        <v>544</v>
      </c>
      <c r="Q401" s="1">
        <v>1</v>
      </c>
    </row>
    <row r="402" spans="1:17" x14ac:dyDescent="0.2">
      <c r="D402" s="1" t="s">
        <v>444</v>
      </c>
      <c r="E402" s="1">
        <v>1400015931</v>
      </c>
      <c r="G402" s="1" t="s">
        <v>164</v>
      </c>
      <c r="I402" s="1" t="s">
        <v>164</v>
      </c>
      <c r="K402" s="2">
        <v>-78987.429999999993</v>
      </c>
      <c r="L402" s="1" t="s">
        <v>23</v>
      </c>
      <c r="N402" s="2">
        <v>-78987.429999999993</v>
      </c>
      <c r="O402" s="1" t="s">
        <v>23</v>
      </c>
      <c r="P402" s="1" t="s">
        <v>545</v>
      </c>
      <c r="Q402" s="1">
        <v>1</v>
      </c>
    </row>
    <row r="403" spans="1:17" x14ac:dyDescent="0.2">
      <c r="D403" s="1" t="s">
        <v>444</v>
      </c>
      <c r="E403" s="1">
        <v>1400015931</v>
      </c>
      <c r="G403" s="1" t="s">
        <v>164</v>
      </c>
      <c r="I403" s="1" t="s">
        <v>164</v>
      </c>
      <c r="K403" s="2">
        <v>-76131.16</v>
      </c>
      <c r="L403" s="1" t="s">
        <v>23</v>
      </c>
      <c r="N403" s="2">
        <v>-76131.16</v>
      </c>
      <c r="O403" s="1" t="s">
        <v>23</v>
      </c>
      <c r="P403" s="1" t="s">
        <v>546</v>
      </c>
      <c r="Q403" s="1">
        <v>1</v>
      </c>
    </row>
    <row r="405" spans="1:17" x14ac:dyDescent="0.2">
      <c r="B405" s="1" t="s">
        <v>32</v>
      </c>
      <c r="K405" s="2">
        <v>-1865640.02</v>
      </c>
      <c r="L405" s="1" t="s">
        <v>23</v>
      </c>
      <c r="N405" s="2">
        <v>-1865640.02</v>
      </c>
      <c r="O405" s="1" t="s">
        <v>23</v>
      </c>
    </row>
    <row r="407" spans="1:17" x14ac:dyDescent="0.2">
      <c r="A407" s="3"/>
      <c r="B407" s="3" t="s">
        <v>33</v>
      </c>
      <c r="C407" s="3" t="s">
        <v>125</v>
      </c>
      <c r="D407" s="3"/>
      <c r="E407" s="3"/>
      <c r="F407" s="3"/>
      <c r="G407" s="3"/>
      <c r="H407" s="3"/>
      <c r="I407" s="3"/>
      <c r="J407" s="3"/>
      <c r="K407" s="4">
        <v>-1865640.02</v>
      </c>
      <c r="L407" s="3" t="s">
        <v>23</v>
      </c>
      <c r="M407" s="3"/>
      <c r="N407" s="4">
        <v>-1865640.02</v>
      </c>
      <c r="O407" s="3" t="s">
        <v>23</v>
      </c>
      <c r="P407" s="3"/>
      <c r="Q407" s="3"/>
    </row>
    <row r="409" spans="1:17" x14ac:dyDescent="0.2">
      <c r="A409" s="1" t="s">
        <v>0</v>
      </c>
      <c r="F409" s="1">
        <v>501130</v>
      </c>
    </row>
    <row r="410" spans="1:17" x14ac:dyDescent="0.2">
      <c r="A410" s="1" t="s">
        <v>1</v>
      </c>
      <c r="F410" s="1" t="s">
        <v>2</v>
      </c>
    </row>
    <row r="412" spans="1:17" x14ac:dyDescent="0.2">
      <c r="A412" s="1" t="s">
        <v>3</v>
      </c>
      <c r="F412" s="1" t="s">
        <v>547</v>
      </c>
    </row>
    <row r="413" spans="1:17" x14ac:dyDescent="0.2">
      <c r="A413" s="1" t="s">
        <v>5</v>
      </c>
      <c r="F413" s="1" t="s">
        <v>548</v>
      </c>
    </row>
    <row r="416" spans="1:17" x14ac:dyDescent="0.2">
      <c r="C416" s="1" t="s">
        <v>7</v>
      </c>
      <c r="D416" s="1" t="s">
        <v>8</v>
      </c>
      <c r="E416" s="1" t="s">
        <v>9</v>
      </c>
      <c r="G416" s="1" t="s">
        <v>10</v>
      </c>
      <c r="H416" s="1" t="s">
        <v>11</v>
      </c>
      <c r="I416" s="1" t="s">
        <v>12</v>
      </c>
      <c r="J416" s="1" t="s">
        <v>13</v>
      </c>
      <c r="K416" s="1" t="s">
        <v>14</v>
      </c>
      <c r="L416" s="1" t="s">
        <v>15</v>
      </c>
      <c r="M416" s="1" t="s">
        <v>16</v>
      </c>
      <c r="N416" s="1" t="s">
        <v>17</v>
      </c>
      <c r="O416" s="1" t="s">
        <v>18</v>
      </c>
      <c r="P416" s="1" t="s">
        <v>19</v>
      </c>
      <c r="Q416" s="1" t="s">
        <v>20</v>
      </c>
    </row>
    <row r="418" spans="1:17" x14ac:dyDescent="0.2">
      <c r="D418" s="1" t="s">
        <v>444</v>
      </c>
      <c r="E418" s="1">
        <v>103527390</v>
      </c>
      <c r="G418" s="1" t="s">
        <v>549</v>
      </c>
      <c r="I418" s="1" t="s">
        <v>39</v>
      </c>
      <c r="K418" s="2">
        <v>-144203.17000000001</v>
      </c>
      <c r="L418" s="1" t="s">
        <v>23</v>
      </c>
      <c r="N418" s="2">
        <v>-144203.17000000001</v>
      </c>
      <c r="O418" s="1" t="s">
        <v>23</v>
      </c>
      <c r="P418" s="1" t="s">
        <v>550</v>
      </c>
      <c r="Q418" s="1">
        <v>1</v>
      </c>
    </row>
    <row r="420" spans="1:17" x14ac:dyDescent="0.2">
      <c r="B420" s="1" t="s">
        <v>32</v>
      </c>
      <c r="K420" s="2">
        <v>-144203.17000000001</v>
      </c>
      <c r="L420" s="1" t="s">
        <v>23</v>
      </c>
      <c r="N420" s="2">
        <v>-144203.17000000001</v>
      </c>
      <c r="O420" s="1" t="s">
        <v>23</v>
      </c>
    </row>
    <row r="422" spans="1:17" x14ac:dyDescent="0.2">
      <c r="A422" s="3"/>
      <c r="B422" s="3" t="s">
        <v>33</v>
      </c>
      <c r="C422" s="3" t="s">
        <v>551</v>
      </c>
      <c r="D422" s="3"/>
      <c r="E422" s="3"/>
      <c r="F422" s="3"/>
      <c r="G422" s="3"/>
      <c r="H422" s="3"/>
      <c r="I422" s="3"/>
      <c r="J422" s="3"/>
      <c r="K422" s="4">
        <v>-144203.17000000001</v>
      </c>
      <c r="L422" s="3" t="s">
        <v>23</v>
      </c>
      <c r="M422" s="3"/>
      <c r="N422" s="4">
        <v>-144203.17000000001</v>
      </c>
      <c r="O422" s="3" t="s">
        <v>23</v>
      </c>
      <c r="P422" s="3"/>
      <c r="Q422" s="3"/>
    </row>
    <row r="424" spans="1:17" x14ac:dyDescent="0.2">
      <c r="A424" s="1" t="s">
        <v>0</v>
      </c>
      <c r="F424" s="1">
        <v>501131</v>
      </c>
    </row>
    <row r="425" spans="1:17" x14ac:dyDescent="0.2">
      <c r="A425" s="1" t="s">
        <v>1</v>
      </c>
      <c r="F425" s="1" t="s">
        <v>2</v>
      </c>
    </row>
    <row r="427" spans="1:17" x14ac:dyDescent="0.2">
      <c r="A427" s="1" t="s">
        <v>3</v>
      </c>
      <c r="F427" s="1" t="s">
        <v>126</v>
      </c>
    </row>
    <row r="428" spans="1:17" x14ac:dyDescent="0.2">
      <c r="A428" s="1" t="s">
        <v>5</v>
      </c>
      <c r="F428" s="1" t="s">
        <v>55</v>
      </c>
    </row>
    <row r="431" spans="1:17" x14ac:dyDescent="0.2">
      <c r="C431" s="1" t="s">
        <v>7</v>
      </c>
      <c r="D431" s="1" t="s">
        <v>8</v>
      </c>
      <c r="E431" s="1" t="s">
        <v>9</v>
      </c>
      <c r="G431" s="1" t="s">
        <v>10</v>
      </c>
      <c r="H431" s="1" t="s">
        <v>11</v>
      </c>
      <c r="I431" s="1" t="s">
        <v>12</v>
      </c>
      <c r="J431" s="1" t="s">
        <v>13</v>
      </c>
      <c r="K431" s="1" t="s">
        <v>14</v>
      </c>
      <c r="L431" s="1" t="s">
        <v>15</v>
      </c>
      <c r="M431" s="1" t="s">
        <v>16</v>
      </c>
      <c r="N431" s="1" t="s">
        <v>17</v>
      </c>
      <c r="O431" s="1" t="s">
        <v>18</v>
      </c>
      <c r="P431" s="1" t="s">
        <v>19</v>
      </c>
      <c r="Q431" s="1" t="s">
        <v>20</v>
      </c>
    </row>
    <row r="433" spans="1:17" x14ac:dyDescent="0.2">
      <c r="D433" s="1" t="s">
        <v>444</v>
      </c>
      <c r="E433" s="1">
        <v>1400015738</v>
      </c>
      <c r="G433" s="1" t="s">
        <v>164</v>
      </c>
      <c r="I433" s="1" t="s">
        <v>164</v>
      </c>
      <c r="K433" s="2">
        <v>-61330.61</v>
      </c>
      <c r="L433" s="1" t="s">
        <v>23</v>
      </c>
      <c r="N433" s="2">
        <v>-61330.61</v>
      </c>
      <c r="O433" s="1" t="s">
        <v>23</v>
      </c>
      <c r="P433" s="1" t="s">
        <v>552</v>
      </c>
      <c r="Q433" s="1">
        <v>1</v>
      </c>
    </row>
    <row r="434" spans="1:17" x14ac:dyDescent="0.2">
      <c r="D434" s="1" t="s">
        <v>444</v>
      </c>
      <c r="E434" s="1">
        <v>1400015738</v>
      </c>
      <c r="G434" s="1" t="s">
        <v>164</v>
      </c>
      <c r="I434" s="1" t="s">
        <v>164</v>
      </c>
      <c r="K434" s="2">
        <v>-74976.95</v>
      </c>
      <c r="L434" s="1" t="s">
        <v>23</v>
      </c>
      <c r="N434" s="2">
        <v>-74976.95</v>
      </c>
      <c r="O434" s="1" t="s">
        <v>23</v>
      </c>
      <c r="P434" s="1" t="s">
        <v>553</v>
      </c>
      <c r="Q434" s="1">
        <v>1</v>
      </c>
    </row>
    <row r="435" spans="1:17" x14ac:dyDescent="0.2">
      <c r="D435" s="1" t="s">
        <v>444</v>
      </c>
      <c r="E435" s="1">
        <v>1400015767</v>
      </c>
      <c r="G435" s="1" t="s">
        <v>86</v>
      </c>
      <c r="I435" s="1" t="s">
        <v>86</v>
      </c>
      <c r="K435" s="2">
        <v>-31043.51</v>
      </c>
      <c r="L435" s="1" t="s">
        <v>23</v>
      </c>
      <c r="N435" s="2">
        <v>-31043.51</v>
      </c>
      <c r="O435" s="1" t="s">
        <v>23</v>
      </c>
      <c r="P435" s="1" t="s">
        <v>554</v>
      </c>
      <c r="Q435" s="1">
        <v>1</v>
      </c>
    </row>
    <row r="436" spans="1:17" x14ac:dyDescent="0.2">
      <c r="D436" s="1" t="s">
        <v>444</v>
      </c>
      <c r="E436" s="1">
        <v>1400015767</v>
      </c>
      <c r="G436" s="1" t="s">
        <v>86</v>
      </c>
      <c r="I436" s="1" t="s">
        <v>86</v>
      </c>
      <c r="K436" s="2">
        <v>-14329.87</v>
      </c>
      <c r="L436" s="1" t="s">
        <v>23</v>
      </c>
      <c r="N436" s="2">
        <v>-14329.87</v>
      </c>
      <c r="O436" s="1" t="s">
        <v>23</v>
      </c>
      <c r="P436" s="1" t="s">
        <v>555</v>
      </c>
      <c r="Q436" s="1">
        <v>1</v>
      </c>
    </row>
    <row r="437" spans="1:17" x14ac:dyDescent="0.2">
      <c r="D437" s="1" t="s">
        <v>444</v>
      </c>
      <c r="E437" s="1">
        <v>1400015775</v>
      </c>
      <c r="G437" s="1" t="s">
        <v>130</v>
      </c>
      <c r="I437" s="1" t="s">
        <v>130</v>
      </c>
      <c r="K437" s="2">
        <v>-21834.12</v>
      </c>
      <c r="L437" s="1" t="s">
        <v>23</v>
      </c>
      <c r="N437" s="2">
        <v>-21834.12</v>
      </c>
      <c r="O437" s="1" t="s">
        <v>23</v>
      </c>
      <c r="P437" s="1" t="s">
        <v>556</v>
      </c>
      <c r="Q437" s="1">
        <v>1</v>
      </c>
    </row>
    <row r="438" spans="1:17" x14ac:dyDescent="0.2">
      <c r="D438" s="1" t="s">
        <v>444</v>
      </c>
      <c r="E438" s="1">
        <v>1400015838</v>
      </c>
      <c r="G438" s="1" t="s">
        <v>67</v>
      </c>
      <c r="I438" s="1" t="s">
        <v>67</v>
      </c>
      <c r="K438" s="2">
        <v>-13324.25</v>
      </c>
      <c r="L438" s="1" t="s">
        <v>23</v>
      </c>
      <c r="N438" s="2">
        <v>-13324.25</v>
      </c>
      <c r="O438" s="1" t="s">
        <v>23</v>
      </c>
      <c r="P438" s="1" t="s">
        <v>557</v>
      </c>
      <c r="Q438" s="1">
        <v>1</v>
      </c>
    </row>
    <row r="439" spans="1:17" x14ac:dyDescent="0.2">
      <c r="D439" s="1" t="s">
        <v>444</v>
      </c>
      <c r="E439" s="1">
        <v>1400015859</v>
      </c>
      <c r="G439" s="1" t="s">
        <v>30</v>
      </c>
      <c r="I439" s="1" t="s">
        <v>30</v>
      </c>
      <c r="K439" s="2">
        <v>-93455.29</v>
      </c>
      <c r="L439" s="1" t="s">
        <v>23</v>
      </c>
      <c r="N439" s="2">
        <v>-93455.29</v>
      </c>
      <c r="O439" s="1" t="s">
        <v>23</v>
      </c>
      <c r="P439" s="1" t="s">
        <v>558</v>
      </c>
      <c r="Q439" s="1">
        <v>1</v>
      </c>
    </row>
    <row r="441" spans="1:17" x14ac:dyDescent="0.2">
      <c r="B441" s="1" t="s">
        <v>32</v>
      </c>
      <c r="K441" s="2">
        <v>-310294.59999999998</v>
      </c>
      <c r="L441" s="1" t="s">
        <v>23</v>
      </c>
      <c r="N441" s="2">
        <v>-310294.59999999998</v>
      </c>
      <c r="O441" s="1" t="s">
        <v>23</v>
      </c>
    </row>
    <row r="443" spans="1:17" x14ac:dyDescent="0.2">
      <c r="A443" s="3"/>
      <c r="B443" s="3" t="s">
        <v>33</v>
      </c>
      <c r="C443" s="3" t="s">
        <v>135</v>
      </c>
      <c r="D443" s="3"/>
      <c r="E443" s="3"/>
      <c r="F443" s="3"/>
      <c r="G443" s="3"/>
      <c r="H443" s="3"/>
      <c r="I443" s="3"/>
      <c r="J443" s="3"/>
      <c r="K443" s="4">
        <v>-310294.59999999998</v>
      </c>
      <c r="L443" s="3" t="s">
        <v>23</v>
      </c>
      <c r="M443" s="3"/>
      <c r="N443" s="4">
        <v>-310294.59999999998</v>
      </c>
      <c r="O443" s="3" t="s">
        <v>23</v>
      </c>
      <c r="P443" s="3"/>
      <c r="Q443" s="3"/>
    </row>
    <row r="445" spans="1:17" x14ac:dyDescent="0.2">
      <c r="A445" s="1" t="s">
        <v>0</v>
      </c>
      <c r="F445" s="1">
        <v>501133</v>
      </c>
    </row>
    <row r="446" spans="1:17" x14ac:dyDescent="0.2">
      <c r="A446" s="1" t="s">
        <v>1</v>
      </c>
      <c r="F446" s="1" t="s">
        <v>2</v>
      </c>
    </row>
    <row r="448" spans="1:17" x14ac:dyDescent="0.2">
      <c r="A448" s="1" t="s">
        <v>3</v>
      </c>
      <c r="F448" s="1" t="s">
        <v>136</v>
      </c>
    </row>
    <row r="449" spans="1:17" x14ac:dyDescent="0.2">
      <c r="A449" s="1" t="s">
        <v>5</v>
      </c>
      <c r="F449" s="1" t="s">
        <v>55</v>
      </c>
    </row>
    <row r="452" spans="1:17" x14ac:dyDescent="0.2">
      <c r="C452" s="1" t="s">
        <v>7</v>
      </c>
      <c r="D452" s="1" t="s">
        <v>8</v>
      </c>
      <c r="E452" s="1" t="s">
        <v>9</v>
      </c>
      <c r="G452" s="1" t="s">
        <v>10</v>
      </c>
      <c r="H452" s="1" t="s">
        <v>11</v>
      </c>
      <c r="I452" s="1" t="s">
        <v>12</v>
      </c>
      <c r="J452" s="1" t="s">
        <v>13</v>
      </c>
      <c r="K452" s="1" t="s">
        <v>14</v>
      </c>
      <c r="L452" s="1" t="s">
        <v>15</v>
      </c>
      <c r="M452" s="1" t="s">
        <v>16</v>
      </c>
      <c r="N452" s="1" t="s">
        <v>17</v>
      </c>
      <c r="O452" s="1" t="s">
        <v>18</v>
      </c>
      <c r="P452" s="1" t="s">
        <v>19</v>
      </c>
      <c r="Q452" s="1" t="s">
        <v>20</v>
      </c>
    </row>
    <row r="454" spans="1:17" x14ac:dyDescent="0.2">
      <c r="D454" s="1" t="s">
        <v>444</v>
      </c>
      <c r="E454" s="1">
        <v>1400015716</v>
      </c>
      <c r="G454" s="1" t="s">
        <v>22</v>
      </c>
      <c r="I454" s="1" t="s">
        <v>22</v>
      </c>
      <c r="K454" s="2">
        <v>-348912.66</v>
      </c>
      <c r="L454" s="1" t="s">
        <v>23</v>
      </c>
      <c r="N454" s="2">
        <v>-85319.15</v>
      </c>
      <c r="O454" s="1" t="s">
        <v>24</v>
      </c>
      <c r="P454" s="1" t="s">
        <v>559</v>
      </c>
      <c r="Q454" s="1">
        <v>4.0895000000000001</v>
      </c>
    </row>
    <row r="455" spans="1:17" x14ac:dyDescent="0.2">
      <c r="D455" s="1" t="s">
        <v>444</v>
      </c>
      <c r="E455" s="1">
        <v>1400015720</v>
      </c>
      <c r="G455" s="1" t="s">
        <v>26</v>
      </c>
      <c r="I455" s="1" t="s">
        <v>26</v>
      </c>
      <c r="K455" s="2">
        <v>-586835.97</v>
      </c>
      <c r="L455" s="1" t="s">
        <v>23</v>
      </c>
      <c r="N455" s="2">
        <v>-143463.14000000001</v>
      </c>
      <c r="O455" s="1" t="s">
        <v>24</v>
      </c>
      <c r="P455" s="1" t="s">
        <v>560</v>
      </c>
      <c r="Q455" s="1">
        <v>4.0904999999999996</v>
      </c>
    </row>
    <row r="456" spans="1:17" x14ac:dyDescent="0.2">
      <c r="D456" s="1" t="s">
        <v>444</v>
      </c>
      <c r="E456" s="1">
        <v>1400015779</v>
      </c>
      <c r="G456" s="1" t="s">
        <v>67</v>
      </c>
      <c r="I456" s="1" t="s">
        <v>67</v>
      </c>
      <c r="K456" s="2">
        <v>-293356.21999999997</v>
      </c>
      <c r="L456" s="1" t="s">
        <v>23</v>
      </c>
      <c r="N456" s="2">
        <v>-72648.89</v>
      </c>
      <c r="O456" s="1" t="s">
        <v>24</v>
      </c>
      <c r="P456" s="1" t="s">
        <v>561</v>
      </c>
      <c r="Q456" s="1">
        <v>4.0380000000000003</v>
      </c>
    </row>
    <row r="457" spans="1:17" x14ac:dyDescent="0.2">
      <c r="D457" s="1" t="s">
        <v>444</v>
      </c>
      <c r="E457" s="1">
        <v>1400015807</v>
      </c>
      <c r="G457" s="1" t="s">
        <v>48</v>
      </c>
      <c r="I457" s="1" t="s">
        <v>48</v>
      </c>
      <c r="K457" s="2">
        <v>-1216768.08</v>
      </c>
      <c r="L457" s="1" t="s">
        <v>23</v>
      </c>
      <c r="N457" s="2">
        <v>-300993.96000000002</v>
      </c>
      <c r="O457" s="1" t="s">
        <v>24</v>
      </c>
      <c r="P457" s="1" t="s">
        <v>562</v>
      </c>
      <c r="Q457" s="1">
        <v>4.0425000000000004</v>
      </c>
    </row>
    <row r="458" spans="1:17" x14ac:dyDescent="0.2">
      <c r="D458" s="1" t="s">
        <v>444</v>
      </c>
      <c r="E458" s="1">
        <v>1400015811</v>
      </c>
      <c r="G458" s="1" t="s">
        <v>50</v>
      </c>
      <c r="I458" s="1" t="s">
        <v>50</v>
      </c>
      <c r="K458" s="2">
        <v>-594704.4</v>
      </c>
      <c r="L458" s="1" t="s">
        <v>23</v>
      </c>
      <c r="N458" s="2">
        <v>-147660.93</v>
      </c>
      <c r="O458" s="1" t="s">
        <v>24</v>
      </c>
      <c r="P458" s="1" t="s">
        <v>563</v>
      </c>
      <c r="Q458" s="1">
        <v>4.0274999999999999</v>
      </c>
    </row>
    <row r="459" spans="1:17" x14ac:dyDescent="0.2">
      <c r="D459" s="1" t="s">
        <v>444</v>
      </c>
      <c r="E459" s="1">
        <v>1400015811</v>
      </c>
      <c r="G459" s="1" t="s">
        <v>50</v>
      </c>
      <c r="I459" s="1" t="s">
        <v>50</v>
      </c>
      <c r="K459" s="2">
        <v>-733829.39</v>
      </c>
      <c r="L459" s="1" t="s">
        <v>23</v>
      </c>
      <c r="N459" s="2">
        <v>-182204.69</v>
      </c>
      <c r="O459" s="1" t="s">
        <v>24</v>
      </c>
      <c r="P459" s="1" t="s">
        <v>564</v>
      </c>
      <c r="Q459" s="1">
        <v>4.0274999999999999</v>
      </c>
    </row>
    <row r="460" spans="1:17" x14ac:dyDescent="0.2">
      <c r="D460" s="1" t="s">
        <v>444</v>
      </c>
      <c r="E460" s="1">
        <v>1400015811</v>
      </c>
      <c r="G460" s="1" t="s">
        <v>50</v>
      </c>
      <c r="I460" s="1" t="s">
        <v>50</v>
      </c>
      <c r="K460" s="2">
        <v>-649234.81000000006</v>
      </c>
      <c r="L460" s="1" t="s">
        <v>23</v>
      </c>
      <c r="N460" s="2">
        <v>-161200.45000000001</v>
      </c>
      <c r="O460" s="1" t="s">
        <v>24</v>
      </c>
      <c r="P460" s="1" t="s">
        <v>565</v>
      </c>
      <c r="Q460" s="1">
        <v>4.0274999999999999</v>
      </c>
    </row>
    <row r="461" spans="1:17" x14ac:dyDescent="0.2">
      <c r="D461" s="1" t="s">
        <v>444</v>
      </c>
      <c r="E461" s="1">
        <v>1400015811</v>
      </c>
      <c r="G461" s="1" t="s">
        <v>50</v>
      </c>
      <c r="I461" s="1" t="s">
        <v>50</v>
      </c>
      <c r="K461" s="2">
        <v>-159662.46</v>
      </c>
      <c r="L461" s="1" t="s">
        <v>23</v>
      </c>
      <c r="N461" s="2">
        <v>-39643.07</v>
      </c>
      <c r="O461" s="1" t="s">
        <v>24</v>
      </c>
      <c r="P461" s="1" t="s">
        <v>566</v>
      </c>
      <c r="Q461" s="1">
        <v>4.0274999999999999</v>
      </c>
    </row>
    <row r="462" spans="1:17" x14ac:dyDescent="0.2">
      <c r="D462" s="1" t="s">
        <v>444</v>
      </c>
      <c r="E462" s="1">
        <v>1400015811</v>
      </c>
      <c r="G462" s="1" t="s">
        <v>50</v>
      </c>
      <c r="I462" s="1" t="s">
        <v>50</v>
      </c>
      <c r="K462" s="2">
        <v>-172174.22</v>
      </c>
      <c r="L462" s="1" t="s">
        <v>23</v>
      </c>
      <c r="N462" s="2">
        <v>-42749.65</v>
      </c>
      <c r="O462" s="1" t="s">
        <v>24</v>
      </c>
      <c r="P462" s="1" t="s">
        <v>567</v>
      </c>
      <c r="Q462" s="1">
        <v>4.0274999999999999</v>
      </c>
    </row>
    <row r="464" spans="1:17" x14ac:dyDescent="0.2">
      <c r="B464" s="1" t="s">
        <v>32</v>
      </c>
      <c r="K464" s="2">
        <v>-4755478.21</v>
      </c>
      <c r="L464" s="1" t="s">
        <v>23</v>
      </c>
      <c r="N464" s="2">
        <v>-1175883.93</v>
      </c>
      <c r="O464" s="1" t="s">
        <v>24</v>
      </c>
    </row>
    <row r="466" spans="1:17" x14ac:dyDescent="0.2">
      <c r="A466" s="3"/>
      <c r="B466" s="3" t="s">
        <v>33</v>
      </c>
      <c r="C466" s="3" t="s">
        <v>142</v>
      </c>
      <c r="D466" s="3"/>
      <c r="E466" s="3"/>
      <c r="F466" s="3"/>
      <c r="G466" s="3"/>
      <c r="H466" s="3"/>
      <c r="I466" s="3"/>
      <c r="J466" s="3"/>
      <c r="K466" s="4">
        <v>-4755478.21</v>
      </c>
      <c r="L466" s="3" t="s">
        <v>23</v>
      </c>
      <c r="M466" s="3"/>
      <c r="N466" s="4">
        <v>-1175883.93</v>
      </c>
      <c r="O466" s="3" t="s">
        <v>24</v>
      </c>
      <c r="P466" s="3"/>
      <c r="Q466" s="3"/>
    </row>
    <row r="468" spans="1:17" x14ac:dyDescent="0.2">
      <c r="A468" s="1" t="s">
        <v>0</v>
      </c>
      <c r="F468" s="1">
        <v>501134</v>
      </c>
    </row>
    <row r="469" spans="1:17" x14ac:dyDescent="0.2">
      <c r="A469" s="1" t="s">
        <v>1</v>
      </c>
      <c r="F469" s="1" t="s">
        <v>2</v>
      </c>
    </row>
    <row r="471" spans="1:17" x14ac:dyDescent="0.2">
      <c r="A471" s="1" t="s">
        <v>3</v>
      </c>
      <c r="F471" s="1" t="s">
        <v>143</v>
      </c>
    </row>
    <row r="472" spans="1:17" x14ac:dyDescent="0.2">
      <c r="A472" s="1" t="s">
        <v>5</v>
      </c>
      <c r="F472" s="1" t="s">
        <v>55</v>
      </c>
    </row>
    <row r="475" spans="1:17" x14ac:dyDescent="0.2">
      <c r="C475" s="1" t="s">
        <v>7</v>
      </c>
      <c r="D475" s="1" t="s">
        <v>8</v>
      </c>
      <c r="E475" s="1" t="s">
        <v>9</v>
      </c>
      <c r="G475" s="1" t="s">
        <v>10</v>
      </c>
      <c r="H475" s="1" t="s">
        <v>11</v>
      </c>
      <c r="I475" s="1" t="s">
        <v>12</v>
      </c>
      <c r="J475" s="1" t="s">
        <v>13</v>
      </c>
      <c r="K475" s="1" t="s">
        <v>14</v>
      </c>
      <c r="L475" s="1" t="s">
        <v>15</v>
      </c>
      <c r="M475" s="1" t="s">
        <v>16</v>
      </c>
      <c r="N475" s="1" t="s">
        <v>17</v>
      </c>
      <c r="O475" s="1" t="s">
        <v>18</v>
      </c>
      <c r="P475" s="1" t="s">
        <v>19</v>
      </c>
      <c r="Q475" s="1" t="s">
        <v>20</v>
      </c>
    </row>
    <row r="477" spans="1:17" x14ac:dyDescent="0.2">
      <c r="D477" s="1" t="s">
        <v>444</v>
      </c>
      <c r="E477" s="1">
        <v>103540096</v>
      </c>
      <c r="G477" s="1" t="s">
        <v>50</v>
      </c>
      <c r="I477" s="1" t="s">
        <v>50</v>
      </c>
      <c r="K477" s="2">
        <v>-112459.78</v>
      </c>
      <c r="L477" s="1" t="s">
        <v>23</v>
      </c>
      <c r="N477" s="2">
        <v>-112459.78</v>
      </c>
      <c r="O477" s="1" t="s">
        <v>23</v>
      </c>
      <c r="P477" s="1" t="s">
        <v>568</v>
      </c>
      <c r="Q477" s="1">
        <v>1</v>
      </c>
    </row>
    <row r="478" spans="1:17" x14ac:dyDescent="0.2">
      <c r="D478" s="1" t="s">
        <v>444</v>
      </c>
      <c r="E478" s="1">
        <v>1400015879</v>
      </c>
      <c r="G478" s="1" t="s">
        <v>104</v>
      </c>
      <c r="I478" s="1" t="s">
        <v>104</v>
      </c>
      <c r="K478" s="2">
        <v>-230000</v>
      </c>
      <c r="L478" s="1" t="s">
        <v>23</v>
      </c>
      <c r="N478" s="2">
        <v>-230000</v>
      </c>
      <c r="O478" s="1" t="s">
        <v>23</v>
      </c>
      <c r="P478" s="1" t="s">
        <v>569</v>
      </c>
      <c r="Q478" s="1">
        <v>1</v>
      </c>
    </row>
    <row r="479" spans="1:17" x14ac:dyDescent="0.2">
      <c r="D479" s="1" t="s">
        <v>444</v>
      </c>
      <c r="E479" s="1">
        <v>1400015881</v>
      </c>
      <c r="G479" s="1" t="s">
        <v>44</v>
      </c>
      <c r="I479" s="1" t="s">
        <v>44</v>
      </c>
      <c r="K479" s="2">
        <v>-230000</v>
      </c>
      <c r="L479" s="1" t="s">
        <v>23</v>
      </c>
      <c r="N479" s="2">
        <v>-230000</v>
      </c>
      <c r="O479" s="1" t="s">
        <v>23</v>
      </c>
      <c r="P479" s="1" t="s">
        <v>569</v>
      </c>
      <c r="Q479" s="1">
        <v>1</v>
      </c>
    </row>
    <row r="480" spans="1:17" x14ac:dyDescent="0.2">
      <c r="D480" s="1" t="s">
        <v>444</v>
      </c>
      <c r="E480" s="1">
        <v>1400015888</v>
      </c>
      <c r="G480" s="1" t="s">
        <v>75</v>
      </c>
      <c r="I480" s="1" t="s">
        <v>75</v>
      </c>
      <c r="K480" s="2">
        <v>-265000</v>
      </c>
      <c r="L480" s="1" t="s">
        <v>23</v>
      </c>
      <c r="N480" s="2">
        <v>-265000</v>
      </c>
      <c r="O480" s="1" t="s">
        <v>23</v>
      </c>
      <c r="P480" s="1" t="s">
        <v>569</v>
      </c>
      <c r="Q480" s="1">
        <v>1</v>
      </c>
    </row>
    <row r="481" spans="1:17" x14ac:dyDescent="0.2">
      <c r="D481" s="1" t="s">
        <v>444</v>
      </c>
      <c r="E481" s="1">
        <v>1400015891</v>
      </c>
      <c r="G481" s="1" t="s">
        <v>67</v>
      </c>
      <c r="I481" s="1" t="s">
        <v>67</v>
      </c>
      <c r="K481" s="2">
        <v>-516993.23</v>
      </c>
      <c r="L481" s="1" t="s">
        <v>23</v>
      </c>
      <c r="N481" s="2">
        <v>-516993.23</v>
      </c>
      <c r="O481" s="1" t="s">
        <v>23</v>
      </c>
      <c r="P481" s="1" t="s">
        <v>569</v>
      </c>
      <c r="Q481" s="1">
        <v>1</v>
      </c>
    </row>
    <row r="483" spans="1:17" x14ac:dyDescent="0.2">
      <c r="B483" s="1" t="s">
        <v>32</v>
      </c>
      <c r="K483" s="2">
        <v>-1354453.01</v>
      </c>
      <c r="L483" s="1" t="s">
        <v>23</v>
      </c>
      <c r="N483" s="2">
        <v>-1354453.01</v>
      </c>
      <c r="O483" s="1" t="s">
        <v>23</v>
      </c>
    </row>
    <row r="485" spans="1:17" x14ac:dyDescent="0.2">
      <c r="A485" s="3"/>
      <c r="B485" s="3" t="s">
        <v>33</v>
      </c>
      <c r="C485" s="3" t="s">
        <v>149</v>
      </c>
      <c r="D485" s="3"/>
      <c r="E485" s="3"/>
      <c r="F485" s="3"/>
      <c r="G485" s="3"/>
      <c r="H485" s="3"/>
      <c r="I485" s="3"/>
      <c r="J485" s="3"/>
      <c r="K485" s="4">
        <v>-1354453.01</v>
      </c>
      <c r="L485" s="3" t="s">
        <v>23</v>
      </c>
      <c r="M485" s="3"/>
      <c r="N485" s="4">
        <v>-1354453.01</v>
      </c>
      <c r="O485" s="3" t="s">
        <v>23</v>
      </c>
      <c r="P485" s="3"/>
      <c r="Q485" s="3"/>
    </row>
    <row r="487" spans="1:17" x14ac:dyDescent="0.2">
      <c r="A487" s="1" t="s">
        <v>0</v>
      </c>
      <c r="F487" s="1">
        <v>501140</v>
      </c>
    </row>
    <row r="488" spans="1:17" x14ac:dyDescent="0.2">
      <c r="A488" s="1" t="s">
        <v>1</v>
      </c>
      <c r="F488" s="1" t="s">
        <v>2</v>
      </c>
    </row>
    <row r="490" spans="1:17" x14ac:dyDescent="0.2">
      <c r="A490" s="1" t="s">
        <v>3</v>
      </c>
      <c r="F490" s="1" t="s">
        <v>150</v>
      </c>
    </row>
    <row r="491" spans="1:17" x14ac:dyDescent="0.2">
      <c r="A491" s="1" t="s">
        <v>5</v>
      </c>
      <c r="F491" s="1" t="s">
        <v>151</v>
      </c>
    </row>
    <row r="494" spans="1:17" x14ac:dyDescent="0.2">
      <c r="C494" s="1" t="s">
        <v>7</v>
      </c>
      <c r="D494" s="1" t="s">
        <v>8</v>
      </c>
      <c r="E494" s="1" t="s">
        <v>9</v>
      </c>
      <c r="G494" s="1" t="s">
        <v>10</v>
      </c>
      <c r="H494" s="1" t="s">
        <v>11</v>
      </c>
      <c r="I494" s="1" t="s">
        <v>12</v>
      </c>
      <c r="J494" s="1" t="s">
        <v>13</v>
      </c>
      <c r="K494" s="1" t="s">
        <v>14</v>
      </c>
      <c r="L494" s="1" t="s">
        <v>15</v>
      </c>
      <c r="M494" s="1" t="s">
        <v>16</v>
      </c>
      <c r="N494" s="1" t="s">
        <v>17</v>
      </c>
      <c r="O494" s="1" t="s">
        <v>18</v>
      </c>
      <c r="P494" s="1" t="s">
        <v>19</v>
      </c>
      <c r="Q494" s="1" t="s">
        <v>20</v>
      </c>
    </row>
    <row r="496" spans="1:17" x14ac:dyDescent="0.2">
      <c r="D496" s="1" t="s">
        <v>444</v>
      </c>
      <c r="E496" s="1">
        <v>1400015749</v>
      </c>
      <c r="G496" s="1" t="s">
        <v>22</v>
      </c>
      <c r="I496" s="1" t="s">
        <v>22</v>
      </c>
      <c r="K496" s="2">
        <v>-309865.2</v>
      </c>
      <c r="L496" s="1" t="s">
        <v>23</v>
      </c>
      <c r="N496" s="2">
        <v>-309865.2</v>
      </c>
      <c r="O496" s="1" t="s">
        <v>23</v>
      </c>
      <c r="P496" s="1" t="s">
        <v>570</v>
      </c>
      <c r="Q496" s="1">
        <v>1</v>
      </c>
    </row>
    <row r="497" spans="1:17" x14ac:dyDescent="0.2">
      <c r="D497" s="1" t="s">
        <v>444</v>
      </c>
      <c r="E497" s="1">
        <v>1400015749</v>
      </c>
      <c r="G497" s="1" t="s">
        <v>22</v>
      </c>
      <c r="I497" s="1" t="s">
        <v>22</v>
      </c>
      <c r="K497" s="2">
        <v>-272653.3</v>
      </c>
      <c r="L497" s="1" t="s">
        <v>23</v>
      </c>
      <c r="N497" s="2">
        <v>-272653.3</v>
      </c>
      <c r="O497" s="1" t="s">
        <v>23</v>
      </c>
      <c r="P497" s="1" t="s">
        <v>571</v>
      </c>
      <c r="Q497" s="1">
        <v>1</v>
      </c>
    </row>
    <row r="498" spans="1:17" x14ac:dyDescent="0.2">
      <c r="D498" s="1" t="s">
        <v>444</v>
      </c>
      <c r="E498" s="1">
        <v>1400015756</v>
      </c>
      <c r="G498" s="1" t="s">
        <v>26</v>
      </c>
      <c r="I498" s="1" t="s">
        <v>26</v>
      </c>
      <c r="K498" s="2">
        <v>-231164.35</v>
      </c>
      <c r="L498" s="1" t="s">
        <v>23</v>
      </c>
      <c r="N498" s="2">
        <v>-231164.35</v>
      </c>
      <c r="O498" s="1" t="s">
        <v>23</v>
      </c>
      <c r="P498" s="1" t="s">
        <v>572</v>
      </c>
      <c r="Q498" s="1">
        <v>1</v>
      </c>
    </row>
    <row r="500" spans="1:17" x14ac:dyDescent="0.2">
      <c r="B500" s="1" t="s">
        <v>32</v>
      </c>
      <c r="K500" s="2">
        <v>-813682.85</v>
      </c>
      <c r="L500" s="1" t="s">
        <v>23</v>
      </c>
      <c r="N500" s="2">
        <v>-813682.85</v>
      </c>
      <c r="O500" s="1" t="s">
        <v>23</v>
      </c>
    </row>
    <row r="502" spans="1:17" x14ac:dyDescent="0.2">
      <c r="A502" s="3"/>
      <c r="B502" s="3" t="s">
        <v>33</v>
      </c>
      <c r="C502" s="3" t="s">
        <v>154</v>
      </c>
      <c r="D502" s="3"/>
      <c r="E502" s="3"/>
      <c r="F502" s="3"/>
      <c r="G502" s="3"/>
      <c r="H502" s="3"/>
      <c r="I502" s="3"/>
      <c r="J502" s="3"/>
      <c r="K502" s="4">
        <v>-813682.85</v>
      </c>
      <c r="L502" s="3" t="s">
        <v>23</v>
      </c>
      <c r="M502" s="3"/>
      <c r="N502" s="4">
        <v>-813682.85</v>
      </c>
      <c r="O502" s="3" t="s">
        <v>23</v>
      </c>
      <c r="P502" s="3"/>
      <c r="Q502" s="3"/>
    </row>
    <row r="504" spans="1:17" x14ac:dyDescent="0.2">
      <c r="A504" s="1" t="s">
        <v>0</v>
      </c>
      <c r="F504" s="1">
        <v>501141</v>
      </c>
    </row>
    <row r="505" spans="1:17" x14ac:dyDescent="0.2">
      <c r="A505" s="1" t="s">
        <v>1</v>
      </c>
      <c r="F505" s="1" t="s">
        <v>2</v>
      </c>
    </row>
    <row r="507" spans="1:17" x14ac:dyDescent="0.2">
      <c r="A507" s="1" t="s">
        <v>3</v>
      </c>
      <c r="F507" s="1" t="s">
        <v>573</v>
      </c>
    </row>
    <row r="508" spans="1:17" x14ac:dyDescent="0.2">
      <c r="A508" s="1" t="s">
        <v>5</v>
      </c>
      <c r="F508" s="1" t="s">
        <v>514</v>
      </c>
    </row>
    <row r="511" spans="1:17" x14ac:dyDescent="0.2">
      <c r="C511" s="1" t="s">
        <v>7</v>
      </c>
      <c r="D511" s="1" t="s">
        <v>8</v>
      </c>
      <c r="E511" s="1" t="s">
        <v>9</v>
      </c>
      <c r="G511" s="1" t="s">
        <v>10</v>
      </c>
      <c r="H511" s="1" t="s">
        <v>11</v>
      </c>
      <c r="I511" s="1" t="s">
        <v>12</v>
      </c>
      <c r="J511" s="1" t="s">
        <v>13</v>
      </c>
      <c r="K511" s="1" t="s">
        <v>14</v>
      </c>
      <c r="L511" s="1" t="s">
        <v>15</v>
      </c>
      <c r="M511" s="1" t="s">
        <v>16</v>
      </c>
      <c r="N511" s="1" t="s">
        <v>17</v>
      </c>
      <c r="O511" s="1" t="s">
        <v>18</v>
      </c>
      <c r="P511" s="1" t="s">
        <v>19</v>
      </c>
      <c r="Q511" s="1" t="s">
        <v>20</v>
      </c>
    </row>
    <row r="513" spans="1:17" x14ac:dyDescent="0.2">
      <c r="D513" s="1" t="s">
        <v>444</v>
      </c>
      <c r="E513" s="1">
        <v>1400015904</v>
      </c>
      <c r="G513" s="1" t="s">
        <v>30</v>
      </c>
      <c r="I513" s="1" t="s">
        <v>30</v>
      </c>
      <c r="K513" s="2">
        <v>-31871.63</v>
      </c>
      <c r="L513" s="1" t="s">
        <v>23</v>
      </c>
      <c r="N513" s="2">
        <v>-31871.63</v>
      </c>
      <c r="O513" s="1" t="s">
        <v>23</v>
      </c>
      <c r="P513" s="1" t="s">
        <v>574</v>
      </c>
      <c r="Q513" s="1">
        <v>1</v>
      </c>
    </row>
    <row r="515" spans="1:17" x14ac:dyDescent="0.2">
      <c r="B515" s="1" t="s">
        <v>32</v>
      </c>
      <c r="K515" s="2">
        <v>-31871.63</v>
      </c>
      <c r="L515" s="1" t="s">
        <v>23</v>
      </c>
      <c r="N515" s="2">
        <v>-31871.63</v>
      </c>
      <c r="O515" s="1" t="s">
        <v>23</v>
      </c>
    </row>
    <row r="517" spans="1:17" x14ac:dyDescent="0.2">
      <c r="A517" s="3"/>
      <c r="B517" s="3" t="s">
        <v>33</v>
      </c>
      <c r="C517" s="3" t="s">
        <v>575</v>
      </c>
      <c r="D517" s="3"/>
      <c r="E517" s="3"/>
      <c r="F517" s="3"/>
      <c r="G517" s="3"/>
      <c r="H517" s="3"/>
      <c r="I517" s="3"/>
      <c r="J517" s="3"/>
      <c r="K517" s="4">
        <v>-31871.63</v>
      </c>
      <c r="L517" s="3" t="s">
        <v>23</v>
      </c>
      <c r="M517" s="3"/>
      <c r="N517" s="4">
        <v>-31871.63</v>
      </c>
      <c r="O517" s="3" t="s">
        <v>23</v>
      </c>
      <c r="P517" s="3"/>
      <c r="Q517" s="3"/>
    </row>
    <row r="519" spans="1:17" x14ac:dyDescent="0.2">
      <c r="A519" s="1" t="s">
        <v>0</v>
      </c>
      <c r="F519" s="1">
        <v>501142</v>
      </c>
    </row>
    <row r="520" spans="1:17" x14ac:dyDescent="0.2">
      <c r="A520" s="1" t="s">
        <v>1</v>
      </c>
      <c r="F520" s="1" t="s">
        <v>2</v>
      </c>
    </row>
    <row r="522" spans="1:17" x14ac:dyDescent="0.2">
      <c r="A522" s="1" t="s">
        <v>3</v>
      </c>
      <c r="F522" s="1" t="s">
        <v>155</v>
      </c>
    </row>
    <row r="523" spans="1:17" x14ac:dyDescent="0.2">
      <c r="A523" s="1" t="s">
        <v>5</v>
      </c>
      <c r="F523" s="1" t="s">
        <v>55</v>
      </c>
    </row>
    <row r="526" spans="1:17" x14ac:dyDescent="0.2">
      <c r="C526" s="1" t="s">
        <v>7</v>
      </c>
      <c r="D526" s="1" t="s">
        <v>8</v>
      </c>
      <c r="E526" s="1" t="s">
        <v>9</v>
      </c>
      <c r="G526" s="1" t="s">
        <v>10</v>
      </c>
      <c r="H526" s="1" t="s">
        <v>11</v>
      </c>
      <c r="I526" s="1" t="s">
        <v>12</v>
      </c>
      <c r="J526" s="1" t="s">
        <v>13</v>
      </c>
      <c r="K526" s="1" t="s">
        <v>14</v>
      </c>
      <c r="L526" s="1" t="s">
        <v>15</v>
      </c>
      <c r="M526" s="1" t="s">
        <v>16</v>
      </c>
      <c r="N526" s="1" t="s">
        <v>17</v>
      </c>
      <c r="O526" s="1" t="s">
        <v>18</v>
      </c>
      <c r="P526" s="1" t="s">
        <v>19</v>
      </c>
      <c r="Q526" s="1" t="s">
        <v>20</v>
      </c>
    </row>
    <row r="528" spans="1:17" x14ac:dyDescent="0.2">
      <c r="D528" s="1" t="s">
        <v>444</v>
      </c>
      <c r="E528" s="1">
        <v>103540124</v>
      </c>
      <c r="G528" s="1" t="s">
        <v>64</v>
      </c>
      <c r="I528" s="1" t="s">
        <v>64</v>
      </c>
      <c r="K528" s="2">
        <v>-208502.95</v>
      </c>
      <c r="L528" s="1" t="s">
        <v>23</v>
      </c>
      <c r="N528" s="2">
        <v>-208502.95</v>
      </c>
      <c r="O528" s="1" t="s">
        <v>23</v>
      </c>
      <c r="P528" s="1" t="s">
        <v>576</v>
      </c>
      <c r="Q528" s="1">
        <v>1</v>
      </c>
    </row>
    <row r="529" spans="1:17" x14ac:dyDescent="0.2">
      <c r="D529" s="1" t="s">
        <v>444</v>
      </c>
      <c r="E529" s="1">
        <v>103540125</v>
      </c>
      <c r="G529" s="1" t="s">
        <v>48</v>
      </c>
      <c r="I529" s="1" t="s">
        <v>48</v>
      </c>
      <c r="K529" s="2">
        <v>-518220.37</v>
      </c>
      <c r="L529" s="1" t="s">
        <v>23</v>
      </c>
      <c r="N529" s="2">
        <v>-518220.37</v>
      </c>
      <c r="O529" s="1" t="s">
        <v>23</v>
      </c>
      <c r="P529" s="1" t="s">
        <v>577</v>
      </c>
      <c r="Q529" s="1">
        <v>1</v>
      </c>
    </row>
    <row r="530" spans="1:17" x14ac:dyDescent="0.2">
      <c r="D530" s="1" t="s">
        <v>444</v>
      </c>
      <c r="E530" s="1">
        <v>103540126</v>
      </c>
      <c r="G530" s="1" t="s">
        <v>30</v>
      </c>
      <c r="I530" s="1" t="s">
        <v>30</v>
      </c>
      <c r="K530" s="2">
        <v>-608936.42000000004</v>
      </c>
      <c r="L530" s="1" t="s">
        <v>23</v>
      </c>
      <c r="N530" s="2">
        <v>-608936.42000000004</v>
      </c>
      <c r="O530" s="1" t="s">
        <v>23</v>
      </c>
      <c r="P530" s="1" t="s">
        <v>578</v>
      </c>
      <c r="Q530" s="1">
        <v>1</v>
      </c>
    </row>
    <row r="531" spans="1:17" x14ac:dyDescent="0.2">
      <c r="D531" s="1" t="s">
        <v>444</v>
      </c>
      <c r="E531" s="1">
        <v>103540127</v>
      </c>
      <c r="G531" s="1" t="s">
        <v>30</v>
      </c>
      <c r="I531" s="1" t="s">
        <v>30</v>
      </c>
      <c r="K531" s="2">
        <v>-266574.15999999997</v>
      </c>
      <c r="L531" s="1" t="s">
        <v>23</v>
      </c>
      <c r="N531" s="2">
        <v>-266574.15999999997</v>
      </c>
      <c r="O531" s="1" t="s">
        <v>23</v>
      </c>
      <c r="P531" s="1" t="s">
        <v>579</v>
      </c>
      <c r="Q531" s="1">
        <v>1</v>
      </c>
    </row>
    <row r="533" spans="1:17" x14ac:dyDescent="0.2">
      <c r="B533" s="1" t="s">
        <v>32</v>
      </c>
      <c r="K533" s="2">
        <v>-1602233.9</v>
      </c>
      <c r="L533" s="1" t="s">
        <v>23</v>
      </c>
      <c r="N533" s="2">
        <v>-1602233.9</v>
      </c>
      <c r="O533" s="1" t="s">
        <v>23</v>
      </c>
    </row>
    <row r="535" spans="1:17" x14ac:dyDescent="0.2">
      <c r="A535" s="3"/>
      <c r="B535" s="3" t="s">
        <v>33</v>
      </c>
      <c r="C535" s="3" t="s">
        <v>162</v>
      </c>
      <c r="D535" s="3"/>
      <c r="E535" s="3"/>
      <c r="F535" s="3"/>
      <c r="G535" s="3"/>
      <c r="H535" s="3"/>
      <c r="I535" s="3"/>
      <c r="J535" s="3"/>
      <c r="K535" s="4">
        <v>-1602233.9</v>
      </c>
      <c r="L535" s="3" t="s">
        <v>23</v>
      </c>
      <c r="M535" s="3"/>
      <c r="N535" s="4">
        <v>-1602233.9</v>
      </c>
      <c r="O535" s="3" t="s">
        <v>23</v>
      </c>
      <c r="P535" s="3"/>
      <c r="Q535" s="3"/>
    </row>
    <row r="537" spans="1:17" x14ac:dyDescent="0.2">
      <c r="A537" s="1" t="s">
        <v>0</v>
      </c>
      <c r="F537" s="1">
        <v>501146</v>
      </c>
    </row>
    <row r="538" spans="1:17" x14ac:dyDescent="0.2">
      <c r="A538" s="1" t="s">
        <v>1</v>
      </c>
      <c r="F538" s="1" t="s">
        <v>2</v>
      </c>
    </row>
    <row r="540" spans="1:17" x14ac:dyDescent="0.2">
      <c r="A540" s="1" t="s">
        <v>3</v>
      </c>
      <c r="F540" s="1" t="s">
        <v>580</v>
      </c>
    </row>
    <row r="541" spans="1:17" x14ac:dyDescent="0.2">
      <c r="A541" s="1" t="s">
        <v>5</v>
      </c>
      <c r="F541" s="1" t="s">
        <v>514</v>
      </c>
    </row>
    <row r="544" spans="1:17" x14ac:dyDescent="0.2">
      <c r="C544" s="1" t="s">
        <v>7</v>
      </c>
      <c r="D544" s="1" t="s">
        <v>8</v>
      </c>
      <c r="E544" s="1" t="s">
        <v>9</v>
      </c>
      <c r="G544" s="1" t="s">
        <v>10</v>
      </c>
      <c r="H544" s="1" t="s">
        <v>11</v>
      </c>
      <c r="I544" s="1" t="s">
        <v>12</v>
      </c>
      <c r="J544" s="1" t="s">
        <v>13</v>
      </c>
      <c r="K544" s="1" t="s">
        <v>14</v>
      </c>
      <c r="L544" s="1" t="s">
        <v>15</v>
      </c>
      <c r="M544" s="1" t="s">
        <v>16</v>
      </c>
      <c r="N544" s="1" t="s">
        <v>17</v>
      </c>
      <c r="O544" s="1" t="s">
        <v>18</v>
      </c>
      <c r="P544" s="1" t="s">
        <v>19</v>
      </c>
      <c r="Q544" s="1" t="s">
        <v>20</v>
      </c>
    </row>
    <row r="546" spans="1:17" x14ac:dyDescent="0.2">
      <c r="D546" s="1" t="s">
        <v>444</v>
      </c>
      <c r="E546" s="1">
        <v>1400015803</v>
      </c>
      <c r="G546" s="1" t="s">
        <v>44</v>
      </c>
      <c r="I546" s="1" t="s">
        <v>44</v>
      </c>
      <c r="K546" s="2">
        <v>-2083000</v>
      </c>
      <c r="L546" s="1" t="s">
        <v>23</v>
      </c>
      <c r="N546" s="2">
        <v>-2083000</v>
      </c>
      <c r="O546" s="1" t="s">
        <v>23</v>
      </c>
      <c r="P546" s="1" t="s">
        <v>581</v>
      </c>
      <c r="Q546" s="1">
        <v>1</v>
      </c>
    </row>
    <row r="548" spans="1:17" x14ac:dyDescent="0.2">
      <c r="B548" s="1" t="s">
        <v>32</v>
      </c>
      <c r="K548" s="2">
        <v>-2083000</v>
      </c>
      <c r="L548" s="1" t="s">
        <v>23</v>
      </c>
      <c r="N548" s="2">
        <v>-2083000</v>
      </c>
      <c r="O548" s="1" t="s">
        <v>23</v>
      </c>
    </row>
    <row r="550" spans="1:17" x14ac:dyDescent="0.2">
      <c r="A550" s="3"/>
      <c r="B550" s="3" t="s">
        <v>33</v>
      </c>
      <c r="C550" s="3" t="s">
        <v>582</v>
      </c>
      <c r="D550" s="3"/>
      <c r="E550" s="3"/>
      <c r="F550" s="3"/>
      <c r="G550" s="3"/>
      <c r="H550" s="3"/>
      <c r="I550" s="3"/>
      <c r="J550" s="3"/>
      <c r="K550" s="4">
        <v>-2083000</v>
      </c>
      <c r="L550" s="3" t="s">
        <v>23</v>
      </c>
      <c r="M550" s="3"/>
      <c r="N550" s="4">
        <v>-2083000</v>
      </c>
      <c r="O550" s="3" t="s">
        <v>23</v>
      </c>
      <c r="P550" s="3"/>
      <c r="Q550" s="3"/>
    </row>
    <row r="552" spans="1:17" x14ac:dyDescent="0.2">
      <c r="A552" s="1" t="s">
        <v>0</v>
      </c>
      <c r="F552" s="1">
        <v>501147</v>
      </c>
    </row>
    <row r="553" spans="1:17" x14ac:dyDescent="0.2">
      <c r="A553" s="1" t="s">
        <v>1</v>
      </c>
      <c r="F553" s="1" t="s">
        <v>2</v>
      </c>
    </row>
    <row r="555" spans="1:17" x14ac:dyDescent="0.2">
      <c r="A555" s="1" t="s">
        <v>3</v>
      </c>
      <c r="F555" s="1" t="s">
        <v>163</v>
      </c>
    </row>
    <row r="556" spans="1:17" x14ac:dyDescent="0.2">
      <c r="A556" s="1" t="s">
        <v>5</v>
      </c>
      <c r="F556" s="1" t="s">
        <v>151</v>
      </c>
    </row>
    <row r="559" spans="1:17" x14ac:dyDescent="0.2">
      <c r="C559" s="1" t="s">
        <v>7</v>
      </c>
      <c r="D559" s="1" t="s">
        <v>8</v>
      </c>
      <c r="E559" s="1" t="s">
        <v>9</v>
      </c>
      <c r="G559" s="1" t="s">
        <v>10</v>
      </c>
      <c r="H559" s="1" t="s">
        <v>11</v>
      </c>
      <c r="I559" s="1" t="s">
        <v>12</v>
      </c>
      <c r="J559" s="1" t="s">
        <v>13</v>
      </c>
      <c r="K559" s="1" t="s">
        <v>14</v>
      </c>
      <c r="L559" s="1" t="s">
        <v>15</v>
      </c>
      <c r="M559" s="1" t="s">
        <v>16</v>
      </c>
      <c r="N559" s="1" t="s">
        <v>17</v>
      </c>
      <c r="O559" s="1" t="s">
        <v>18</v>
      </c>
      <c r="P559" s="1" t="s">
        <v>19</v>
      </c>
      <c r="Q559" s="1" t="s">
        <v>20</v>
      </c>
    </row>
    <row r="561" spans="1:17" x14ac:dyDescent="0.2">
      <c r="D561" s="1" t="s">
        <v>444</v>
      </c>
      <c r="E561" s="1">
        <v>1400015739</v>
      </c>
      <c r="G561" s="1" t="s">
        <v>164</v>
      </c>
      <c r="I561" s="1" t="s">
        <v>164</v>
      </c>
      <c r="K561" s="2">
        <v>-300000</v>
      </c>
      <c r="L561" s="1" t="s">
        <v>23</v>
      </c>
      <c r="N561" s="2">
        <v>-300000</v>
      </c>
      <c r="O561" s="1" t="s">
        <v>23</v>
      </c>
      <c r="P561" s="1" t="s">
        <v>583</v>
      </c>
      <c r="Q561" s="1">
        <v>1</v>
      </c>
    </row>
    <row r="562" spans="1:17" x14ac:dyDescent="0.2">
      <c r="D562" s="1" t="s">
        <v>444</v>
      </c>
      <c r="E562" s="1">
        <v>1400015848</v>
      </c>
      <c r="G562" s="1" t="s">
        <v>48</v>
      </c>
      <c r="I562" s="1" t="s">
        <v>48</v>
      </c>
      <c r="K562" s="2">
        <v>-146880</v>
      </c>
      <c r="L562" s="1" t="s">
        <v>23</v>
      </c>
      <c r="N562" s="2">
        <v>-146880</v>
      </c>
      <c r="O562" s="1" t="s">
        <v>23</v>
      </c>
      <c r="P562" s="1" t="s">
        <v>584</v>
      </c>
      <c r="Q562" s="1">
        <v>1</v>
      </c>
    </row>
    <row r="563" spans="1:17" x14ac:dyDescent="0.2">
      <c r="D563" s="1" t="s">
        <v>444</v>
      </c>
      <c r="E563" s="1">
        <v>1400015848</v>
      </c>
      <c r="G563" s="1" t="s">
        <v>48</v>
      </c>
      <c r="I563" s="1" t="s">
        <v>48</v>
      </c>
      <c r="K563" s="2">
        <v>-274911.25</v>
      </c>
      <c r="L563" s="1" t="s">
        <v>23</v>
      </c>
      <c r="N563" s="2">
        <v>-274911.25</v>
      </c>
      <c r="O563" s="1" t="s">
        <v>23</v>
      </c>
      <c r="P563" s="1" t="s">
        <v>585</v>
      </c>
      <c r="Q563" s="1">
        <v>1</v>
      </c>
    </row>
    <row r="564" spans="1:17" x14ac:dyDescent="0.2">
      <c r="D564" s="1" t="s">
        <v>444</v>
      </c>
      <c r="E564" s="1">
        <v>1400015848</v>
      </c>
      <c r="G564" s="1" t="s">
        <v>48</v>
      </c>
      <c r="I564" s="1" t="s">
        <v>48</v>
      </c>
      <c r="K564" s="2">
        <v>-267739.92</v>
      </c>
      <c r="L564" s="1" t="s">
        <v>23</v>
      </c>
      <c r="N564" s="2">
        <v>-267739.92</v>
      </c>
      <c r="O564" s="1" t="s">
        <v>23</v>
      </c>
      <c r="P564" s="1" t="s">
        <v>586</v>
      </c>
      <c r="Q564" s="1">
        <v>1</v>
      </c>
    </row>
    <row r="565" spans="1:17" x14ac:dyDescent="0.2">
      <c r="D565" s="1" t="s">
        <v>444</v>
      </c>
      <c r="E565" s="1">
        <v>1400015848</v>
      </c>
      <c r="G565" s="1" t="s">
        <v>48</v>
      </c>
      <c r="I565" s="1" t="s">
        <v>48</v>
      </c>
      <c r="K565" s="2">
        <v>-266483.25</v>
      </c>
      <c r="L565" s="1" t="s">
        <v>23</v>
      </c>
      <c r="N565" s="2">
        <v>-266483.25</v>
      </c>
      <c r="O565" s="1" t="s">
        <v>23</v>
      </c>
      <c r="P565" s="1" t="s">
        <v>587</v>
      </c>
      <c r="Q565" s="1">
        <v>1</v>
      </c>
    </row>
    <row r="566" spans="1:17" x14ac:dyDescent="0.2">
      <c r="D566" s="1" t="s">
        <v>444</v>
      </c>
      <c r="E566" s="1">
        <v>1400015848</v>
      </c>
      <c r="G566" s="1" t="s">
        <v>48</v>
      </c>
      <c r="I566" s="1" t="s">
        <v>48</v>
      </c>
      <c r="K566" s="2">
        <v>-122552</v>
      </c>
      <c r="L566" s="1" t="s">
        <v>23</v>
      </c>
      <c r="N566" s="2">
        <v>-122552</v>
      </c>
      <c r="O566" s="1" t="s">
        <v>23</v>
      </c>
      <c r="P566" s="1" t="s">
        <v>588</v>
      </c>
      <c r="Q566" s="1">
        <v>1</v>
      </c>
    </row>
    <row r="567" spans="1:17" x14ac:dyDescent="0.2">
      <c r="D567" s="1" t="s">
        <v>444</v>
      </c>
      <c r="E567" s="1">
        <v>1400015848</v>
      </c>
      <c r="G567" s="1" t="s">
        <v>48</v>
      </c>
      <c r="I567" s="1" t="s">
        <v>48</v>
      </c>
      <c r="K567" s="2">
        <v>-118595.5</v>
      </c>
      <c r="L567" s="1" t="s">
        <v>23</v>
      </c>
      <c r="N567" s="2">
        <v>-118595.5</v>
      </c>
      <c r="O567" s="1" t="s">
        <v>23</v>
      </c>
      <c r="P567" s="1" t="s">
        <v>589</v>
      </c>
      <c r="Q567" s="1">
        <v>1</v>
      </c>
    </row>
    <row r="569" spans="1:17" x14ac:dyDescent="0.2">
      <c r="B569" s="1" t="s">
        <v>32</v>
      </c>
      <c r="K569" s="2">
        <v>-1497161.92</v>
      </c>
      <c r="L569" s="1" t="s">
        <v>23</v>
      </c>
      <c r="N569" s="2">
        <v>-1497161.92</v>
      </c>
      <c r="O569" s="1" t="s">
        <v>23</v>
      </c>
    </row>
    <row r="571" spans="1:17" x14ac:dyDescent="0.2">
      <c r="A571" s="3"/>
      <c r="B571" s="3" t="s">
        <v>33</v>
      </c>
      <c r="C571" s="3" t="s">
        <v>167</v>
      </c>
      <c r="D571" s="3"/>
      <c r="E571" s="3"/>
      <c r="F571" s="3"/>
      <c r="G571" s="3"/>
      <c r="H571" s="3"/>
      <c r="I571" s="3"/>
      <c r="J571" s="3"/>
      <c r="K571" s="4">
        <v>-1497161.92</v>
      </c>
      <c r="L571" s="3" t="s">
        <v>23</v>
      </c>
      <c r="M571" s="3"/>
      <c r="N571" s="4">
        <v>-1497161.92</v>
      </c>
      <c r="O571" s="3" t="s">
        <v>23</v>
      </c>
      <c r="P571" s="3"/>
      <c r="Q571" s="3"/>
    </row>
    <row r="573" spans="1:17" x14ac:dyDescent="0.2">
      <c r="A573" s="1" t="s">
        <v>0</v>
      </c>
      <c r="F573" s="1">
        <v>501149</v>
      </c>
    </row>
    <row r="574" spans="1:17" x14ac:dyDescent="0.2">
      <c r="A574" s="1" t="s">
        <v>1</v>
      </c>
      <c r="F574" s="1" t="s">
        <v>2</v>
      </c>
    </row>
    <row r="576" spans="1:17" x14ac:dyDescent="0.2">
      <c r="A576" s="1" t="s">
        <v>3</v>
      </c>
      <c r="F576" s="1" t="s">
        <v>573</v>
      </c>
    </row>
    <row r="577" spans="1:17" x14ac:dyDescent="0.2">
      <c r="A577" s="1" t="s">
        <v>5</v>
      </c>
      <c r="F577" s="1" t="s">
        <v>55</v>
      </c>
    </row>
    <row r="580" spans="1:17" x14ac:dyDescent="0.2">
      <c r="C580" s="1" t="s">
        <v>7</v>
      </c>
      <c r="D580" s="1" t="s">
        <v>8</v>
      </c>
      <c r="E580" s="1" t="s">
        <v>9</v>
      </c>
      <c r="G580" s="1" t="s">
        <v>10</v>
      </c>
      <c r="H580" s="1" t="s">
        <v>11</v>
      </c>
      <c r="I580" s="1" t="s">
        <v>12</v>
      </c>
      <c r="J580" s="1" t="s">
        <v>13</v>
      </c>
      <c r="K580" s="1" t="s">
        <v>14</v>
      </c>
      <c r="L580" s="1" t="s">
        <v>15</v>
      </c>
      <c r="M580" s="1" t="s">
        <v>16</v>
      </c>
      <c r="N580" s="1" t="s">
        <v>17</v>
      </c>
      <c r="O580" s="1" t="s">
        <v>18</v>
      </c>
      <c r="P580" s="1" t="s">
        <v>19</v>
      </c>
      <c r="Q580" s="1" t="s">
        <v>20</v>
      </c>
    </row>
    <row r="582" spans="1:17" x14ac:dyDescent="0.2">
      <c r="D582" s="1" t="s">
        <v>444</v>
      </c>
      <c r="E582" s="1">
        <v>1400015758</v>
      </c>
      <c r="G582" s="1" t="s">
        <v>26</v>
      </c>
      <c r="I582" s="1" t="s">
        <v>26</v>
      </c>
      <c r="K582" s="2">
        <v>-82709.990000000005</v>
      </c>
      <c r="L582" s="1" t="s">
        <v>23</v>
      </c>
      <c r="N582" s="2">
        <v>-82709.990000000005</v>
      </c>
      <c r="O582" s="1" t="s">
        <v>23</v>
      </c>
      <c r="P582" s="1" t="s">
        <v>590</v>
      </c>
      <c r="Q582" s="1">
        <v>1</v>
      </c>
    </row>
    <row r="583" spans="1:17" x14ac:dyDescent="0.2">
      <c r="D583" s="1" t="s">
        <v>444</v>
      </c>
      <c r="E583" s="1">
        <v>1400015758</v>
      </c>
      <c r="G583" s="1" t="s">
        <v>26</v>
      </c>
      <c r="I583" s="1" t="s">
        <v>26</v>
      </c>
      <c r="K583" s="2">
        <v>-185000</v>
      </c>
      <c r="L583" s="1" t="s">
        <v>23</v>
      </c>
      <c r="N583" s="2">
        <v>-185000</v>
      </c>
      <c r="O583" s="1" t="s">
        <v>23</v>
      </c>
      <c r="P583" s="1" t="s">
        <v>591</v>
      </c>
      <c r="Q583" s="1">
        <v>1</v>
      </c>
    </row>
    <row r="584" spans="1:17" x14ac:dyDescent="0.2">
      <c r="D584" s="1" t="s">
        <v>444</v>
      </c>
      <c r="E584" s="1">
        <v>1400015758</v>
      </c>
      <c r="G584" s="1" t="s">
        <v>26</v>
      </c>
      <c r="I584" s="1" t="s">
        <v>26</v>
      </c>
      <c r="K584" s="2">
        <v>-521122.34</v>
      </c>
      <c r="L584" s="1" t="s">
        <v>23</v>
      </c>
      <c r="N584" s="2">
        <v>-521122.34</v>
      </c>
      <c r="O584" s="1" t="s">
        <v>23</v>
      </c>
      <c r="P584" s="1" t="s">
        <v>592</v>
      </c>
      <c r="Q584" s="1">
        <v>1</v>
      </c>
    </row>
    <row r="585" spans="1:17" x14ac:dyDescent="0.2">
      <c r="D585" s="1" t="s">
        <v>444</v>
      </c>
      <c r="E585" s="1">
        <v>1400015825</v>
      </c>
      <c r="G585" s="1" t="s">
        <v>64</v>
      </c>
      <c r="I585" s="1" t="s">
        <v>64</v>
      </c>
      <c r="K585" s="2">
        <v>-384367.08</v>
      </c>
      <c r="L585" s="1" t="s">
        <v>23</v>
      </c>
      <c r="N585" s="2">
        <v>-384367.08</v>
      </c>
      <c r="O585" s="1" t="s">
        <v>23</v>
      </c>
      <c r="P585" s="1" t="s">
        <v>590</v>
      </c>
      <c r="Q585" s="1">
        <v>1</v>
      </c>
    </row>
    <row r="586" spans="1:17" x14ac:dyDescent="0.2">
      <c r="D586" s="1" t="s">
        <v>444</v>
      </c>
      <c r="E586" s="1">
        <v>1400015831</v>
      </c>
      <c r="G586" s="1" t="s">
        <v>75</v>
      </c>
      <c r="I586" s="1" t="s">
        <v>75</v>
      </c>
      <c r="K586" s="1">
        <v>-235.73</v>
      </c>
      <c r="L586" s="1" t="s">
        <v>23</v>
      </c>
      <c r="N586" s="1">
        <v>-235.73</v>
      </c>
      <c r="O586" s="1" t="s">
        <v>23</v>
      </c>
      <c r="P586" s="1" t="s">
        <v>590</v>
      </c>
      <c r="Q586" s="1">
        <v>1</v>
      </c>
    </row>
    <row r="588" spans="1:17" x14ac:dyDescent="0.2">
      <c r="B588" s="1" t="s">
        <v>32</v>
      </c>
      <c r="K588" s="2">
        <v>-1173435.1399999999</v>
      </c>
      <c r="L588" s="1" t="s">
        <v>23</v>
      </c>
      <c r="N588" s="2">
        <v>-1173435.1399999999</v>
      </c>
      <c r="O588" s="1" t="s">
        <v>23</v>
      </c>
    </row>
    <row r="590" spans="1:17" x14ac:dyDescent="0.2">
      <c r="A590" s="3"/>
      <c r="B590" s="3" t="s">
        <v>33</v>
      </c>
      <c r="C590" s="3" t="s">
        <v>593</v>
      </c>
      <c r="D590" s="3"/>
      <c r="E590" s="3"/>
      <c r="F590" s="3"/>
      <c r="G590" s="3"/>
      <c r="H590" s="3"/>
      <c r="I590" s="3"/>
      <c r="J590" s="3"/>
      <c r="K590" s="4">
        <v>-1173435.1399999999</v>
      </c>
      <c r="L590" s="3" t="s">
        <v>23</v>
      </c>
      <c r="M590" s="3"/>
      <c r="N590" s="4">
        <v>-1173435.1399999999</v>
      </c>
      <c r="O590" s="3" t="s">
        <v>23</v>
      </c>
      <c r="P590" s="3"/>
      <c r="Q590" s="3"/>
    </row>
    <row r="592" spans="1:17" x14ac:dyDescent="0.2">
      <c r="A592" s="1" t="s">
        <v>0</v>
      </c>
      <c r="F592" s="1">
        <v>501155</v>
      </c>
    </row>
    <row r="593" spans="1:17" x14ac:dyDescent="0.2">
      <c r="A593" s="1" t="s">
        <v>1</v>
      </c>
      <c r="F593" s="1" t="s">
        <v>2</v>
      </c>
    </row>
    <row r="595" spans="1:17" x14ac:dyDescent="0.2">
      <c r="A595" s="1" t="s">
        <v>3</v>
      </c>
      <c r="F595" s="1" t="s">
        <v>594</v>
      </c>
    </row>
    <row r="596" spans="1:17" x14ac:dyDescent="0.2">
      <c r="A596" s="1" t="s">
        <v>5</v>
      </c>
      <c r="F596" s="1" t="s">
        <v>514</v>
      </c>
    </row>
    <row r="599" spans="1:17" x14ac:dyDescent="0.2">
      <c r="C599" s="1" t="s">
        <v>7</v>
      </c>
      <c r="D599" s="1" t="s">
        <v>8</v>
      </c>
      <c r="E599" s="1" t="s">
        <v>9</v>
      </c>
      <c r="G599" s="1" t="s">
        <v>10</v>
      </c>
      <c r="H599" s="1" t="s">
        <v>11</v>
      </c>
      <c r="I599" s="1" t="s">
        <v>12</v>
      </c>
      <c r="J599" s="1" t="s">
        <v>13</v>
      </c>
      <c r="K599" s="1" t="s">
        <v>14</v>
      </c>
      <c r="L599" s="1" t="s">
        <v>15</v>
      </c>
      <c r="M599" s="1" t="s">
        <v>16</v>
      </c>
      <c r="N599" s="1" t="s">
        <v>17</v>
      </c>
      <c r="O599" s="1" t="s">
        <v>18</v>
      </c>
      <c r="P599" s="1" t="s">
        <v>19</v>
      </c>
      <c r="Q599" s="1" t="s">
        <v>20</v>
      </c>
    </row>
    <row r="601" spans="1:17" x14ac:dyDescent="0.2">
      <c r="D601" s="1" t="s">
        <v>444</v>
      </c>
      <c r="E601" s="1">
        <v>1400015898</v>
      </c>
      <c r="G601" s="1" t="s">
        <v>64</v>
      </c>
      <c r="I601" s="1" t="s">
        <v>64</v>
      </c>
      <c r="K601" s="2">
        <v>-135045.75</v>
      </c>
      <c r="L601" s="1" t="s">
        <v>23</v>
      </c>
      <c r="N601" s="2">
        <v>-33046.800000000003</v>
      </c>
      <c r="O601" s="1" t="s">
        <v>24</v>
      </c>
      <c r="P601" s="1" t="s">
        <v>595</v>
      </c>
      <c r="Q601" s="1">
        <v>4.0865</v>
      </c>
    </row>
    <row r="603" spans="1:17" x14ac:dyDescent="0.2">
      <c r="B603" s="1" t="s">
        <v>32</v>
      </c>
      <c r="K603" s="2">
        <v>-135045.75</v>
      </c>
      <c r="L603" s="1" t="s">
        <v>23</v>
      </c>
      <c r="N603" s="2">
        <v>-33046.800000000003</v>
      </c>
      <c r="O603" s="1" t="s">
        <v>24</v>
      </c>
    </row>
    <row r="605" spans="1:17" x14ac:dyDescent="0.2">
      <c r="A605" s="3"/>
      <c r="B605" s="3" t="s">
        <v>33</v>
      </c>
      <c r="C605" s="3" t="s">
        <v>596</v>
      </c>
      <c r="D605" s="3"/>
      <c r="E605" s="3"/>
      <c r="F605" s="3"/>
      <c r="G605" s="3"/>
      <c r="H605" s="3"/>
      <c r="I605" s="3"/>
      <c r="J605" s="3"/>
      <c r="K605" s="4">
        <v>-135045.75</v>
      </c>
      <c r="L605" s="3" t="s">
        <v>23</v>
      </c>
      <c r="M605" s="3"/>
      <c r="N605" s="4">
        <v>-33046.800000000003</v>
      </c>
      <c r="O605" s="3" t="s">
        <v>24</v>
      </c>
      <c r="P605" s="3"/>
      <c r="Q605" s="3"/>
    </row>
    <row r="607" spans="1:17" x14ac:dyDescent="0.2">
      <c r="A607" s="1" t="s">
        <v>0</v>
      </c>
      <c r="F607" s="1">
        <v>501157</v>
      </c>
    </row>
    <row r="608" spans="1:17" x14ac:dyDescent="0.2">
      <c r="A608" s="1" t="s">
        <v>1</v>
      </c>
      <c r="F608" s="1" t="s">
        <v>2</v>
      </c>
    </row>
    <row r="610" spans="1:17" x14ac:dyDescent="0.2">
      <c r="A610" s="1" t="s">
        <v>3</v>
      </c>
      <c r="F610" s="1" t="s">
        <v>168</v>
      </c>
    </row>
    <row r="611" spans="1:17" x14ac:dyDescent="0.2">
      <c r="A611" s="1" t="s">
        <v>5</v>
      </c>
      <c r="F611" s="1" t="s">
        <v>169</v>
      </c>
    </row>
    <row r="614" spans="1:17" x14ac:dyDescent="0.2">
      <c r="C614" s="1" t="s">
        <v>7</v>
      </c>
      <c r="D614" s="1" t="s">
        <v>8</v>
      </c>
      <c r="E614" s="1" t="s">
        <v>9</v>
      </c>
      <c r="G614" s="1" t="s">
        <v>10</v>
      </c>
      <c r="H614" s="1" t="s">
        <v>11</v>
      </c>
      <c r="I614" s="1" t="s">
        <v>12</v>
      </c>
      <c r="J614" s="1" t="s">
        <v>13</v>
      </c>
      <c r="K614" s="1" t="s">
        <v>14</v>
      </c>
      <c r="L614" s="1" t="s">
        <v>15</v>
      </c>
      <c r="M614" s="1" t="s">
        <v>16</v>
      </c>
      <c r="N614" s="1" t="s">
        <v>17</v>
      </c>
      <c r="O614" s="1" t="s">
        <v>18</v>
      </c>
      <c r="P614" s="1" t="s">
        <v>19</v>
      </c>
      <c r="Q614" s="1" t="s">
        <v>20</v>
      </c>
    </row>
    <row r="616" spans="1:17" x14ac:dyDescent="0.2">
      <c r="D616" s="1" t="s">
        <v>444</v>
      </c>
      <c r="E616" s="1">
        <v>1400015724</v>
      </c>
      <c r="G616" s="1" t="s">
        <v>42</v>
      </c>
      <c r="I616" s="1" t="s">
        <v>42</v>
      </c>
      <c r="K616" s="2">
        <v>-1618452</v>
      </c>
      <c r="L616" s="1" t="s">
        <v>23</v>
      </c>
      <c r="N616" s="2">
        <v>-396000</v>
      </c>
      <c r="O616" s="1" t="s">
        <v>24</v>
      </c>
      <c r="P616" s="1" t="s">
        <v>597</v>
      </c>
      <c r="Q616" s="1">
        <v>4.0869999999999997</v>
      </c>
    </row>
    <row r="617" spans="1:17" x14ac:dyDescent="0.2">
      <c r="D617" s="1" t="s">
        <v>444</v>
      </c>
      <c r="E617" s="1">
        <v>1400015733</v>
      </c>
      <c r="G617" s="1" t="s">
        <v>28</v>
      </c>
      <c r="I617" s="1" t="s">
        <v>28</v>
      </c>
      <c r="K617" s="2">
        <v>-1727464.18</v>
      </c>
      <c r="L617" s="1" t="s">
        <v>23</v>
      </c>
      <c r="N617" s="2">
        <v>-427325.71</v>
      </c>
      <c r="O617" s="1" t="s">
        <v>24</v>
      </c>
      <c r="P617" s="1" t="s">
        <v>598</v>
      </c>
      <c r="Q617" s="1">
        <v>4.0425000000000004</v>
      </c>
    </row>
    <row r="618" spans="1:17" x14ac:dyDescent="0.2">
      <c r="D618" s="1" t="s">
        <v>444</v>
      </c>
      <c r="E618" s="1">
        <v>1400015734</v>
      </c>
      <c r="G618" s="1" t="s">
        <v>67</v>
      </c>
      <c r="I618" s="1" t="s">
        <v>67</v>
      </c>
      <c r="K618" s="2">
        <v>-1324464</v>
      </c>
      <c r="L618" s="1" t="s">
        <v>23</v>
      </c>
      <c r="N618" s="2">
        <v>-328000</v>
      </c>
      <c r="O618" s="1" t="s">
        <v>24</v>
      </c>
      <c r="P618" s="1" t="s">
        <v>599</v>
      </c>
      <c r="Q618" s="1">
        <v>4.0380000000000003</v>
      </c>
    </row>
    <row r="619" spans="1:17" x14ac:dyDescent="0.2">
      <c r="D619" s="1" t="s">
        <v>444</v>
      </c>
      <c r="E619" s="1">
        <v>1400015734</v>
      </c>
      <c r="G619" s="1" t="s">
        <v>67</v>
      </c>
      <c r="I619" s="1" t="s">
        <v>67</v>
      </c>
      <c r="K619" s="2">
        <v>-224812.78</v>
      </c>
      <c r="L619" s="1" t="s">
        <v>23</v>
      </c>
      <c r="N619" s="2">
        <v>-55674.29</v>
      </c>
      <c r="O619" s="1" t="s">
        <v>24</v>
      </c>
      <c r="P619" s="1" t="s">
        <v>598</v>
      </c>
      <c r="Q619" s="1">
        <v>4.0380000000000003</v>
      </c>
    </row>
    <row r="620" spans="1:17" x14ac:dyDescent="0.2">
      <c r="D620" s="1" t="s">
        <v>444</v>
      </c>
      <c r="E620" s="1">
        <v>1400015788</v>
      </c>
      <c r="G620" s="1" t="s">
        <v>48</v>
      </c>
      <c r="I620" s="1" t="s">
        <v>48</v>
      </c>
      <c r="K620" s="2">
        <v>-2182950</v>
      </c>
      <c r="L620" s="1" t="s">
        <v>23</v>
      </c>
      <c r="N620" s="2">
        <v>-540000</v>
      </c>
      <c r="O620" s="1" t="s">
        <v>24</v>
      </c>
      <c r="P620" s="1" t="s">
        <v>600</v>
      </c>
      <c r="Q620" s="1">
        <v>4.0425000000000004</v>
      </c>
    </row>
    <row r="621" spans="1:17" x14ac:dyDescent="0.2">
      <c r="D621" s="1" t="s">
        <v>444</v>
      </c>
      <c r="E621" s="1">
        <v>1400015916</v>
      </c>
      <c r="G621" s="1" t="s">
        <v>30</v>
      </c>
      <c r="I621" s="1" t="s">
        <v>30</v>
      </c>
      <c r="K621" s="2">
        <v>-1661333.53</v>
      </c>
      <c r="L621" s="1" t="s">
        <v>23</v>
      </c>
      <c r="N621" s="2">
        <v>-412651.15</v>
      </c>
      <c r="O621" s="1" t="s">
        <v>24</v>
      </c>
      <c r="P621" s="1" t="s">
        <v>601</v>
      </c>
      <c r="Q621" s="1">
        <v>4.0259999999999998</v>
      </c>
    </row>
    <row r="623" spans="1:17" x14ac:dyDescent="0.2">
      <c r="B623" s="1" t="s">
        <v>32</v>
      </c>
      <c r="K623" s="2">
        <v>-8739476.4900000002</v>
      </c>
      <c r="L623" s="1" t="s">
        <v>23</v>
      </c>
      <c r="N623" s="2">
        <v>-2159651.15</v>
      </c>
      <c r="O623" s="1" t="s">
        <v>24</v>
      </c>
    </row>
    <row r="625" spans="1:17" x14ac:dyDescent="0.2">
      <c r="A625" s="3"/>
      <c r="B625" s="3" t="s">
        <v>33</v>
      </c>
      <c r="C625" s="3" t="s">
        <v>174</v>
      </c>
      <c r="D625" s="3"/>
      <c r="E625" s="3"/>
      <c r="F625" s="3"/>
      <c r="G625" s="3"/>
      <c r="H625" s="3"/>
      <c r="I625" s="3"/>
      <c r="J625" s="3"/>
      <c r="K625" s="4">
        <v>-8739476.4900000002</v>
      </c>
      <c r="L625" s="3" t="s">
        <v>23</v>
      </c>
      <c r="M625" s="3"/>
      <c r="N625" s="4">
        <v>-2159651.15</v>
      </c>
      <c r="O625" s="3" t="s">
        <v>24</v>
      </c>
      <c r="P625" s="3"/>
      <c r="Q625" s="3"/>
    </row>
    <row r="627" spans="1:17" x14ac:dyDescent="0.2">
      <c r="A627" s="1" t="s">
        <v>0</v>
      </c>
      <c r="F627" s="1">
        <v>501158</v>
      </c>
    </row>
    <row r="628" spans="1:17" x14ac:dyDescent="0.2">
      <c r="A628" s="1" t="s">
        <v>1</v>
      </c>
      <c r="F628" s="1" t="s">
        <v>2</v>
      </c>
    </row>
    <row r="630" spans="1:17" x14ac:dyDescent="0.2">
      <c r="A630" s="1" t="s">
        <v>3</v>
      </c>
      <c r="F630" s="1" t="s">
        <v>602</v>
      </c>
    </row>
    <row r="631" spans="1:17" x14ac:dyDescent="0.2">
      <c r="A631" s="1" t="s">
        <v>5</v>
      </c>
      <c r="F631" s="1" t="s">
        <v>514</v>
      </c>
    </row>
    <row r="634" spans="1:17" x14ac:dyDescent="0.2">
      <c r="C634" s="1" t="s">
        <v>7</v>
      </c>
      <c r="D634" s="1" t="s">
        <v>8</v>
      </c>
      <c r="E634" s="1" t="s">
        <v>9</v>
      </c>
      <c r="G634" s="1" t="s">
        <v>10</v>
      </c>
      <c r="H634" s="1" t="s">
        <v>11</v>
      </c>
      <c r="I634" s="1" t="s">
        <v>12</v>
      </c>
      <c r="J634" s="1" t="s">
        <v>13</v>
      </c>
      <c r="K634" s="1" t="s">
        <v>14</v>
      </c>
      <c r="L634" s="1" t="s">
        <v>15</v>
      </c>
      <c r="M634" s="1" t="s">
        <v>16</v>
      </c>
      <c r="N634" s="1" t="s">
        <v>17</v>
      </c>
      <c r="O634" s="1" t="s">
        <v>18</v>
      </c>
      <c r="P634" s="1" t="s">
        <v>19</v>
      </c>
      <c r="Q634" s="1" t="s">
        <v>20</v>
      </c>
    </row>
    <row r="636" spans="1:17" x14ac:dyDescent="0.2">
      <c r="D636" s="1" t="s">
        <v>444</v>
      </c>
      <c r="E636" s="1">
        <v>103527507</v>
      </c>
      <c r="G636" s="1" t="s">
        <v>44</v>
      </c>
      <c r="I636" s="1" t="s">
        <v>44</v>
      </c>
      <c r="K636" s="2">
        <v>-65667.58</v>
      </c>
      <c r="L636" s="1" t="s">
        <v>23</v>
      </c>
      <c r="N636" s="2">
        <v>-22742.02</v>
      </c>
      <c r="O636" s="1" t="s">
        <v>603</v>
      </c>
      <c r="P636" s="1" t="s">
        <v>604</v>
      </c>
      <c r="Q636" s="1">
        <v>2.8875000000000002</v>
      </c>
    </row>
    <row r="638" spans="1:17" x14ac:dyDescent="0.2">
      <c r="B638" s="1" t="s">
        <v>32</v>
      </c>
      <c r="K638" s="2">
        <v>-65667.58</v>
      </c>
      <c r="L638" s="1" t="s">
        <v>23</v>
      </c>
      <c r="N638" s="2">
        <v>-22742.02</v>
      </c>
      <c r="O638" s="1" t="s">
        <v>603</v>
      </c>
    </row>
    <row r="640" spans="1:17" x14ac:dyDescent="0.2">
      <c r="A640" s="3"/>
      <c r="B640" s="3" t="s">
        <v>33</v>
      </c>
      <c r="C640" s="3" t="s">
        <v>605</v>
      </c>
      <c r="D640" s="3"/>
      <c r="E640" s="3"/>
      <c r="F640" s="3"/>
      <c r="G640" s="3"/>
      <c r="H640" s="3"/>
      <c r="I640" s="3"/>
      <c r="J640" s="3"/>
      <c r="K640" s="4">
        <v>-65667.58</v>
      </c>
      <c r="L640" s="3" t="s">
        <v>23</v>
      </c>
      <c r="M640" s="3"/>
      <c r="N640" s="4">
        <v>-22742.02</v>
      </c>
      <c r="O640" s="3" t="s">
        <v>603</v>
      </c>
      <c r="P640" s="3"/>
      <c r="Q640" s="3"/>
    </row>
    <row r="642" spans="1:17" x14ac:dyDescent="0.2">
      <c r="A642" s="1" t="s">
        <v>0</v>
      </c>
      <c r="F642" s="1">
        <v>501167</v>
      </c>
    </row>
    <row r="643" spans="1:17" x14ac:dyDescent="0.2">
      <c r="A643" s="1" t="s">
        <v>1</v>
      </c>
      <c r="F643" s="1" t="s">
        <v>2</v>
      </c>
    </row>
    <row r="645" spans="1:17" x14ac:dyDescent="0.2">
      <c r="A645" s="1" t="s">
        <v>3</v>
      </c>
      <c r="F645" s="1" t="s">
        <v>168</v>
      </c>
    </row>
    <row r="646" spans="1:17" x14ac:dyDescent="0.2">
      <c r="A646" s="1" t="s">
        <v>5</v>
      </c>
      <c r="F646" s="1" t="s">
        <v>189</v>
      </c>
    </row>
    <row r="649" spans="1:17" x14ac:dyDescent="0.2">
      <c r="C649" s="1" t="s">
        <v>7</v>
      </c>
      <c r="D649" s="1" t="s">
        <v>8</v>
      </c>
      <c r="E649" s="1" t="s">
        <v>9</v>
      </c>
      <c r="G649" s="1" t="s">
        <v>10</v>
      </c>
      <c r="H649" s="1" t="s">
        <v>11</v>
      </c>
      <c r="I649" s="1" t="s">
        <v>12</v>
      </c>
      <c r="J649" s="1" t="s">
        <v>13</v>
      </c>
      <c r="K649" s="1" t="s">
        <v>14</v>
      </c>
      <c r="L649" s="1" t="s">
        <v>15</v>
      </c>
      <c r="M649" s="1" t="s">
        <v>16</v>
      </c>
      <c r="N649" s="1" t="s">
        <v>17</v>
      </c>
      <c r="O649" s="1" t="s">
        <v>18</v>
      </c>
      <c r="P649" s="1" t="s">
        <v>19</v>
      </c>
      <c r="Q649" s="1" t="s">
        <v>20</v>
      </c>
    </row>
    <row r="651" spans="1:17" x14ac:dyDescent="0.2">
      <c r="D651" s="1" t="s">
        <v>444</v>
      </c>
      <c r="E651" s="1">
        <v>1400015734</v>
      </c>
      <c r="G651" s="1" t="s">
        <v>67</v>
      </c>
      <c r="I651" s="1" t="s">
        <v>67</v>
      </c>
      <c r="K651" s="2">
        <v>-1865556</v>
      </c>
      <c r="L651" s="1" t="s">
        <v>23</v>
      </c>
      <c r="N651" s="2">
        <v>-462000</v>
      </c>
      <c r="O651" s="1" t="s">
        <v>24</v>
      </c>
      <c r="P651" s="1" t="s">
        <v>606</v>
      </c>
      <c r="Q651" s="1">
        <v>4.0380000000000003</v>
      </c>
    </row>
    <row r="653" spans="1:17" x14ac:dyDescent="0.2">
      <c r="B653" s="1" t="s">
        <v>32</v>
      </c>
      <c r="K653" s="2">
        <v>-1865556</v>
      </c>
      <c r="L653" s="1" t="s">
        <v>23</v>
      </c>
      <c r="N653" s="2">
        <v>-462000</v>
      </c>
      <c r="O653" s="1" t="s">
        <v>24</v>
      </c>
    </row>
    <row r="655" spans="1:17" x14ac:dyDescent="0.2">
      <c r="A655" s="3"/>
      <c r="B655" s="3" t="s">
        <v>33</v>
      </c>
      <c r="C655" s="3" t="s">
        <v>191</v>
      </c>
      <c r="D655" s="3"/>
      <c r="E655" s="3"/>
      <c r="F655" s="3"/>
      <c r="G655" s="3"/>
      <c r="H655" s="3"/>
      <c r="I655" s="3"/>
      <c r="J655" s="3"/>
      <c r="K655" s="4">
        <v>-1865556</v>
      </c>
      <c r="L655" s="3" t="s">
        <v>23</v>
      </c>
      <c r="M655" s="3"/>
      <c r="N655" s="4">
        <v>-462000</v>
      </c>
      <c r="O655" s="3" t="s">
        <v>24</v>
      </c>
      <c r="P655" s="3"/>
      <c r="Q655" s="3"/>
    </row>
    <row r="657" spans="1:17" x14ac:dyDescent="0.2">
      <c r="A657" s="1" t="s">
        <v>0</v>
      </c>
      <c r="F657" s="1">
        <v>501168</v>
      </c>
    </row>
    <row r="658" spans="1:17" x14ac:dyDescent="0.2">
      <c r="A658" s="1" t="s">
        <v>1</v>
      </c>
      <c r="F658" s="1" t="s">
        <v>2</v>
      </c>
    </row>
    <row r="660" spans="1:17" x14ac:dyDescent="0.2">
      <c r="A660" s="1" t="s">
        <v>3</v>
      </c>
      <c r="F660" s="1" t="s">
        <v>607</v>
      </c>
    </row>
    <row r="661" spans="1:17" x14ac:dyDescent="0.2">
      <c r="A661" s="1" t="s">
        <v>5</v>
      </c>
      <c r="F661" s="1" t="s">
        <v>608</v>
      </c>
    </row>
    <row r="664" spans="1:17" x14ac:dyDescent="0.2">
      <c r="C664" s="1" t="s">
        <v>7</v>
      </c>
      <c r="D664" s="1" t="s">
        <v>8</v>
      </c>
      <c r="E664" s="1" t="s">
        <v>9</v>
      </c>
      <c r="G664" s="1" t="s">
        <v>10</v>
      </c>
      <c r="H664" s="1" t="s">
        <v>11</v>
      </c>
      <c r="I664" s="1" t="s">
        <v>12</v>
      </c>
      <c r="J664" s="1" t="s">
        <v>13</v>
      </c>
      <c r="K664" s="1" t="s">
        <v>14</v>
      </c>
      <c r="L664" s="1" t="s">
        <v>15</v>
      </c>
      <c r="M664" s="1" t="s">
        <v>16</v>
      </c>
      <c r="N664" s="1" t="s">
        <v>17</v>
      </c>
      <c r="O664" s="1" t="s">
        <v>18</v>
      </c>
      <c r="P664" s="1" t="s">
        <v>19</v>
      </c>
      <c r="Q664" s="1" t="s">
        <v>20</v>
      </c>
    </row>
    <row r="666" spans="1:17" x14ac:dyDescent="0.2">
      <c r="D666" s="1" t="s">
        <v>444</v>
      </c>
      <c r="E666" s="1">
        <v>103540092</v>
      </c>
      <c r="G666" s="1" t="s">
        <v>86</v>
      </c>
      <c r="I666" s="1" t="s">
        <v>86</v>
      </c>
      <c r="K666" s="2">
        <v>-8156412.1399999997</v>
      </c>
      <c r="L666" s="1" t="s">
        <v>23</v>
      </c>
      <c r="N666" s="2">
        <v>-1992527.7</v>
      </c>
      <c r="O666" s="1" t="s">
        <v>24</v>
      </c>
      <c r="P666" s="1" t="s">
        <v>609</v>
      </c>
      <c r="Q666" s="1">
        <v>4.0934999999999997</v>
      </c>
    </row>
    <row r="667" spans="1:17" x14ac:dyDescent="0.2">
      <c r="D667" s="1" t="s">
        <v>444</v>
      </c>
      <c r="E667" s="1">
        <v>103540093</v>
      </c>
      <c r="G667" s="1" t="s">
        <v>26</v>
      </c>
      <c r="I667" s="1" t="s">
        <v>26</v>
      </c>
      <c r="K667" s="2">
        <v>-3965963.91</v>
      </c>
      <c r="L667" s="1" t="s">
        <v>23</v>
      </c>
      <c r="N667" s="2">
        <v>-969554.8</v>
      </c>
      <c r="O667" s="1" t="s">
        <v>24</v>
      </c>
      <c r="P667" s="1" t="s">
        <v>610</v>
      </c>
      <c r="Q667" s="1">
        <v>4.0904999999999996</v>
      </c>
    </row>
    <row r="668" spans="1:17" x14ac:dyDescent="0.2">
      <c r="D668" s="1" t="s">
        <v>444</v>
      </c>
      <c r="E668" s="1">
        <v>103540093</v>
      </c>
      <c r="G668" s="1" t="s">
        <v>26</v>
      </c>
      <c r="I668" s="1" t="s">
        <v>26</v>
      </c>
      <c r="K668" s="2">
        <v>-10906386.84</v>
      </c>
      <c r="L668" s="1" t="s">
        <v>23</v>
      </c>
      <c r="N668" s="2">
        <v>-2666272.2999999998</v>
      </c>
      <c r="O668" s="1" t="s">
        <v>24</v>
      </c>
      <c r="P668" s="1" t="s">
        <v>609</v>
      </c>
      <c r="Q668" s="1">
        <v>4.0904999999999996</v>
      </c>
    </row>
    <row r="670" spans="1:17" x14ac:dyDescent="0.2">
      <c r="B670" s="1" t="s">
        <v>32</v>
      </c>
      <c r="K670" s="2">
        <v>-23028762.890000001</v>
      </c>
      <c r="L670" s="1" t="s">
        <v>23</v>
      </c>
      <c r="N670" s="2">
        <v>-5628354.7999999998</v>
      </c>
      <c r="O670" s="1" t="s">
        <v>24</v>
      </c>
    </row>
    <row r="672" spans="1:17" x14ac:dyDescent="0.2">
      <c r="A672" s="3"/>
      <c r="B672" s="3" t="s">
        <v>33</v>
      </c>
      <c r="C672" s="3" t="s">
        <v>611</v>
      </c>
      <c r="D672" s="3"/>
      <c r="E672" s="3"/>
      <c r="F672" s="3"/>
      <c r="G672" s="3"/>
      <c r="H672" s="3"/>
      <c r="I672" s="3"/>
      <c r="J672" s="3"/>
      <c r="K672" s="4">
        <v>-23028762.890000001</v>
      </c>
      <c r="L672" s="3" t="s">
        <v>23</v>
      </c>
      <c r="M672" s="3"/>
      <c r="N672" s="4">
        <v>-5628354.7999999998</v>
      </c>
      <c r="O672" s="3" t="s">
        <v>24</v>
      </c>
      <c r="P672" s="3"/>
      <c r="Q672" s="3"/>
    </row>
    <row r="674" spans="1:17" x14ac:dyDescent="0.2">
      <c r="A674" s="1" t="s">
        <v>0</v>
      </c>
      <c r="F674" s="1">
        <v>501170</v>
      </c>
    </row>
    <row r="675" spans="1:17" x14ac:dyDescent="0.2">
      <c r="A675" s="1" t="s">
        <v>1</v>
      </c>
      <c r="F675" s="1" t="s">
        <v>2</v>
      </c>
    </row>
    <row r="677" spans="1:17" x14ac:dyDescent="0.2">
      <c r="A677" s="1" t="s">
        <v>3</v>
      </c>
      <c r="F677" s="1" t="s">
        <v>612</v>
      </c>
    </row>
    <row r="678" spans="1:17" x14ac:dyDescent="0.2">
      <c r="A678" s="1" t="s">
        <v>5</v>
      </c>
      <c r="F678" s="1" t="s">
        <v>514</v>
      </c>
    </row>
    <row r="681" spans="1:17" x14ac:dyDescent="0.2">
      <c r="C681" s="1" t="s">
        <v>7</v>
      </c>
      <c r="D681" s="1" t="s">
        <v>8</v>
      </c>
      <c r="E681" s="1" t="s">
        <v>9</v>
      </c>
      <c r="G681" s="1" t="s">
        <v>10</v>
      </c>
      <c r="H681" s="1" t="s">
        <v>11</v>
      </c>
      <c r="I681" s="1" t="s">
        <v>12</v>
      </c>
      <c r="J681" s="1" t="s">
        <v>13</v>
      </c>
      <c r="K681" s="1" t="s">
        <v>14</v>
      </c>
      <c r="L681" s="1" t="s">
        <v>15</v>
      </c>
      <c r="M681" s="1" t="s">
        <v>16</v>
      </c>
      <c r="N681" s="1" t="s">
        <v>17</v>
      </c>
      <c r="O681" s="1" t="s">
        <v>18</v>
      </c>
      <c r="P681" s="1" t="s">
        <v>19</v>
      </c>
      <c r="Q681" s="1" t="s">
        <v>20</v>
      </c>
    </row>
    <row r="683" spans="1:17" x14ac:dyDescent="0.2">
      <c r="D683" s="1" t="s">
        <v>444</v>
      </c>
      <c r="E683" s="1">
        <v>1400015798</v>
      </c>
      <c r="G683" s="1" t="s">
        <v>130</v>
      </c>
      <c r="I683" s="1" t="s">
        <v>130</v>
      </c>
      <c r="K683" s="2">
        <v>-7996.42</v>
      </c>
      <c r="L683" s="1" t="s">
        <v>23</v>
      </c>
      <c r="N683" s="2">
        <v>-7996.42</v>
      </c>
      <c r="O683" s="1" t="s">
        <v>23</v>
      </c>
      <c r="P683" s="1" t="s">
        <v>613</v>
      </c>
      <c r="Q683" s="1">
        <v>1</v>
      </c>
    </row>
    <row r="685" spans="1:17" x14ac:dyDescent="0.2">
      <c r="B685" s="1" t="s">
        <v>32</v>
      </c>
      <c r="K685" s="2">
        <v>-7996.42</v>
      </c>
      <c r="L685" s="1" t="s">
        <v>23</v>
      </c>
      <c r="N685" s="2">
        <v>-7996.42</v>
      </c>
      <c r="O685" s="1" t="s">
        <v>23</v>
      </c>
    </row>
    <row r="687" spans="1:17" x14ac:dyDescent="0.2">
      <c r="A687" s="3"/>
      <c r="B687" s="3" t="s">
        <v>33</v>
      </c>
      <c r="C687" s="3" t="s">
        <v>614</v>
      </c>
      <c r="D687" s="3"/>
      <c r="E687" s="3"/>
      <c r="F687" s="3"/>
      <c r="G687" s="3"/>
      <c r="H687" s="3"/>
      <c r="I687" s="3"/>
      <c r="J687" s="3"/>
      <c r="K687" s="4">
        <v>-7996.42</v>
      </c>
      <c r="L687" s="3" t="s">
        <v>23</v>
      </c>
      <c r="M687" s="3"/>
      <c r="N687" s="4">
        <v>-7996.42</v>
      </c>
      <c r="O687" s="3" t="s">
        <v>23</v>
      </c>
      <c r="P687" s="3"/>
      <c r="Q687" s="3"/>
    </row>
    <row r="689" spans="1:17" x14ac:dyDescent="0.2">
      <c r="A689" s="1" t="s">
        <v>0</v>
      </c>
      <c r="F689" s="1">
        <v>501173</v>
      </c>
    </row>
    <row r="690" spans="1:17" x14ac:dyDescent="0.2">
      <c r="A690" s="1" t="s">
        <v>1</v>
      </c>
      <c r="F690" s="1" t="s">
        <v>2</v>
      </c>
    </row>
    <row r="692" spans="1:17" x14ac:dyDescent="0.2">
      <c r="A692" s="1" t="s">
        <v>3</v>
      </c>
      <c r="F692" s="1" t="s">
        <v>615</v>
      </c>
    </row>
    <row r="693" spans="1:17" x14ac:dyDescent="0.2">
      <c r="A693" s="1" t="s">
        <v>5</v>
      </c>
      <c r="F693" s="1" t="s">
        <v>616</v>
      </c>
    </row>
    <row r="696" spans="1:17" x14ac:dyDescent="0.2">
      <c r="C696" s="1" t="s">
        <v>7</v>
      </c>
      <c r="D696" s="1" t="s">
        <v>8</v>
      </c>
      <c r="E696" s="1" t="s">
        <v>9</v>
      </c>
      <c r="G696" s="1" t="s">
        <v>10</v>
      </c>
      <c r="H696" s="1" t="s">
        <v>11</v>
      </c>
      <c r="I696" s="1" t="s">
        <v>12</v>
      </c>
      <c r="J696" s="1" t="s">
        <v>13</v>
      </c>
      <c r="K696" s="1" t="s">
        <v>14</v>
      </c>
      <c r="L696" s="1" t="s">
        <v>15</v>
      </c>
      <c r="M696" s="1" t="s">
        <v>16</v>
      </c>
      <c r="N696" s="1" t="s">
        <v>17</v>
      </c>
      <c r="O696" s="1" t="s">
        <v>18</v>
      </c>
      <c r="P696" s="1" t="s">
        <v>19</v>
      </c>
      <c r="Q696" s="1" t="s">
        <v>20</v>
      </c>
    </row>
    <row r="698" spans="1:17" x14ac:dyDescent="0.2">
      <c r="D698" s="1" t="s">
        <v>444</v>
      </c>
      <c r="E698" s="1">
        <v>1400015903</v>
      </c>
      <c r="G698" s="1" t="s">
        <v>58</v>
      </c>
      <c r="I698" s="1" t="s">
        <v>58</v>
      </c>
      <c r="K698" s="2">
        <v>-23386.97</v>
      </c>
      <c r="L698" s="1" t="s">
        <v>23</v>
      </c>
      <c r="N698" s="2">
        <v>-23386.97</v>
      </c>
      <c r="O698" s="1" t="s">
        <v>23</v>
      </c>
      <c r="P698" s="1" t="s">
        <v>617</v>
      </c>
      <c r="Q698" s="1">
        <v>1</v>
      </c>
    </row>
    <row r="700" spans="1:17" x14ac:dyDescent="0.2">
      <c r="B700" s="1" t="s">
        <v>32</v>
      </c>
      <c r="K700" s="2">
        <v>-23386.97</v>
      </c>
      <c r="L700" s="1" t="s">
        <v>23</v>
      </c>
      <c r="N700" s="2">
        <v>-23386.97</v>
      </c>
      <c r="O700" s="1" t="s">
        <v>23</v>
      </c>
    </row>
    <row r="702" spans="1:17" x14ac:dyDescent="0.2">
      <c r="A702" s="3"/>
      <c r="B702" s="3" t="s">
        <v>33</v>
      </c>
      <c r="C702" s="3" t="s">
        <v>618</v>
      </c>
      <c r="D702" s="3"/>
      <c r="E702" s="3"/>
      <c r="F702" s="3"/>
      <c r="G702" s="3"/>
      <c r="H702" s="3"/>
      <c r="I702" s="3"/>
      <c r="J702" s="3"/>
      <c r="K702" s="4">
        <v>-23386.97</v>
      </c>
      <c r="L702" s="3" t="s">
        <v>23</v>
      </c>
      <c r="M702" s="3"/>
      <c r="N702" s="4">
        <v>-23386.97</v>
      </c>
      <c r="O702" s="3" t="s">
        <v>23</v>
      </c>
      <c r="P702" s="3"/>
      <c r="Q702" s="3"/>
    </row>
    <row r="704" spans="1:17" x14ac:dyDescent="0.2">
      <c r="A704" s="1" t="s">
        <v>0</v>
      </c>
      <c r="F704" s="1">
        <v>501174</v>
      </c>
    </row>
    <row r="705" spans="1:17" x14ac:dyDescent="0.2">
      <c r="A705" s="1" t="s">
        <v>1</v>
      </c>
      <c r="F705" s="1" t="s">
        <v>2</v>
      </c>
    </row>
    <row r="707" spans="1:17" x14ac:dyDescent="0.2">
      <c r="A707" s="1" t="s">
        <v>3</v>
      </c>
      <c r="F707" s="1" t="s">
        <v>619</v>
      </c>
    </row>
    <row r="708" spans="1:17" x14ac:dyDescent="0.2">
      <c r="A708" s="1" t="s">
        <v>5</v>
      </c>
    </row>
    <row r="711" spans="1:17" x14ac:dyDescent="0.2">
      <c r="C711" s="1" t="s">
        <v>7</v>
      </c>
      <c r="D711" s="1" t="s">
        <v>8</v>
      </c>
      <c r="E711" s="1" t="s">
        <v>9</v>
      </c>
      <c r="G711" s="1" t="s">
        <v>10</v>
      </c>
      <c r="H711" s="1" t="s">
        <v>11</v>
      </c>
      <c r="I711" s="1" t="s">
        <v>12</v>
      </c>
      <c r="J711" s="1" t="s">
        <v>13</v>
      </c>
      <c r="K711" s="1" t="s">
        <v>14</v>
      </c>
      <c r="L711" s="1" t="s">
        <v>15</v>
      </c>
      <c r="M711" s="1" t="s">
        <v>16</v>
      </c>
      <c r="N711" s="1" t="s">
        <v>17</v>
      </c>
      <c r="O711" s="1" t="s">
        <v>18</v>
      </c>
      <c r="P711" s="1" t="s">
        <v>19</v>
      </c>
      <c r="Q711" s="1" t="s">
        <v>20</v>
      </c>
    </row>
    <row r="713" spans="1:17" x14ac:dyDescent="0.2">
      <c r="D713" s="1" t="s">
        <v>444</v>
      </c>
      <c r="E713" s="1">
        <v>1400015797</v>
      </c>
      <c r="G713" s="1" t="s">
        <v>130</v>
      </c>
      <c r="I713" s="1" t="s">
        <v>130</v>
      </c>
      <c r="K713" s="2">
        <v>-57367.18</v>
      </c>
      <c r="L713" s="1" t="s">
        <v>23</v>
      </c>
      <c r="N713" s="2">
        <v>-57367.18</v>
      </c>
      <c r="O713" s="1" t="s">
        <v>23</v>
      </c>
      <c r="P713" s="1" t="s">
        <v>620</v>
      </c>
      <c r="Q713" s="1">
        <v>1</v>
      </c>
    </row>
    <row r="715" spans="1:17" x14ac:dyDescent="0.2">
      <c r="B715" s="1" t="s">
        <v>32</v>
      </c>
      <c r="K715" s="2">
        <v>-57367.18</v>
      </c>
      <c r="L715" s="1" t="s">
        <v>23</v>
      </c>
      <c r="N715" s="2">
        <v>-57367.18</v>
      </c>
      <c r="O715" s="1" t="s">
        <v>23</v>
      </c>
    </row>
    <row r="717" spans="1:17" x14ac:dyDescent="0.2">
      <c r="A717" s="3"/>
      <c r="B717" s="3" t="s">
        <v>33</v>
      </c>
      <c r="C717" s="3" t="s">
        <v>621</v>
      </c>
      <c r="D717" s="3"/>
      <c r="E717" s="3"/>
      <c r="F717" s="3"/>
      <c r="G717" s="3"/>
      <c r="H717" s="3"/>
      <c r="I717" s="3"/>
      <c r="J717" s="3"/>
      <c r="K717" s="4">
        <v>-57367.18</v>
      </c>
      <c r="L717" s="3" t="s">
        <v>23</v>
      </c>
      <c r="M717" s="3"/>
      <c r="N717" s="4">
        <v>-57367.18</v>
      </c>
      <c r="O717" s="3" t="s">
        <v>23</v>
      </c>
      <c r="P717" s="3"/>
      <c r="Q717" s="3"/>
    </row>
    <row r="719" spans="1:17" x14ac:dyDescent="0.2">
      <c r="A719" s="1" t="s">
        <v>0</v>
      </c>
      <c r="F719" s="1">
        <v>501176</v>
      </c>
    </row>
    <row r="720" spans="1:17" x14ac:dyDescent="0.2">
      <c r="A720" s="1" t="s">
        <v>1</v>
      </c>
      <c r="F720" s="1" t="s">
        <v>2</v>
      </c>
    </row>
    <row r="722" spans="1:17" x14ac:dyDescent="0.2">
      <c r="A722" s="1" t="s">
        <v>3</v>
      </c>
      <c r="F722" s="1" t="s">
        <v>622</v>
      </c>
    </row>
    <row r="723" spans="1:17" x14ac:dyDescent="0.2">
      <c r="A723" s="1" t="s">
        <v>5</v>
      </c>
      <c r="F723" s="1" t="s">
        <v>225</v>
      </c>
    </row>
    <row r="726" spans="1:17" x14ac:dyDescent="0.2">
      <c r="C726" s="1" t="s">
        <v>7</v>
      </c>
      <c r="D726" s="1" t="s">
        <v>8</v>
      </c>
      <c r="E726" s="1" t="s">
        <v>9</v>
      </c>
      <c r="G726" s="1" t="s">
        <v>10</v>
      </c>
      <c r="H726" s="1" t="s">
        <v>11</v>
      </c>
      <c r="I726" s="1" t="s">
        <v>12</v>
      </c>
      <c r="J726" s="1" t="s">
        <v>13</v>
      </c>
      <c r="K726" s="1" t="s">
        <v>14</v>
      </c>
      <c r="L726" s="1" t="s">
        <v>15</v>
      </c>
      <c r="M726" s="1" t="s">
        <v>16</v>
      </c>
      <c r="N726" s="1" t="s">
        <v>17</v>
      </c>
      <c r="O726" s="1" t="s">
        <v>18</v>
      </c>
      <c r="P726" s="1" t="s">
        <v>19</v>
      </c>
      <c r="Q726" s="1" t="s">
        <v>20</v>
      </c>
    </row>
    <row r="728" spans="1:17" x14ac:dyDescent="0.2">
      <c r="D728" s="1" t="s">
        <v>444</v>
      </c>
      <c r="E728" s="1">
        <v>103527498</v>
      </c>
      <c r="G728" s="1" t="s">
        <v>64</v>
      </c>
      <c r="I728" s="1" t="s">
        <v>64</v>
      </c>
      <c r="K728" s="2">
        <v>-175418.91</v>
      </c>
      <c r="L728" s="1" t="s">
        <v>23</v>
      </c>
      <c r="N728" s="2">
        <v>-175418.91</v>
      </c>
      <c r="O728" s="1" t="s">
        <v>23</v>
      </c>
      <c r="P728" s="1" t="s">
        <v>623</v>
      </c>
      <c r="Q728" s="1">
        <v>1</v>
      </c>
    </row>
    <row r="730" spans="1:17" x14ac:dyDescent="0.2">
      <c r="B730" s="1" t="s">
        <v>32</v>
      </c>
      <c r="K730" s="2">
        <v>-175418.91</v>
      </c>
      <c r="L730" s="1" t="s">
        <v>23</v>
      </c>
      <c r="N730" s="2">
        <v>-175418.91</v>
      </c>
      <c r="O730" s="1" t="s">
        <v>23</v>
      </c>
    </row>
    <row r="732" spans="1:17" x14ac:dyDescent="0.2">
      <c r="A732" s="3"/>
      <c r="B732" s="3" t="s">
        <v>33</v>
      </c>
      <c r="C732" s="3" t="s">
        <v>624</v>
      </c>
      <c r="D732" s="3"/>
      <c r="E732" s="3"/>
      <c r="F732" s="3"/>
      <c r="G732" s="3"/>
      <c r="H732" s="3"/>
      <c r="I732" s="3"/>
      <c r="J732" s="3"/>
      <c r="K732" s="4">
        <v>-175418.91</v>
      </c>
      <c r="L732" s="3" t="s">
        <v>23</v>
      </c>
      <c r="M732" s="3"/>
      <c r="N732" s="4">
        <v>-175418.91</v>
      </c>
      <c r="O732" s="3" t="s">
        <v>23</v>
      </c>
      <c r="P732" s="3"/>
      <c r="Q732" s="3"/>
    </row>
    <row r="734" spans="1:17" x14ac:dyDescent="0.2">
      <c r="A734" s="1" t="s">
        <v>0</v>
      </c>
      <c r="F734" s="1">
        <v>501178</v>
      </c>
    </row>
    <row r="735" spans="1:17" x14ac:dyDescent="0.2">
      <c r="A735" s="1" t="s">
        <v>1</v>
      </c>
      <c r="F735" s="1" t="s">
        <v>2</v>
      </c>
    </row>
    <row r="737" spans="1:17" x14ac:dyDescent="0.2">
      <c r="A737" s="1" t="s">
        <v>3</v>
      </c>
      <c r="F737" s="1" t="s">
        <v>625</v>
      </c>
    </row>
    <row r="738" spans="1:17" x14ac:dyDescent="0.2">
      <c r="A738" s="1" t="s">
        <v>5</v>
      </c>
      <c r="F738" s="1" t="s">
        <v>626</v>
      </c>
    </row>
    <row r="741" spans="1:17" x14ac:dyDescent="0.2">
      <c r="C741" s="1" t="s">
        <v>7</v>
      </c>
      <c r="D741" s="1" t="s">
        <v>8</v>
      </c>
      <c r="E741" s="1" t="s">
        <v>9</v>
      </c>
      <c r="G741" s="1" t="s">
        <v>10</v>
      </c>
      <c r="H741" s="1" t="s">
        <v>11</v>
      </c>
      <c r="I741" s="1" t="s">
        <v>12</v>
      </c>
      <c r="J741" s="1" t="s">
        <v>13</v>
      </c>
      <c r="K741" s="1" t="s">
        <v>14</v>
      </c>
      <c r="L741" s="1" t="s">
        <v>15</v>
      </c>
      <c r="M741" s="1" t="s">
        <v>16</v>
      </c>
      <c r="N741" s="1" t="s">
        <v>17</v>
      </c>
      <c r="O741" s="1" t="s">
        <v>18</v>
      </c>
      <c r="P741" s="1" t="s">
        <v>19</v>
      </c>
      <c r="Q741" s="1" t="s">
        <v>20</v>
      </c>
    </row>
    <row r="743" spans="1:17" x14ac:dyDescent="0.2">
      <c r="D743" s="1" t="s">
        <v>444</v>
      </c>
      <c r="E743" s="1">
        <v>103540061</v>
      </c>
      <c r="G743" s="1" t="s">
        <v>58</v>
      </c>
      <c r="I743" s="1" t="s">
        <v>58</v>
      </c>
      <c r="K743" s="2">
        <v>-200812.68</v>
      </c>
      <c r="L743" s="1" t="s">
        <v>23</v>
      </c>
      <c r="N743" s="2">
        <v>-49891.35</v>
      </c>
      <c r="O743" s="1" t="s">
        <v>24</v>
      </c>
      <c r="P743" s="1" t="s">
        <v>627</v>
      </c>
      <c r="Q743" s="1">
        <v>4.0250000000000004</v>
      </c>
    </row>
    <row r="745" spans="1:17" x14ac:dyDescent="0.2">
      <c r="B745" s="1" t="s">
        <v>32</v>
      </c>
      <c r="K745" s="2">
        <v>-200812.68</v>
      </c>
      <c r="L745" s="1" t="s">
        <v>23</v>
      </c>
      <c r="N745" s="2">
        <v>-49891.35</v>
      </c>
      <c r="O745" s="1" t="s">
        <v>24</v>
      </c>
    </row>
    <row r="747" spans="1:17" x14ac:dyDescent="0.2">
      <c r="A747" s="3"/>
      <c r="B747" s="3" t="s">
        <v>33</v>
      </c>
      <c r="C747" s="3" t="s">
        <v>628</v>
      </c>
      <c r="D747" s="3"/>
      <c r="E747" s="3"/>
      <c r="F747" s="3"/>
      <c r="G747" s="3"/>
      <c r="H747" s="3"/>
      <c r="I747" s="3"/>
      <c r="J747" s="3"/>
      <c r="K747" s="4">
        <v>-200812.68</v>
      </c>
      <c r="L747" s="3" t="s">
        <v>23</v>
      </c>
      <c r="M747" s="3"/>
      <c r="N747" s="4">
        <v>-49891.35</v>
      </c>
      <c r="O747" s="3" t="s">
        <v>24</v>
      </c>
      <c r="P747" s="3"/>
      <c r="Q747" s="3"/>
    </row>
    <row r="749" spans="1:17" x14ac:dyDescent="0.2">
      <c r="A749" s="1" t="s">
        <v>0</v>
      </c>
      <c r="F749" s="1">
        <v>501179</v>
      </c>
    </row>
    <row r="750" spans="1:17" x14ac:dyDescent="0.2">
      <c r="A750" s="1" t="s">
        <v>1</v>
      </c>
      <c r="F750" s="1" t="s">
        <v>2</v>
      </c>
    </row>
    <row r="752" spans="1:17" x14ac:dyDescent="0.2">
      <c r="A752" s="1" t="s">
        <v>3</v>
      </c>
      <c r="F752" s="1" t="s">
        <v>625</v>
      </c>
    </row>
    <row r="753" spans="1:17" x14ac:dyDescent="0.2">
      <c r="A753" s="1" t="s">
        <v>5</v>
      </c>
      <c r="F753" s="1" t="s">
        <v>514</v>
      </c>
    </row>
    <row r="756" spans="1:17" x14ac:dyDescent="0.2">
      <c r="C756" s="1" t="s">
        <v>7</v>
      </c>
      <c r="D756" s="1" t="s">
        <v>8</v>
      </c>
      <c r="E756" s="1" t="s">
        <v>9</v>
      </c>
      <c r="G756" s="1" t="s">
        <v>10</v>
      </c>
      <c r="H756" s="1" t="s">
        <v>11</v>
      </c>
      <c r="I756" s="1" t="s">
        <v>12</v>
      </c>
      <c r="J756" s="1" t="s">
        <v>13</v>
      </c>
      <c r="K756" s="1" t="s">
        <v>14</v>
      </c>
      <c r="L756" s="1" t="s">
        <v>15</v>
      </c>
      <c r="M756" s="1" t="s">
        <v>16</v>
      </c>
      <c r="N756" s="1" t="s">
        <v>17</v>
      </c>
      <c r="O756" s="1" t="s">
        <v>18</v>
      </c>
      <c r="P756" s="1" t="s">
        <v>19</v>
      </c>
      <c r="Q756" s="1" t="s">
        <v>20</v>
      </c>
    </row>
    <row r="758" spans="1:17" x14ac:dyDescent="0.2">
      <c r="D758" s="1" t="s">
        <v>444</v>
      </c>
      <c r="E758" s="1">
        <v>103540061</v>
      </c>
      <c r="G758" s="1" t="s">
        <v>58</v>
      </c>
      <c r="I758" s="1" t="s">
        <v>58</v>
      </c>
      <c r="K758" s="2">
        <v>-120741.79</v>
      </c>
      <c r="L758" s="1" t="s">
        <v>23</v>
      </c>
      <c r="N758" s="2">
        <v>-29997.96</v>
      </c>
      <c r="O758" s="1" t="s">
        <v>24</v>
      </c>
      <c r="P758" s="1" t="s">
        <v>629</v>
      </c>
      <c r="Q758" s="1">
        <v>4.0250000000000004</v>
      </c>
    </row>
    <row r="760" spans="1:17" x14ac:dyDescent="0.2">
      <c r="B760" s="1" t="s">
        <v>32</v>
      </c>
      <c r="K760" s="2">
        <v>-120741.79</v>
      </c>
      <c r="L760" s="1" t="s">
        <v>23</v>
      </c>
      <c r="N760" s="2">
        <v>-29997.96</v>
      </c>
      <c r="O760" s="1" t="s">
        <v>24</v>
      </c>
    </row>
    <row r="762" spans="1:17" x14ac:dyDescent="0.2">
      <c r="A762" s="3"/>
      <c r="B762" s="3" t="s">
        <v>33</v>
      </c>
      <c r="C762" s="3" t="s">
        <v>630</v>
      </c>
      <c r="D762" s="3"/>
      <c r="E762" s="3"/>
      <c r="F762" s="3"/>
      <c r="G762" s="3"/>
      <c r="H762" s="3"/>
      <c r="I762" s="3"/>
      <c r="J762" s="3"/>
      <c r="K762" s="4">
        <v>-120741.79</v>
      </c>
      <c r="L762" s="3" t="s">
        <v>23</v>
      </c>
      <c r="M762" s="3"/>
      <c r="N762" s="4">
        <v>-29997.96</v>
      </c>
      <c r="O762" s="3" t="s">
        <v>24</v>
      </c>
      <c r="P762" s="3"/>
      <c r="Q762" s="3"/>
    </row>
    <row r="764" spans="1:17" x14ac:dyDescent="0.2">
      <c r="A764" s="1" t="s">
        <v>0</v>
      </c>
      <c r="F764" s="1">
        <v>501180</v>
      </c>
    </row>
    <row r="765" spans="1:17" x14ac:dyDescent="0.2">
      <c r="A765" s="1" t="s">
        <v>1</v>
      </c>
      <c r="F765" s="1" t="s">
        <v>2</v>
      </c>
    </row>
    <row r="767" spans="1:17" x14ac:dyDescent="0.2">
      <c r="A767" s="1" t="s">
        <v>3</v>
      </c>
      <c r="F767" s="1" t="s">
        <v>631</v>
      </c>
    </row>
    <row r="768" spans="1:17" x14ac:dyDescent="0.2">
      <c r="A768" s="1" t="s">
        <v>5</v>
      </c>
      <c r="F768" s="1" t="s">
        <v>225</v>
      </c>
    </row>
    <row r="771" spans="1:17" x14ac:dyDescent="0.2">
      <c r="C771" s="1" t="s">
        <v>7</v>
      </c>
      <c r="D771" s="1" t="s">
        <v>8</v>
      </c>
      <c r="E771" s="1" t="s">
        <v>9</v>
      </c>
      <c r="G771" s="1" t="s">
        <v>10</v>
      </c>
      <c r="H771" s="1" t="s">
        <v>11</v>
      </c>
      <c r="I771" s="1" t="s">
        <v>12</v>
      </c>
      <c r="J771" s="1" t="s">
        <v>13</v>
      </c>
      <c r="K771" s="1" t="s">
        <v>14</v>
      </c>
      <c r="L771" s="1" t="s">
        <v>15</v>
      </c>
      <c r="M771" s="1" t="s">
        <v>16</v>
      </c>
      <c r="N771" s="1" t="s">
        <v>17</v>
      </c>
      <c r="O771" s="1" t="s">
        <v>18</v>
      </c>
      <c r="P771" s="1" t="s">
        <v>19</v>
      </c>
      <c r="Q771" s="1" t="s">
        <v>20</v>
      </c>
    </row>
    <row r="773" spans="1:17" x14ac:dyDescent="0.2">
      <c r="D773" s="1" t="s">
        <v>444</v>
      </c>
      <c r="E773" s="1">
        <v>1400015802</v>
      </c>
      <c r="G773" s="1" t="s">
        <v>64</v>
      </c>
      <c r="I773" s="1" t="s">
        <v>64</v>
      </c>
      <c r="K773" s="2">
        <v>-80722.179999999993</v>
      </c>
      <c r="L773" s="1" t="s">
        <v>23</v>
      </c>
      <c r="N773" s="2">
        <v>-80722.179999999993</v>
      </c>
      <c r="O773" s="1" t="s">
        <v>23</v>
      </c>
      <c r="P773" s="1" t="s">
        <v>632</v>
      </c>
      <c r="Q773" s="1">
        <v>1</v>
      </c>
    </row>
    <row r="775" spans="1:17" x14ac:dyDescent="0.2">
      <c r="B775" s="1" t="s">
        <v>32</v>
      </c>
      <c r="K775" s="2">
        <v>-80722.179999999993</v>
      </c>
      <c r="L775" s="1" t="s">
        <v>23</v>
      </c>
      <c r="N775" s="2">
        <v>-80722.179999999993</v>
      </c>
      <c r="O775" s="1" t="s">
        <v>23</v>
      </c>
    </row>
    <row r="777" spans="1:17" x14ac:dyDescent="0.2">
      <c r="A777" s="3"/>
      <c r="B777" s="3" t="s">
        <v>33</v>
      </c>
      <c r="C777" s="3" t="s">
        <v>633</v>
      </c>
      <c r="D777" s="3"/>
      <c r="E777" s="3"/>
      <c r="F777" s="3"/>
      <c r="G777" s="3"/>
      <c r="H777" s="3"/>
      <c r="I777" s="3"/>
      <c r="J777" s="3"/>
      <c r="K777" s="4">
        <v>-80722.179999999993</v>
      </c>
      <c r="L777" s="3" t="s">
        <v>23</v>
      </c>
      <c r="M777" s="3"/>
      <c r="N777" s="4">
        <v>-80722.179999999993</v>
      </c>
      <c r="O777" s="3" t="s">
        <v>23</v>
      </c>
      <c r="P777" s="3"/>
      <c r="Q777" s="3"/>
    </row>
    <row r="779" spans="1:17" x14ac:dyDescent="0.2">
      <c r="A779" s="1" t="s">
        <v>0</v>
      </c>
      <c r="F779" s="1">
        <v>501181</v>
      </c>
    </row>
    <row r="780" spans="1:17" x14ac:dyDescent="0.2">
      <c r="A780" s="1" t="s">
        <v>1</v>
      </c>
      <c r="F780" s="1" t="s">
        <v>2</v>
      </c>
    </row>
    <row r="782" spans="1:17" x14ac:dyDescent="0.2">
      <c r="A782" s="1" t="s">
        <v>3</v>
      </c>
      <c r="F782" s="1" t="s">
        <v>201</v>
      </c>
    </row>
    <row r="783" spans="1:17" x14ac:dyDescent="0.2">
      <c r="A783" s="1" t="s">
        <v>5</v>
      </c>
      <c r="F783" s="1" t="s">
        <v>151</v>
      </c>
    </row>
    <row r="786" spans="1:17" x14ac:dyDescent="0.2">
      <c r="C786" s="1" t="s">
        <v>7</v>
      </c>
      <c r="D786" s="1" t="s">
        <v>8</v>
      </c>
      <c r="E786" s="1" t="s">
        <v>9</v>
      </c>
      <c r="G786" s="1" t="s">
        <v>10</v>
      </c>
      <c r="H786" s="1" t="s">
        <v>11</v>
      </c>
      <c r="I786" s="1" t="s">
        <v>12</v>
      </c>
      <c r="J786" s="1" t="s">
        <v>13</v>
      </c>
      <c r="K786" s="1" t="s">
        <v>14</v>
      </c>
      <c r="L786" s="1" t="s">
        <v>15</v>
      </c>
      <c r="M786" s="1" t="s">
        <v>16</v>
      </c>
      <c r="N786" s="1" t="s">
        <v>17</v>
      </c>
      <c r="O786" s="1" t="s">
        <v>18</v>
      </c>
      <c r="P786" s="1" t="s">
        <v>19</v>
      </c>
      <c r="Q786" s="1" t="s">
        <v>20</v>
      </c>
    </row>
    <row r="788" spans="1:17" x14ac:dyDescent="0.2">
      <c r="D788" s="1" t="s">
        <v>444</v>
      </c>
      <c r="E788" s="1">
        <v>1400015759</v>
      </c>
      <c r="G788" s="1" t="s">
        <v>26</v>
      </c>
      <c r="I788" s="1" t="s">
        <v>26</v>
      </c>
      <c r="K788" s="2">
        <v>-1029279.2</v>
      </c>
      <c r="L788" s="1" t="s">
        <v>23</v>
      </c>
      <c r="N788" s="2">
        <v>-1029279.2</v>
      </c>
      <c r="O788" s="1" t="s">
        <v>23</v>
      </c>
      <c r="P788" s="1" t="s">
        <v>634</v>
      </c>
      <c r="Q788" s="1">
        <v>1</v>
      </c>
    </row>
    <row r="789" spans="1:17" x14ac:dyDescent="0.2">
      <c r="D789" s="1" t="s">
        <v>444</v>
      </c>
      <c r="E789" s="1">
        <v>1400015759</v>
      </c>
      <c r="G789" s="1" t="s">
        <v>26</v>
      </c>
      <c r="I789" s="1" t="s">
        <v>26</v>
      </c>
      <c r="K789" s="2">
        <v>-992439.44</v>
      </c>
      <c r="L789" s="1" t="s">
        <v>23</v>
      </c>
      <c r="N789" s="2">
        <v>-992439.44</v>
      </c>
      <c r="O789" s="1" t="s">
        <v>23</v>
      </c>
      <c r="P789" s="1" t="s">
        <v>635</v>
      </c>
      <c r="Q789" s="1">
        <v>1</v>
      </c>
    </row>
    <row r="790" spans="1:17" x14ac:dyDescent="0.2">
      <c r="D790" s="1" t="s">
        <v>444</v>
      </c>
      <c r="E790" s="1">
        <v>1400015841</v>
      </c>
      <c r="G790" s="1" t="s">
        <v>67</v>
      </c>
      <c r="I790" s="1" t="s">
        <v>67</v>
      </c>
      <c r="K790" s="2">
        <v>-74183.8</v>
      </c>
      <c r="L790" s="1" t="s">
        <v>23</v>
      </c>
      <c r="N790" s="2">
        <v>-74183.8</v>
      </c>
      <c r="O790" s="1" t="s">
        <v>23</v>
      </c>
      <c r="P790" s="1" t="s">
        <v>636</v>
      </c>
      <c r="Q790" s="1">
        <v>1</v>
      </c>
    </row>
    <row r="791" spans="1:17" x14ac:dyDescent="0.2">
      <c r="D791" s="1" t="s">
        <v>444</v>
      </c>
      <c r="E791" s="1">
        <v>1400015841</v>
      </c>
      <c r="G791" s="1" t="s">
        <v>67</v>
      </c>
      <c r="I791" s="1" t="s">
        <v>67</v>
      </c>
      <c r="K791" s="2">
        <v>-499633.22</v>
      </c>
      <c r="L791" s="1" t="s">
        <v>23</v>
      </c>
      <c r="N791" s="2">
        <v>-499633.22</v>
      </c>
      <c r="O791" s="1" t="s">
        <v>23</v>
      </c>
      <c r="P791" s="1" t="s">
        <v>637</v>
      </c>
      <c r="Q791" s="1">
        <v>1</v>
      </c>
    </row>
    <row r="792" spans="1:17" x14ac:dyDescent="0.2">
      <c r="D792" s="1" t="s">
        <v>444</v>
      </c>
      <c r="E792" s="1">
        <v>1400015841</v>
      </c>
      <c r="G792" s="1" t="s">
        <v>67</v>
      </c>
      <c r="I792" s="1" t="s">
        <v>67</v>
      </c>
      <c r="K792" s="2">
        <v>-381944.26</v>
      </c>
      <c r="L792" s="1" t="s">
        <v>23</v>
      </c>
      <c r="N792" s="2">
        <v>-381944.26</v>
      </c>
      <c r="O792" s="1" t="s">
        <v>23</v>
      </c>
      <c r="P792" s="1" t="s">
        <v>635</v>
      </c>
      <c r="Q792" s="1">
        <v>1</v>
      </c>
    </row>
    <row r="793" spans="1:17" x14ac:dyDescent="0.2">
      <c r="D793" s="1" t="s">
        <v>444</v>
      </c>
      <c r="E793" s="1">
        <v>1400015862</v>
      </c>
      <c r="G793" s="1" t="s">
        <v>30</v>
      </c>
      <c r="I793" s="1" t="s">
        <v>30</v>
      </c>
      <c r="K793" s="2">
        <v>-21236.65</v>
      </c>
      <c r="L793" s="1" t="s">
        <v>23</v>
      </c>
      <c r="N793" s="2">
        <v>-21236.65</v>
      </c>
      <c r="O793" s="1" t="s">
        <v>23</v>
      </c>
      <c r="P793" s="1" t="s">
        <v>638</v>
      </c>
      <c r="Q793" s="1">
        <v>1</v>
      </c>
    </row>
    <row r="794" spans="1:17" x14ac:dyDescent="0.2">
      <c r="D794" s="1" t="s">
        <v>444</v>
      </c>
      <c r="E794" s="1">
        <v>1400015862</v>
      </c>
      <c r="G794" s="1" t="s">
        <v>30</v>
      </c>
      <c r="I794" s="1" t="s">
        <v>30</v>
      </c>
      <c r="K794" s="2">
        <v>-896471.98</v>
      </c>
      <c r="L794" s="1" t="s">
        <v>23</v>
      </c>
      <c r="N794" s="2">
        <v>-896471.98</v>
      </c>
      <c r="O794" s="1" t="s">
        <v>23</v>
      </c>
      <c r="P794" s="1" t="s">
        <v>637</v>
      </c>
      <c r="Q794" s="1">
        <v>1</v>
      </c>
    </row>
    <row r="796" spans="1:17" x14ac:dyDescent="0.2">
      <c r="B796" s="1" t="s">
        <v>32</v>
      </c>
      <c r="K796" s="2">
        <v>-3895188.55</v>
      </c>
      <c r="L796" s="1" t="s">
        <v>23</v>
      </c>
      <c r="N796" s="2">
        <v>-3895188.55</v>
      </c>
      <c r="O796" s="1" t="s">
        <v>23</v>
      </c>
    </row>
    <row r="798" spans="1:17" x14ac:dyDescent="0.2">
      <c r="A798" s="3"/>
      <c r="B798" s="3" t="s">
        <v>33</v>
      </c>
      <c r="C798" s="3" t="s">
        <v>216</v>
      </c>
      <c r="D798" s="3"/>
      <c r="E798" s="3"/>
      <c r="F798" s="3"/>
      <c r="G798" s="3"/>
      <c r="H798" s="3"/>
      <c r="I798" s="3"/>
      <c r="J798" s="3"/>
      <c r="K798" s="4">
        <v>-3895188.55</v>
      </c>
      <c r="L798" s="3" t="s">
        <v>23</v>
      </c>
      <c r="M798" s="3"/>
      <c r="N798" s="4">
        <v>-3895188.55</v>
      </c>
      <c r="O798" s="3" t="s">
        <v>23</v>
      </c>
      <c r="P798" s="3"/>
      <c r="Q798" s="3"/>
    </row>
    <row r="800" spans="1:17" x14ac:dyDescent="0.2">
      <c r="A800" s="1" t="s">
        <v>0</v>
      </c>
      <c r="F800" s="1">
        <v>501182</v>
      </c>
    </row>
    <row r="801" spans="1:17" x14ac:dyDescent="0.2">
      <c r="A801" s="1" t="s">
        <v>1</v>
      </c>
      <c r="F801" s="1" t="s">
        <v>2</v>
      </c>
    </row>
    <row r="803" spans="1:17" x14ac:dyDescent="0.2">
      <c r="A803" s="1" t="s">
        <v>3</v>
      </c>
      <c r="F803" s="1" t="s">
        <v>217</v>
      </c>
    </row>
    <row r="804" spans="1:17" x14ac:dyDescent="0.2">
      <c r="A804" s="1" t="s">
        <v>5</v>
      </c>
      <c r="F804" s="1" t="s">
        <v>514</v>
      </c>
    </row>
    <row r="807" spans="1:17" x14ac:dyDescent="0.2">
      <c r="C807" s="1" t="s">
        <v>7</v>
      </c>
      <c r="D807" s="1" t="s">
        <v>8</v>
      </c>
      <c r="E807" s="1" t="s">
        <v>9</v>
      </c>
      <c r="G807" s="1" t="s">
        <v>10</v>
      </c>
      <c r="H807" s="1" t="s">
        <v>11</v>
      </c>
      <c r="I807" s="1" t="s">
        <v>12</v>
      </c>
      <c r="J807" s="1" t="s">
        <v>13</v>
      </c>
      <c r="K807" s="1" t="s">
        <v>14</v>
      </c>
      <c r="L807" s="1" t="s">
        <v>15</v>
      </c>
      <c r="M807" s="1" t="s">
        <v>16</v>
      </c>
      <c r="N807" s="1" t="s">
        <v>17</v>
      </c>
      <c r="O807" s="1" t="s">
        <v>18</v>
      </c>
      <c r="P807" s="1" t="s">
        <v>19</v>
      </c>
      <c r="Q807" s="1" t="s">
        <v>20</v>
      </c>
    </row>
    <row r="809" spans="1:17" x14ac:dyDescent="0.2">
      <c r="D809" s="1" t="s">
        <v>444</v>
      </c>
      <c r="E809" s="1">
        <v>1400015902</v>
      </c>
      <c r="G809" s="1" t="s">
        <v>30</v>
      </c>
      <c r="I809" s="1" t="s">
        <v>30</v>
      </c>
      <c r="K809" s="2">
        <v>-60281.9</v>
      </c>
      <c r="L809" s="1" t="s">
        <v>23</v>
      </c>
      <c r="N809" s="2">
        <v>-60281.9</v>
      </c>
      <c r="O809" s="1" t="s">
        <v>23</v>
      </c>
      <c r="P809" s="1" t="s">
        <v>639</v>
      </c>
      <c r="Q809" s="1">
        <v>1</v>
      </c>
    </row>
    <row r="811" spans="1:17" x14ac:dyDescent="0.2">
      <c r="B811" s="1" t="s">
        <v>32</v>
      </c>
      <c r="K811" s="2">
        <v>-60281.9</v>
      </c>
      <c r="L811" s="1" t="s">
        <v>23</v>
      </c>
      <c r="N811" s="2">
        <v>-60281.9</v>
      </c>
      <c r="O811" s="1" t="s">
        <v>23</v>
      </c>
    </row>
    <row r="813" spans="1:17" x14ac:dyDescent="0.2">
      <c r="A813" s="3"/>
      <c r="B813" s="3" t="s">
        <v>33</v>
      </c>
      <c r="C813" s="3" t="s">
        <v>640</v>
      </c>
      <c r="D813" s="3"/>
      <c r="E813" s="3"/>
      <c r="F813" s="3"/>
      <c r="G813" s="3"/>
      <c r="H813" s="3"/>
      <c r="I813" s="3"/>
      <c r="J813" s="3"/>
      <c r="K813" s="4">
        <v>-60281.9</v>
      </c>
      <c r="L813" s="3" t="s">
        <v>23</v>
      </c>
      <c r="M813" s="3"/>
      <c r="N813" s="4">
        <v>-60281.9</v>
      </c>
      <c r="O813" s="3" t="s">
        <v>23</v>
      </c>
      <c r="P813" s="3"/>
      <c r="Q813" s="3"/>
    </row>
    <row r="815" spans="1:17" x14ac:dyDescent="0.2">
      <c r="A815" s="1" t="s">
        <v>0</v>
      </c>
      <c r="F815" s="1">
        <v>501185</v>
      </c>
    </row>
    <row r="816" spans="1:17" x14ac:dyDescent="0.2">
      <c r="A816" s="1" t="s">
        <v>1</v>
      </c>
      <c r="F816" s="1" t="s">
        <v>2</v>
      </c>
    </row>
    <row r="818" spans="1:17" x14ac:dyDescent="0.2">
      <c r="A818" s="1" t="s">
        <v>3</v>
      </c>
      <c r="F818" s="1" t="s">
        <v>220</v>
      </c>
    </row>
    <row r="819" spans="1:17" x14ac:dyDescent="0.2">
      <c r="A819" s="1" t="s">
        <v>5</v>
      </c>
      <c r="F819" s="1" t="s">
        <v>514</v>
      </c>
    </row>
    <row r="822" spans="1:17" x14ac:dyDescent="0.2">
      <c r="C822" s="1" t="s">
        <v>7</v>
      </c>
      <c r="D822" s="1" t="s">
        <v>8</v>
      </c>
      <c r="E822" s="1" t="s">
        <v>9</v>
      </c>
      <c r="G822" s="1" t="s">
        <v>10</v>
      </c>
      <c r="H822" s="1" t="s">
        <v>11</v>
      </c>
      <c r="I822" s="1" t="s">
        <v>12</v>
      </c>
      <c r="J822" s="1" t="s">
        <v>13</v>
      </c>
      <c r="K822" s="1" t="s">
        <v>14</v>
      </c>
      <c r="L822" s="1" t="s">
        <v>15</v>
      </c>
      <c r="M822" s="1" t="s">
        <v>16</v>
      </c>
      <c r="N822" s="1" t="s">
        <v>17</v>
      </c>
      <c r="O822" s="1" t="s">
        <v>18</v>
      </c>
      <c r="P822" s="1" t="s">
        <v>19</v>
      </c>
      <c r="Q822" s="1" t="s">
        <v>20</v>
      </c>
    </row>
    <row r="824" spans="1:17" x14ac:dyDescent="0.2">
      <c r="D824" s="1" t="s">
        <v>444</v>
      </c>
      <c r="E824" s="1">
        <v>1400015795</v>
      </c>
      <c r="G824" s="1" t="s">
        <v>39</v>
      </c>
      <c r="I824" s="1" t="s">
        <v>39</v>
      </c>
      <c r="K824" s="2">
        <v>-13139.88</v>
      </c>
      <c r="L824" s="1" t="s">
        <v>23</v>
      </c>
      <c r="N824" s="2">
        <v>-13139.88</v>
      </c>
      <c r="O824" s="1" t="s">
        <v>23</v>
      </c>
      <c r="P824" s="1" t="s">
        <v>641</v>
      </c>
      <c r="Q824" s="1">
        <v>1</v>
      </c>
    </row>
    <row r="826" spans="1:17" x14ac:dyDescent="0.2">
      <c r="B826" s="1" t="s">
        <v>32</v>
      </c>
      <c r="K826" s="2">
        <v>-13139.88</v>
      </c>
      <c r="L826" s="1" t="s">
        <v>23</v>
      </c>
      <c r="N826" s="2">
        <v>-13139.88</v>
      </c>
      <c r="O826" s="1" t="s">
        <v>23</v>
      </c>
    </row>
    <row r="828" spans="1:17" x14ac:dyDescent="0.2">
      <c r="A828" s="3"/>
      <c r="B828" s="3" t="s">
        <v>33</v>
      </c>
      <c r="C828" s="3" t="s">
        <v>642</v>
      </c>
      <c r="D828" s="3"/>
      <c r="E828" s="3"/>
      <c r="F828" s="3"/>
      <c r="G828" s="3"/>
      <c r="H828" s="3"/>
      <c r="I828" s="3"/>
      <c r="J828" s="3"/>
      <c r="K828" s="4">
        <v>-13139.88</v>
      </c>
      <c r="L828" s="3" t="s">
        <v>23</v>
      </c>
      <c r="M828" s="3"/>
      <c r="N828" s="4">
        <v>-13139.88</v>
      </c>
      <c r="O828" s="3" t="s">
        <v>23</v>
      </c>
      <c r="P828" s="3"/>
      <c r="Q828" s="3"/>
    </row>
    <row r="830" spans="1:17" x14ac:dyDescent="0.2">
      <c r="A830" s="1" t="s">
        <v>0</v>
      </c>
      <c r="F830" s="1">
        <v>501186</v>
      </c>
    </row>
    <row r="831" spans="1:17" x14ac:dyDescent="0.2">
      <c r="A831" s="1" t="s">
        <v>1</v>
      </c>
      <c r="F831" s="1" t="s">
        <v>2</v>
      </c>
    </row>
    <row r="833" spans="1:17" x14ac:dyDescent="0.2">
      <c r="A833" s="1" t="s">
        <v>3</v>
      </c>
      <c r="F833" s="1" t="s">
        <v>622</v>
      </c>
    </row>
    <row r="834" spans="1:17" x14ac:dyDescent="0.2">
      <c r="A834" s="1" t="s">
        <v>5</v>
      </c>
      <c r="F834" s="1" t="s">
        <v>485</v>
      </c>
    </row>
    <row r="837" spans="1:17" x14ac:dyDescent="0.2">
      <c r="C837" s="1" t="s">
        <v>7</v>
      </c>
      <c r="D837" s="1" t="s">
        <v>8</v>
      </c>
      <c r="E837" s="1" t="s">
        <v>9</v>
      </c>
      <c r="G837" s="1" t="s">
        <v>10</v>
      </c>
      <c r="H837" s="1" t="s">
        <v>11</v>
      </c>
      <c r="I837" s="1" t="s">
        <v>12</v>
      </c>
      <c r="J837" s="1" t="s">
        <v>13</v>
      </c>
      <c r="K837" s="1" t="s">
        <v>14</v>
      </c>
      <c r="L837" s="1" t="s">
        <v>15</v>
      </c>
      <c r="M837" s="1" t="s">
        <v>16</v>
      </c>
      <c r="N837" s="1" t="s">
        <v>17</v>
      </c>
      <c r="O837" s="1" t="s">
        <v>18</v>
      </c>
      <c r="P837" s="1" t="s">
        <v>19</v>
      </c>
      <c r="Q837" s="1" t="s">
        <v>20</v>
      </c>
    </row>
    <row r="839" spans="1:17" x14ac:dyDescent="0.2">
      <c r="D839" s="1" t="s">
        <v>444</v>
      </c>
      <c r="E839" s="1">
        <v>103527498</v>
      </c>
      <c r="G839" s="1" t="s">
        <v>64</v>
      </c>
      <c r="I839" s="1" t="s">
        <v>64</v>
      </c>
      <c r="K839" s="2">
        <v>-175418.91</v>
      </c>
      <c r="L839" s="1" t="s">
        <v>23</v>
      </c>
      <c r="N839" s="2">
        <v>-175418.91</v>
      </c>
      <c r="O839" s="1" t="s">
        <v>23</v>
      </c>
      <c r="P839" s="1" t="s">
        <v>643</v>
      </c>
      <c r="Q839" s="1">
        <v>1</v>
      </c>
    </row>
    <row r="841" spans="1:17" x14ac:dyDescent="0.2">
      <c r="B841" s="1" t="s">
        <v>32</v>
      </c>
      <c r="K841" s="2">
        <v>-175418.91</v>
      </c>
      <c r="L841" s="1" t="s">
        <v>23</v>
      </c>
      <c r="N841" s="2">
        <v>-175418.91</v>
      </c>
      <c r="O841" s="1" t="s">
        <v>23</v>
      </c>
    </row>
    <row r="843" spans="1:17" x14ac:dyDescent="0.2">
      <c r="A843" s="3"/>
      <c r="B843" s="3" t="s">
        <v>33</v>
      </c>
      <c r="C843" s="3" t="s">
        <v>644</v>
      </c>
      <c r="D843" s="3"/>
      <c r="E843" s="3"/>
      <c r="F843" s="3"/>
      <c r="G843" s="3"/>
      <c r="H843" s="3"/>
      <c r="I843" s="3"/>
      <c r="J843" s="3"/>
      <c r="K843" s="4">
        <v>-175418.91</v>
      </c>
      <c r="L843" s="3" t="s">
        <v>23</v>
      </c>
      <c r="M843" s="3"/>
      <c r="N843" s="4">
        <v>-175418.91</v>
      </c>
      <c r="O843" s="3" t="s">
        <v>23</v>
      </c>
      <c r="P843" s="3"/>
      <c r="Q843" s="3"/>
    </row>
    <row r="845" spans="1:17" x14ac:dyDescent="0.2">
      <c r="A845" s="1" t="s">
        <v>0</v>
      </c>
      <c r="F845" s="1">
        <v>501187</v>
      </c>
    </row>
    <row r="846" spans="1:17" x14ac:dyDescent="0.2">
      <c r="A846" s="1" t="s">
        <v>1</v>
      </c>
      <c r="F846" s="1" t="s">
        <v>2</v>
      </c>
    </row>
    <row r="848" spans="1:17" x14ac:dyDescent="0.2">
      <c r="A848" s="1" t="s">
        <v>3</v>
      </c>
      <c r="F848" s="1" t="s">
        <v>622</v>
      </c>
    </row>
    <row r="849" spans="1:17" x14ac:dyDescent="0.2">
      <c r="A849" s="1" t="s">
        <v>5</v>
      </c>
      <c r="F849" s="1" t="s">
        <v>475</v>
      </c>
    </row>
    <row r="852" spans="1:17" x14ac:dyDescent="0.2">
      <c r="C852" s="1" t="s">
        <v>7</v>
      </c>
      <c r="D852" s="1" t="s">
        <v>8</v>
      </c>
      <c r="E852" s="1" t="s">
        <v>9</v>
      </c>
      <c r="G852" s="1" t="s">
        <v>10</v>
      </c>
      <c r="H852" s="1" t="s">
        <v>11</v>
      </c>
      <c r="I852" s="1" t="s">
        <v>12</v>
      </c>
      <c r="J852" s="1" t="s">
        <v>13</v>
      </c>
      <c r="K852" s="1" t="s">
        <v>14</v>
      </c>
      <c r="L852" s="1" t="s">
        <v>15</v>
      </c>
      <c r="M852" s="1" t="s">
        <v>16</v>
      </c>
      <c r="N852" s="1" t="s">
        <v>17</v>
      </c>
      <c r="O852" s="1" t="s">
        <v>18</v>
      </c>
      <c r="P852" s="1" t="s">
        <v>19</v>
      </c>
      <c r="Q852" s="1" t="s">
        <v>20</v>
      </c>
    </row>
    <row r="854" spans="1:17" x14ac:dyDescent="0.2">
      <c r="D854" s="1" t="s">
        <v>444</v>
      </c>
      <c r="E854" s="1">
        <v>103527498</v>
      </c>
      <c r="G854" s="1" t="s">
        <v>64</v>
      </c>
      <c r="I854" s="1" t="s">
        <v>64</v>
      </c>
      <c r="K854" s="2">
        <v>-175418.91</v>
      </c>
      <c r="L854" s="1" t="s">
        <v>23</v>
      </c>
      <c r="N854" s="2">
        <v>-175418.91</v>
      </c>
      <c r="O854" s="1" t="s">
        <v>23</v>
      </c>
      <c r="P854" s="1" t="s">
        <v>645</v>
      </c>
      <c r="Q854" s="1">
        <v>1</v>
      </c>
    </row>
    <row r="856" spans="1:17" x14ac:dyDescent="0.2">
      <c r="B856" s="1" t="s">
        <v>32</v>
      </c>
      <c r="K856" s="2">
        <v>-175418.91</v>
      </c>
      <c r="L856" s="1" t="s">
        <v>23</v>
      </c>
      <c r="N856" s="2">
        <v>-175418.91</v>
      </c>
      <c r="O856" s="1" t="s">
        <v>23</v>
      </c>
    </row>
    <row r="858" spans="1:17" x14ac:dyDescent="0.2">
      <c r="A858" s="3"/>
      <c r="B858" s="3" t="s">
        <v>33</v>
      </c>
      <c r="C858" s="3" t="s">
        <v>646</v>
      </c>
      <c r="D858" s="3"/>
      <c r="E858" s="3"/>
      <c r="F858" s="3"/>
      <c r="G858" s="3"/>
      <c r="H858" s="3"/>
      <c r="I858" s="3"/>
      <c r="J858" s="3"/>
      <c r="K858" s="4">
        <v>-175418.91</v>
      </c>
      <c r="L858" s="3" t="s">
        <v>23</v>
      </c>
      <c r="M858" s="3"/>
      <c r="N858" s="4">
        <v>-175418.91</v>
      </c>
      <c r="O858" s="3" t="s">
        <v>23</v>
      </c>
      <c r="P858" s="3"/>
      <c r="Q858" s="3"/>
    </row>
    <row r="860" spans="1:17" x14ac:dyDescent="0.2">
      <c r="A860" s="1" t="s">
        <v>0</v>
      </c>
      <c r="F860" s="1">
        <v>501188</v>
      </c>
    </row>
    <row r="861" spans="1:17" x14ac:dyDescent="0.2">
      <c r="A861" s="1" t="s">
        <v>1</v>
      </c>
      <c r="F861" s="1" t="s">
        <v>2</v>
      </c>
    </row>
    <row r="863" spans="1:17" x14ac:dyDescent="0.2">
      <c r="A863" s="1" t="s">
        <v>3</v>
      </c>
      <c r="F863" s="1" t="s">
        <v>647</v>
      </c>
    </row>
    <row r="864" spans="1:17" x14ac:dyDescent="0.2">
      <c r="A864" s="1" t="s">
        <v>5</v>
      </c>
      <c r="F864" s="1" t="s">
        <v>648</v>
      </c>
    </row>
    <row r="867" spans="1:17" x14ac:dyDescent="0.2">
      <c r="C867" s="1" t="s">
        <v>7</v>
      </c>
      <c r="D867" s="1" t="s">
        <v>8</v>
      </c>
      <c r="E867" s="1" t="s">
        <v>9</v>
      </c>
      <c r="G867" s="1" t="s">
        <v>10</v>
      </c>
      <c r="H867" s="1" t="s">
        <v>11</v>
      </c>
      <c r="I867" s="1" t="s">
        <v>12</v>
      </c>
      <c r="J867" s="1" t="s">
        <v>13</v>
      </c>
      <c r="K867" s="1" t="s">
        <v>14</v>
      </c>
      <c r="L867" s="1" t="s">
        <v>15</v>
      </c>
      <c r="M867" s="1" t="s">
        <v>16</v>
      </c>
      <c r="N867" s="1" t="s">
        <v>17</v>
      </c>
      <c r="O867" s="1" t="s">
        <v>18</v>
      </c>
      <c r="P867" s="1" t="s">
        <v>19</v>
      </c>
      <c r="Q867" s="1" t="s">
        <v>20</v>
      </c>
    </row>
    <row r="869" spans="1:17" x14ac:dyDescent="0.2">
      <c r="D869" s="1" t="s">
        <v>444</v>
      </c>
      <c r="E869" s="1">
        <v>1400015905</v>
      </c>
      <c r="G869" s="1" t="s">
        <v>58</v>
      </c>
      <c r="I869" s="1" t="s">
        <v>58</v>
      </c>
      <c r="K869" s="2">
        <v>-56449.4</v>
      </c>
      <c r="L869" s="1" t="s">
        <v>23</v>
      </c>
      <c r="N869" s="2">
        <v>-56449.4</v>
      </c>
      <c r="O869" s="1" t="s">
        <v>23</v>
      </c>
      <c r="P869" s="1" t="s">
        <v>649</v>
      </c>
      <c r="Q869" s="1">
        <v>1</v>
      </c>
    </row>
    <row r="871" spans="1:17" x14ac:dyDescent="0.2">
      <c r="B871" s="1" t="s">
        <v>32</v>
      </c>
      <c r="K871" s="2">
        <v>-56449.4</v>
      </c>
      <c r="L871" s="1" t="s">
        <v>23</v>
      </c>
      <c r="N871" s="2">
        <v>-56449.4</v>
      </c>
      <c r="O871" s="1" t="s">
        <v>23</v>
      </c>
    </row>
    <row r="873" spans="1:17" x14ac:dyDescent="0.2">
      <c r="A873" s="3"/>
      <c r="B873" s="3" t="s">
        <v>33</v>
      </c>
      <c r="C873" s="3" t="s">
        <v>650</v>
      </c>
      <c r="D873" s="3"/>
      <c r="E873" s="3"/>
      <c r="F873" s="3"/>
      <c r="G873" s="3"/>
      <c r="H873" s="3"/>
      <c r="I873" s="3"/>
      <c r="J873" s="3"/>
      <c r="K873" s="4">
        <v>-56449.4</v>
      </c>
      <c r="L873" s="3" t="s">
        <v>23</v>
      </c>
      <c r="M873" s="3"/>
      <c r="N873" s="4">
        <v>-56449.4</v>
      </c>
      <c r="O873" s="3" t="s">
        <v>23</v>
      </c>
      <c r="P873" s="3"/>
      <c r="Q873" s="3"/>
    </row>
    <row r="875" spans="1:17" x14ac:dyDescent="0.2">
      <c r="A875" s="1" t="s">
        <v>0</v>
      </c>
      <c r="F875" s="1">
        <v>501190</v>
      </c>
    </row>
    <row r="876" spans="1:17" x14ac:dyDescent="0.2">
      <c r="A876" s="1" t="s">
        <v>1</v>
      </c>
      <c r="F876" s="1" t="s">
        <v>2</v>
      </c>
    </row>
    <row r="878" spans="1:17" x14ac:dyDescent="0.2">
      <c r="A878" s="1" t="s">
        <v>3</v>
      </c>
      <c r="F878" s="1" t="s">
        <v>651</v>
      </c>
    </row>
    <row r="879" spans="1:17" x14ac:dyDescent="0.2">
      <c r="A879" s="1" t="s">
        <v>5</v>
      </c>
      <c r="F879" s="1" t="s">
        <v>652</v>
      </c>
    </row>
    <row r="882" spans="1:17" x14ac:dyDescent="0.2">
      <c r="C882" s="1" t="s">
        <v>7</v>
      </c>
      <c r="D882" s="1" t="s">
        <v>8</v>
      </c>
      <c r="E882" s="1" t="s">
        <v>9</v>
      </c>
      <c r="G882" s="1" t="s">
        <v>10</v>
      </c>
      <c r="H882" s="1" t="s">
        <v>11</v>
      </c>
      <c r="I882" s="1" t="s">
        <v>12</v>
      </c>
      <c r="J882" s="1" t="s">
        <v>13</v>
      </c>
      <c r="K882" s="1" t="s">
        <v>14</v>
      </c>
      <c r="L882" s="1" t="s">
        <v>15</v>
      </c>
      <c r="M882" s="1" t="s">
        <v>16</v>
      </c>
      <c r="N882" s="1" t="s">
        <v>17</v>
      </c>
      <c r="O882" s="1" t="s">
        <v>18</v>
      </c>
      <c r="P882" s="1" t="s">
        <v>19</v>
      </c>
      <c r="Q882" s="1" t="s">
        <v>20</v>
      </c>
    </row>
    <row r="884" spans="1:17" x14ac:dyDescent="0.2">
      <c r="D884" s="1" t="s">
        <v>444</v>
      </c>
      <c r="E884" s="1">
        <v>1400015782</v>
      </c>
      <c r="G884" s="1" t="s">
        <v>42</v>
      </c>
      <c r="I884" s="1" t="s">
        <v>42</v>
      </c>
      <c r="K884" s="2">
        <v>-336915.93</v>
      </c>
      <c r="L884" s="1" t="s">
        <v>23</v>
      </c>
      <c r="N884" s="2">
        <v>-82436</v>
      </c>
      <c r="O884" s="1" t="s">
        <v>24</v>
      </c>
      <c r="P884" s="1" t="s">
        <v>653</v>
      </c>
      <c r="Q884" s="1">
        <v>4.0869999999999997</v>
      </c>
    </row>
    <row r="886" spans="1:17" x14ac:dyDescent="0.2">
      <c r="B886" s="1" t="s">
        <v>32</v>
      </c>
      <c r="K886" s="2">
        <v>-336915.93</v>
      </c>
      <c r="L886" s="1" t="s">
        <v>23</v>
      </c>
      <c r="N886" s="2">
        <v>-82436</v>
      </c>
      <c r="O886" s="1" t="s">
        <v>24</v>
      </c>
    </row>
    <row r="888" spans="1:17" x14ac:dyDescent="0.2">
      <c r="A888" s="3"/>
      <c r="B888" s="3" t="s">
        <v>33</v>
      </c>
      <c r="C888" s="3" t="s">
        <v>654</v>
      </c>
      <c r="D888" s="3"/>
      <c r="E888" s="3"/>
      <c r="F888" s="3"/>
      <c r="G888" s="3"/>
      <c r="H888" s="3"/>
      <c r="I888" s="3"/>
      <c r="J888" s="3"/>
      <c r="K888" s="4">
        <v>-336915.93</v>
      </c>
      <c r="L888" s="3" t="s">
        <v>23</v>
      </c>
      <c r="M888" s="3"/>
      <c r="N888" s="4">
        <v>-82436</v>
      </c>
      <c r="O888" s="3" t="s">
        <v>24</v>
      </c>
      <c r="P888" s="3"/>
      <c r="Q888" s="3"/>
    </row>
    <row r="890" spans="1:17" x14ac:dyDescent="0.2">
      <c r="A890" s="1" t="s">
        <v>0</v>
      </c>
      <c r="F890" s="1">
        <v>501191</v>
      </c>
    </row>
    <row r="891" spans="1:17" x14ac:dyDescent="0.2">
      <c r="A891" s="1" t="s">
        <v>1</v>
      </c>
      <c r="F891" s="1" t="s">
        <v>2</v>
      </c>
    </row>
    <row r="893" spans="1:17" x14ac:dyDescent="0.2">
      <c r="A893" s="1" t="s">
        <v>3</v>
      </c>
      <c r="F893" s="1" t="s">
        <v>224</v>
      </c>
    </row>
    <row r="894" spans="1:17" x14ac:dyDescent="0.2">
      <c r="A894" s="1" t="s">
        <v>5</v>
      </c>
      <c r="F894" s="1" t="s">
        <v>225</v>
      </c>
    </row>
    <row r="897" spans="1:17" x14ac:dyDescent="0.2">
      <c r="C897" s="1" t="s">
        <v>7</v>
      </c>
      <c r="D897" s="1" t="s">
        <v>8</v>
      </c>
      <c r="E897" s="1" t="s">
        <v>9</v>
      </c>
      <c r="G897" s="1" t="s">
        <v>10</v>
      </c>
      <c r="H897" s="1" t="s">
        <v>11</v>
      </c>
      <c r="I897" s="1" t="s">
        <v>12</v>
      </c>
      <c r="J897" s="1" t="s">
        <v>13</v>
      </c>
      <c r="K897" s="1" t="s">
        <v>14</v>
      </c>
      <c r="L897" s="1" t="s">
        <v>15</v>
      </c>
      <c r="M897" s="1" t="s">
        <v>16</v>
      </c>
      <c r="N897" s="1" t="s">
        <v>17</v>
      </c>
      <c r="O897" s="1" t="s">
        <v>18</v>
      </c>
      <c r="P897" s="1" t="s">
        <v>19</v>
      </c>
      <c r="Q897" s="1" t="s">
        <v>20</v>
      </c>
    </row>
    <row r="899" spans="1:17" x14ac:dyDescent="0.2">
      <c r="D899" s="1" t="s">
        <v>444</v>
      </c>
      <c r="E899" s="1">
        <v>1400015853</v>
      </c>
      <c r="G899" s="1" t="s">
        <v>58</v>
      </c>
      <c r="I899" s="1" t="s">
        <v>58</v>
      </c>
      <c r="K899" s="2">
        <v>-112013.36</v>
      </c>
      <c r="L899" s="1" t="s">
        <v>23</v>
      </c>
      <c r="N899" s="2">
        <v>-112013.36</v>
      </c>
      <c r="O899" s="1" t="s">
        <v>23</v>
      </c>
      <c r="P899" s="1" t="s">
        <v>655</v>
      </c>
      <c r="Q899" s="1">
        <v>1</v>
      </c>
    </row>
    <row r="901" spans="1:17" x14ac:dyDescent="0.2">
      <c r="B901" s="1" t="s">
        <v>32</v>
      </c>
      <c r="K901" s="2">
        <v>-112013.36</v>
      </c>
      <c r="L901" s="1" t="s">
        <v>23</v>
      </c>
      <c r="N901" s="2">
        <v>-112013.36</v>
      </c>
      <c r="O901" s="1" t="s">
        <v>23</v>
      </c>
    </row>
    <row r="903" spans="1:17" x14ac:dyDescent="0.2">
      <c r="A903" s="3"/>
      <c r="B903" s="3" t="s">
        <v>33</v>
      </c>
      <c r="C903" s="3" t="s">
        <v>227</v>
      </c>
      <c r="D903" s="3"/>
      <c r="E903" s="3"/>
      <c r="F903" s="3"/>
      <c r="G903" s="3"/>
      <c r="H903" s="3"/>
      <c r="I903" s="3"/>
      <c r="J903" s="3"/>
      <c r="K903" s="4">
        <v>-112013.36</v>
      </c>
      <c r="L903" s="3" t="s">
        <v>23</v>
      </c>
      <c r="M903" s="3"/>
      <c r="N903" s="4">
        <v>-112013.36</v>
      </c>
      <c r="O903" s="3" t="s">
        <v>23</v>
      </c>
      <c r="P903" s="3"/>
      <c r="Q903" s="3"/>
    </row>
    <row r="905" spans="1:17" x14ac:dyDescent="0.2">
      <c r="A905" s="1" t="s">
        <v>0</v>
      </c>
      <c r="F905" s="1">
        <v>501192</v>
      </c>
    </row>
    <row r="906" spans="1:17" x14ac:dyDescent="0.2">
      <c r="A906" s="1" t="s">
        <v>1</v>
      </c>
      <c r="F906" s="1" t="s">
        <v>2</v>
      </c>
    </row>
    <row r="908" spans="1:17" x14ac:dyDescent="0.2">
      <c r="A908" s="1" t="s">
        <v>3</v>
      </c>
      <c r="F908" s="1" t="s">
        <v>224</v>
      </c>
    </row>
    <row r="909" spans="1:17" x14ac:dyDescent="0.2">
      <c r="A909" s="1" t="s">
        <v>5</v>
      </c>
      <c r="F909" s="1" t="s">
        <v>485</v>
      </c>
    </row>
    <row r="912" spans="1:17" x14ac:dyDescent="0.2">
      <c r="C912" s="1" t="s">
        <v>7</v>
      </c>
      <c r="D912" s="1" t="s">
        <v>8</v>
      </c>
      <c r="E912" s="1" t="s">
        <v>9</v>
      </c>
      <c r="G912" s="1" t="s">
        <v>10</v>
      </c>
      <c r="H912" s="1" t="s">
        <v>11</v>
      </c>
      <c r="I912" s="1" t="s">
        <v>12</v>
      </c>
      <c r="J912" s="1" t="s">
        <v>13</v>
      </c>
      <c r="K912" s="1" t="s">
        <v>14</v>
      </c>
      <c r="L912" s="1" t="s">
        <v>15</v>
      </c>
      <c r="M912" s="1" t="s">
        <v>16</v>
      </c>
      <c r="N912" s="1" t="s">
        <v>17</v>
      </c>
      <c r="O912" s="1" t="s">
        <v>18</v>
      </c>
      <c r="P912" s="1" t="s">
        <v>19</v>
      </c>
      <c r="Q912" s="1" t="s">
        <v>20</v>
      </c>
    </row>
    <row r="914" spans="1:17" x14ac:dyDescent="0.2">
      <c r="D914" s="1" t="s">
        <v>444</v>
      </c>
      <c r="E914" s="1">
        <v>1400015853</v>
      </c>
      <c r="G914" s="1" t="s">
        <v>58</v>
      </c>
      <c r="I914" s="1" t="s">
        <v>58</v>
      </c>
      <c r="K914" s="2">
        <v>-168145.1</v>
      </c>
      <c r="L914" s="1" t="s">
        <v>23</v>
      </c>
      <c r="N914" s="2">
        <v>-168145.1</v>
      </c>
      <c r="O914" s="1" t="s">
        <v>23</v>
      </c>
      <c r="P914" s="1" t="s">
        <v>656</v>
      </c>
      <c r="Q914" s="1">
        <v>1</v>
      </c>
    </row>
    <row r="916" spans="1:17" x14ac:dyDescent="0.2">
      <c r="B916" s="1" t="s">
        <v>32</v>
      </c>
      <c r="K916" s="2">
        <v>-168145.1</v>
      </c>
      <c r="L916" s="1" t="s">
        <v>23</v>
      </c>
      <c r="N916" s="2">
        <v>-168145.1</v>
      </c>
      <c r="O916" s="1" t="s">
        <v>23</v>
      </c>
    </row>
    <row r="918" spans="1:17" x14ac:dyDescent="0.2">
      <c r="A918" s="3"/>
      <c r="B918" s="3" t="s">
        <v>33</v>
      </c>
      <c r="C918" s="3" t="s">
        <v>657</v>
      </c>
      <c r="D918" s="3"/>
      <c r="E918" s="3"/>
      <c r="F918" s="3"/>
      <c r="G918" s="3"/>
      <c r="H918" s="3"/>
      <c r="I918" s="3"/>
      <c r="J918" s="3"/>
      <c r="K918" s="4">
        <v>-168145.1</v>
      </c>
      <c r="L918" s="3" t="s">
        <v>23</v>
      </c>
      <c r="M918" s="3"/>
      <c r="N918" s="4">
        <v>-168145.1</v>
      </c>
      <c r="O918" s="3" t="s">
        <v>23</v>
      </c>
      <c r="P918" s="3"/>
      <c r="Q918" s="3"/>
    </row>
    <row r="920" spans="1:17" x14ac:dyDescent="0.2">
      <c r="A920" s="1" t="s">
        <v>0</v>
      </c>
      <c r="F920" s="1">
        <v>501194</v>
      </c>
    </row>
    <row r="921" spans="1:17" x14ac:dyDescent="0.2">
      <c r="A921" s="1" t="s">
        <v>1</v>
      </c>
      <c r="F921" s="1" t="s">
        <v>2</v>
      </c>
    </row>
    <row r="923" spans="1:17" x14ac:dyDescent="0.2">
      <c r="A923" s="1" t="s">
        <v>3</v>
      </c>
      <c r="F923" s="1" t="s">
        <v>658</v>
      </c>
    </row>
    <row r="924" spans="1:17" x14ac:dyDescent="0.2">
      <c r="A924" s="1" t="s">
        <v>5</v>
      </c>
      <c r="F924" s="1" t="s">
        <v>55</v>
      </c>
    </row>
    <row r="927" spans="1:17" x14ac:dyDescent="0.2">
      <c r="C927" s="1" t="s">
        <v>7</v>
      </c>
      <c r="D927" s="1" t="s">
        <v>8</v>
      </c>
      <c r="E927" s="1" t="s">
        <v>9</v>
      </c>
      <c r="G927" s="1" t="s">
        <v>10</v>
      </c>
      <c r="H927" s="1" t="s">
        <v>11</v>
      </c>
      <c r="I927" s="1" t="s">
        <v>12</v>
      </c>
      <c r="J927" s="1" t="s">
        <v>13</v>
      </c>
      <c r="K927" s="1" t="s">
        <v>14</v>
      </c>
      <c r="L927" s="1" t="s">
        <v>15</v>
      </c>
      <c r="M927" s="1" t="s">
        <v>16</v>
      </c>
      <c r="N927" s="1" t="s">
        <v>17</v>
      </c>
      <c r="O927" s="1" t="s">
        <v>18</v>
      </c>
      <c r="P927" s="1" t="s">
        <v>19</v>
      </c>
      <c r="Q927" s="1" t="s">
        <v>20</v>
      </c>
    </row>
    <row r="929" spans="1:17" x14ac:dyDescent="0.2">
      <c r="D929" s="1" t="s">
        <v>444</v>
      </c>
      <c r="E929" s="1">
        <v>1400015874</v>
      </c>
      <c r="G929" s="1" t="s">
        <v>86</v>
      </c>
      <c r="I929" s="1" t="s">
        <v>86</v>
      </c>
      <c r="K929" s="2">
        <v>-45512.65</v>
      </c>
      <c r="L929" s="1" t="s">
        <v>23</v>
      </c>
      <c r="N929" s="2">
        <v>-45512.65</v>
      </c>
      <c r="O929" s="1" t="s">
        <v>23</v>
      </c>
      <c r="P929" s="1" t="s">
        <v>659</v>
      </c>
      <c r="Q929" s="1">
        <v>1</v>
      </c>
    </row>
    <row r="930" spans="1:17" x14ac:dyDescent="0.2">
      <c r="D930" s="1" t="s">
        <v>444</v>
      </c>
      <c r="E930" s="1">
        <v>1400015874</v>
      </c>
      <c r="G930" s="1" t="s">
        <v>86</v>
      </c>
      <c r="I930" s="1" t="s">
        <v>86</v>
      </c>
      <c r="K930" s="2">
        <v>-442075.43</v>
      </c>
      <c r="L930" s="1" t="s">
        <v>23</v>
      </c>
      <c r="N930" s="2">
        <v>-442075.43</v>
      </c>
      <c r="O930" s="1" t="s">
        <v>23</v>
      </c>
      <c r="P930" s="1" t="s">
        <v>660</v>
      </c>
      <c r="Q930" s="1">
        <v>1</v>
      </c>
    </row>
    <row r="931" spans="1:17" x14ac:dyDescent="0.2">
      <c r="D931" s="1" t="s">
        <v>444</v>
      </c>
      <c r="E931" s="1">
        <v>1400015889</v>
      </c>
      <c r="G931" s="1" t="s">
        <v>28</v>
      </c>
      <c r="I931" s="1" t="s">
        <v>28</v>
      </c>
      <c r="K931" s="2">
        <v>-4470.83</v>
      </c>
      <c r="L931" s="1" t="s">
        <v>23</v>
      </c>
      <c r="N931" s="2">
        <v>-4470.83</v>
      </c>
      <c r="O931" s="1" t="s">
        <v>23</v>
      </c>
      <c r="P931" s="1" t="s">
        <v>661</v>
      </c>
      <c r="Q931" s="1">
        <v>1</v>
      </c>
    </row>
    <row r="932" spans="1:17" x14ac:dyDescent="0.2">
      <c r="D932" s="1" t="s">
        <v>444</v>
      </c>
      <c r="E932" s="1">
        <v>1400015889</v>
      </c>
      <c r="G932" s="1" t="s">
        <v>28</v>
      </c>
      <c r="I932" s="1" t="s">
        <v>28</v>
      </c>
      <c r="K932" s="2">
        <v>-452264.35</v>
      </c>
      <c r="L932" s="1" t="s">
        <v>23</v>
      </c>
      <c r="N932" s="2">
        <v>-452264.35</v>
      </c>
      <c r="O932" s="1" t="s">
        <v>23</v>
      </c>
      <c r="P932" s="1" t="s">
        <v>659</v>
      </c>
      <c r="Q932" s="1">
        <v>1</v>
      </c>
    </row>
    <row r="934" spans="1:17" x14ac:dyDescent="0.2">
      <c r="B934" s="1" t="s">
        <v>32</v>
      </c>
      <c r="K934" s="2">
        <v>-944323.26</v>
      </c>
      <c r="L934" s="1" t="s">
        <v>23</v>
      </c>
      <c r="N934" s="2">
        <v>-944323.26</v>
      </c>
      <c r="O934" s="1" t="s">
        <v>23</v>
      </c>
    </row>
    <row r="936" spans="1:17" x14ac:dyDescent="0.2">
      <c r="A936" s="3"/>
      <c r="B936" s="3" t="s">
        <v>33</v>
      </c>
      <c r="C936" s="3" t="s">
        <v>662</v>
      </c>
      <c r="D936" s="3"/>
      <c r="E936" s="3"/>
      <c r="F936" s="3"/>
      <c r="G936" s="3"/>
      <c r="H936" s="3"/>
      <c r="I936" s="3"/>
      <c r="J936" s="3"/>
      <c r="K936" s="4">
        <v>-944323.26</v>
      </c>
      <c r="L936" s="3" t="s">
        <v>23</v>
      </c>
      <c r="M936" s="3"/>
      <c r="N936" s="4">
        <v>-944323.26</v>
      </c>
      <c r="O936" s="3" t="s">
        <v>23</v>
      </c>
      <c r="P936" s="3"/>
      <c r="Q936" s="3"/>
    </row>
    <row r="938" spans="1:17" x14ac:dyDescent="0.2">
      <c r="A938" s="1" t="s">
        <v>0</v>
      </c>
      <c r="F938" s="1">
        <v>501195</v>
      </c>
    </row>
    <row r="939" spans="1:17" x14ac:dyDescent="0.2">
      <c r="A939" s="1" t="s">
        <v>1</v>
      </c>
      <c r="F939" s="1" t="s">
        <v>2</v>
      </c>
    </row>
    <row r="941" spans="1:17" x14ac:dyDescent="0.2">
      <c r="A941" s="1" t="s">
        <v>3</v>
      </c>
      <c r="F941" s="1" t="s">
        <v>150</v>
      </c>
    </row>
    <row r="942" spans="1:17" x14ac:dyDescent="0.2">
      <c r="A942" s="1" t="s">
        <v>5</v>
      </c>
      <c r="F942" s="1" t="s">
        <v>228</v>
      </c>
    </row>
    <row r="945" spans="1:17" x14ac:dyDescent="0.2">
      <c r="C945" s="1" t="s">
        <v>7</v>
      </c>
      <c r="D945" s="1" t="s">
        <v>8</v>
      </c>
      <c r="E945" s="1" t="s">
        <v>9</v>
      </c>
      <c r="G945" s="1" t="s">
        <v>10</v>
      </c>
      <c r="H945" s="1" t="s">
        <v>11</v>
      </c>
      <c r="I945" s="1" t="s">
        <v>12</v>
      </c>
      <c r="J945" s="1" t="s">
        <v>13</v>
      </c>
      <c r="K945" s="1" t="s">
        <v>14</v>
      </c>
      <c r="L945" s="1" t="s">
        <v>15</v>
      </c>
      <c r="M945" s="1" t="s">
        <v>16</v>
      </c>
      <c r="N945" s="1" t="s">
        <v>17</v>
      </c>
      <c r="O945" s="1" t="s">
        <v>18</v>
      </c>
      <c r="P945" s="1" t="s">
        <v>19</v>
      </c>
      <c r="Q945" s="1" t="s">
        <v>20</v>
      </c>
    </row>
    <row r="947" spans="1:17" x14ac:dyDescent="0.2">
      <c r="D947" s="1" t="s">
        <v>444</v>
      </c>
      <c r="E947" s="1">
        <v>1400015756</v>
      </c>
      <c r="G947" s="1" t="s">
        <v>26</v>
      </c>
      <c r="I947" s="1" t="s">
        <v>26</v>
      </c>
      <c r="K947" s="2">
        <v>-237825</v>
      </c>
      <c r="L947" s="1" t="s">
        <v>23</v>
      </c>
      <c r="N947" s="2">
        <v>-237825</v>
      </c>
      <c r="O947" s="1" t="s">
        <v>23</v>
      </c>
      <c r="P947" s="1" t="s">
        <v>663</v>
      </c>
      <c r="Q947" s="1">
        <v>1</v>
      </c>
    </row>
    <row r="949" spans="1:17" x14ac:dyDescent="0.2">
      <c r="B949" s="1" t="s">
        <v>32</v>
      </c>
      <c r="K949" s="2">
        <v>-237825</v>
      </c>
      <c r="L949" s="1" t="s">
        <v>23</v>
      </c>
      <c r="N949" s="2">
        <v>-237825</v>
      </c>
      <c r="O949" s="1" t="s">
        <v>23</v>
      </c>
    </row>
    <row r="951" spans="1:17" x14ac:dyDescent="0.2">
      <c r="A951" s="3"/>
      <c r="B951" s="3" t="s">
        <v>33</v>
      </c>
      <c r="C951" s="3" t="s">
        <v>232</v>
      </c>
      <c r="D951" s="3"/>
      <c r="E951" s="3"/>
      <c r="F951" s="3"/>
      <c r="G951" s="3"/>
      <c r="H951" s="3"/>
      <c r="I951" s="3"/>
      <c r="J951" s="3"/>
      <c r="K951" s="4">
        <v>-237825</v>
      </c>
      <c r="L951" s="3" t="s">
        <v>23</v>
      </c>
      <c r="M951" s="3"/>
      <c r="N951" s="4">
        <v>-237825</v>
      </c>
      <c r="O951" s="3" t="s">
        <v>23</v>
      </c>
      <c r="P951" s="3"/>
      <c r="Q951" s="3"/>
    </row>
    <row r="953" spans="1:17" x14ac:dyDescent="0.2">
      <c r="A953" s="1" t="s">
        <v>0</v>
      </c>
      <c r="F953" s="1">
        <v>501198</v>
      </c>
    </row>
    <row r="954" spans="1:17" x14ac:dyDescent="0.2">
      <c r="A954" s="1" t="s">
        <v>1</v>
      </c>
      <c r="F954" s="1" t="s">
        <v>2</v>
      </c>
    </row>
    <row r="956" spans="1:17" x14ac:dyDescent="0.2">
      <c r="A956" s="1" t="s">
        <v>3</v>
      </c>
      <c r="F956" s="1" t="s">
        <v>664</v>
      </c>
    </row>
    <row r="957" spans="1:17" x14ac:dyDescent="0.2">
      <c r="A957" s="1" t="s">
        <v>5</v>
      </c>
      <c r="F957" s="1" t="s">
        <v>514</v>
      </c>
    </row>
    <row r="960" spans="1:17" x14ac:dyDescent="0.2">
      <c r="C960" s="1" t="s">
        <v>7</v>
      </c>
      <c r="D960" s="1" t="s">
        <v>8</v>
      </c>
      <c r="E960" s="1" t="s">
        <v>9</v>
      </c>
      <c r="G960" s="1" t="s">
        <v>10</v>
      </c>
      <c r="H960" s="1" t="s">
        <v>11</v>
      </c>
      <c r="I960" s="1" t="s">
        <v>12</v>
      </c>
      <c r="J960" s="1" t="s">
        <v>13</v>
      </c>
      <c r="K960" s="1" t="s">
        <v>14</v>
      </c>
      <c r="L960" s="1" t="s">
        <v>15</v>
      </c>
      <c r="M960" s="1" t="s">
        <v>16</v>
      </c>
      <c r="N960" s="1" t="s">
        <v>17</v>
      </c>
      <c r="O960" s="1" t="s">
        <v>18</v>
      </c>
      <c r="P960" s="1" t="s">
        <v>19</v>
      </c>
      <c r="Q960" s="1" t="s">
        <v>20</v>
      </c>
    </row>
    <row r="962" spans="1:17" x14ac:dyDescent="0.2">
      <c r="D962" s="1" t="s">
        <v>444</v>
      </c>
      <c r="E962" s="1">
        <v>1400015924</v>
      </c>
      <c r="G962" s="1" t="s">
        <v>665</v>
      </c>
      <c r="I962" s="1" t="s">
        <v>665</v>
      </c>
      <c r="K962" s="2">
        <v>-32972.18</v>
      </c>
      <c r="L962" s="1" t="s">
        <v>23</v>
      </c>
      <c r="N962" s="2">
        <v>-32972.18</v>
      </c>
      <c r="O962" s="1" t="s">
        <v>23</v>
      </c>
      <c r="P962" s="1" t="s">
        <v>666</v>
      </c>
      <c r="Q962" s="1">
        <v>1</v>
      </c>
    </row>
    <row r="964" spans="1:17" x14ac:dyDescent="0.2">
      <c r="B964" s="1" t="s">
        <v>32</v>
      </c>
      <c r="K964" s="2">
        <v>-32972.18</v>
      </c>
      <c r="L964" s="1" t="s">
        <v>23</v>
      </c>
      <c r="N964" s="2">
        <v>-32972.18</v>
      </c>
      <c r="O964" s="1" t="s">
        <v>23</v>
      </c>
    </row>
    <row r="966" spans="1:17" x14ac:dyDescent="0.2">
      <c r="A966" s="3"/>
      <c r="B966" s="3" t="s">
        <v>33</v>
      </c>
      <c r="C966" s="3" t="s">
        <v>667</v>
      </c>
      <c r="D966" s="3"/>
      <c r="E966" s="3"/>
      <c r="F966" s="3"/>
      <c r="G966" s="3"/>
      <c r="H966" s="3"/>
      <c r="I966" s="3"/>
      <c r="J966" s="3"/>
      <c r="K966" s="4">
        <v>-32972.18</v>
      </c>
      <c r="L966" s="3" t="s">
        <v>23</v>
      </c>
      <c r="M966" s="3"/>
      <c r="N966" s="4">
        <v>-32972.18</v>
      </c>
      <c r="O966" s="3" t="s">
        <v>23</v>
      </c>
      <c r="P966" s="3"/>
      <c r="Q966" s="3"/>
    </row>
    <row r="968" spans="1:17" x14ac:dyDescent="0.2">
      <c r="A968" s="1" t="s">
        <v>0</v>
      </c>
      <c r="F968" s="1">
        <v>501201</v>
      </c>
    </row>
    <row r="969" spans="1:17" x14ac:dyDescent="0.2">
      <c r="A969" s="1" t="s">
        <v>1</v>
      </c>
      <c r="F969" s="1" t="s">
        <v>2</v>
      </c>
    </row>
    <row r="971" spans="1:17" x14ac:dyDescent="0.2">
      <c r="A971" s="1" t="s">
        <v>3</v>
      </c>
      <c r="F971" s="1" t="s">
        <v>233</v>
      </c>
    </row>
    <row r="972" spans="1:17" x14ac:dyDescent="0.2">
      <c r="A972" s="1" t="s">
        <v>5</v>
      </c>
      <c r="F972" s="1" t="s">
        <v>228</v>
      </c>
    </row>
    <row r="975" spans="1:17" x14ac:dyDescent="0.2">
      <c r="C975" s="1" t="s">
        <v>7</v>
      </c>
      <c r="D975" s="1" t="s">
        <v>8</v>
      </c>
      <c r="E975" s="1" t="s">
        <v>9</v>
      </c>
      <c r="G975" s="1" t="s">
        <v>10</v>
      </c>
      <c r="H975" s="1" t="s">
        <v>11</v>
      </c>
      <c r="I975" s="1" t="s">
        <v>12</v>
      </c>
      <c r="J975" s="1" t="s">
        <v>13</v>
      </c>
      <c r="K975" s="1" t="s">
        <v>14</v>
      </c>
      <c r="L975" s="1" t="s">
        <v>15</v>
      </c>
      <c r="M975" s="1" t="s">
        <v>16</v>
      </c>
      <c r="N975" s="1" t="s">
        <v>17</v>
      </c>
      <c r="O975" s="1" t="s">
        <v>18</v>
      </c>
      <c r="P975" s="1" t="s">
        <v>19</v>
      </c>
      <c r="Q975" s="1" t="s">
        <v>20</v>
      </c>
    </row>
    <row r="977" spans="4:17" x14ac:dyDescent="0.2">
      <c r="D977" s="1" t="s">
        <v>444</v>
      </c>
      <c r="E977" s="1">
        <v>1400015751</v>
      </c>
      <c r="G977" s="1" t="s">
        <v>22</v>
      </c>
      <c r="I977" s="1" t="s">
        <v>22</v>
      </c>
      <c r="K977" s="2">
        <v>-591446.05000000005</v>
      </c>
      <c r="L977" s="1" t="s">
        <v>23</v>
      </c>
      <c r="N977" s="2">
        <v>-591446.05000000005</v>
      </c>
      <c r="O977" s="1" t="s">
        <v>23</v>
      </c>
      <c r="P977" s="1" t="s">
        <v>668</v>
      </c>
      <c r="Q977" s="1">
        <v>1</v>
      </c>
    </row>
    <row r="978" spans="4:17" x14ac:dyDescent="0.2">
      <c r="D978" s="1" t="s">
        <v>444</v>
      </c>
      <c r="E978" s="1">
        <v>1400015751</v>
      </c>
      <c r="G978" s="1" t="s">
        <v>22</v>
      </c>
      <c r="I978" s="1" t="s">
        <v>22</v>
      </c>
      <c r="K978" s="2">
        <v>-78891.899999999994</v>
      </c>
      <c r="L978" s="1" t="s">
        <v>23</v>
      </c>
      <c r="N978" s="2">
        <v>-78891.899999999994</v>
      </c>
      <c r="O978" s="1" t="s">
        <v>23</v>
      </c>
      <c r="P978" s="1" t="s">
        <v>669</v>
      </c>
      <c r="Q978" s="1">
        <v>1</v>
      </c>
    </row>
    <row r="979" spans="4:17" x14ac:dyDescent="0.2">
      <c r="D979" s="1" t="s">
        <v>444</v>
      </c>
      <c r="E979" s="1">
        <v>1400015757</v>
      </c>
      <c r="G979" s="1" t="s">
        <v>26</v>
      </c>
      <c r="I979" s="1" t="s">
        <v>26</v>
      </c>
      <c r="K979" s="2">
        <v>-80000</v>
      </c>
      <c r="L979" s="1" t="s">
        <v>23</v>
      </c>
      <c r="N979" s="2">
        <v>-80000</v>
      </c>
      <c r="O979" s="1" t="s">
        <v>23</v>
      </c>
      <c r="P979" s="1" t="s">
        <v>668</v>
      </c>
      <c r="Q979" s="1">
        <v>1</v>
      </c>
    </row>
    <row r="980" spans="4:17" x14ac:dyDescent="0.2">
      <c r="D980" s="1" t="s">
        <v>444</v>
      </c>
      <c r="E980" s="1">
        <v>1400015814</v>
      </c>
      <c r="G980" s="1" t="s">
        <v>42</v>
      </c>
      <c r="I980" s="1" t="s">
        <v>42</v>
      </c>
      <c r="K980" s="2">
        <v>-55303.95</v>
      </c>
      <c r="L980" s="1" t="s">
        <v>23</v>
      </c>
      <c r="N980" s="2">
        <v>-55303.95</v>
      </c>
      <c r="O980" s="1" t="s">
        <v>23</v>
      </c>
      <c r="P980" s="1" t="s">
        <v>668</v>
      </c>
      <c r="Q980" s="1">
        <v>1</v>
      </c>
    </row>
    <row r="981" spans="4:17" x14ac:dyDescent="0.2">
      <c r="D981" s="1" t="s">
        <v>444</v>
      </c>
      <c r="E981" s="1">
        <v>1400015828</v>
      </c>
      <c r="G981" s="1" t="s">
        <v>46</v>
      </c>
      <c r="I981" s="1" t="s">
        <v>46</v>
      </c>
      <c r="K981" s="2">
        <v>-868700</v>
      </c>
      <c r="L981" s="1" t="s">
        <v>23</v>
      </c>
      <c r="N981" s="2">
        <v>-868700</v>
      </c>
      <c r="O981" s="1" t="s">
        <v>23</v>
      </c>
      <c r="P981" s="1" t="s">
        <v>670</v>
      </c>
      <c r="Q981" s="1">
        <v>1</v>
      </c>
    </row>
    <row r="982" spans="4:17" x14ac:dyDescent="0.2">
      <c r="D982" s="1" t="s">
        <v>444</v>
      </c>
      <c r="E982" s="1">
        <v>1400015832</v>
      </c>
      <c r="G982" s="1" t="s">
        <v>75</v>
      </c>
      <c r="I982" s="1" t="s">
        <v>75</v>
      </c>
      <c r="K982" s="2">
        <v>-872100</v>
      </c>
      <c r="L982" s="1" t="s">
        <v>23</v>
      </c>
      <c r="N982" s="2">
        <v>-872100</v>
      </c>
      <c r="O982" s="1" t="s">
        <v>23</v>
      </c>
      <c r="P982" s="1" t="s">
        <v>671</v>
      </c>
      <c r="Q982" s="1">
        <v>1</v>
      </c>
    </row>
    <row r="983" spans="4:17" x14ac:dyDescent="0.2">
      <c r="D983" s="1" t="s">
        <v>444</v>
      </c>
      <c r="E983" s="1">
        <v>1400015832</v>
      </c>
      <c r="G983" s="1" t="s">
        <v>75</v>
      </c>
      <c r="I983" s="1" t="s">
        <v>75</v>
      </c>
      <c r="K983" s="2">
        <v>-852550</v>
      </c>
      <c r="L983" s="1" t="s">
        <v>23</v>
      </c>
      <c r="N983" s="2">
        <v>-852550</v>
      </c>
      <c r="O983" s="1" t="s">
        <v>23</v>
      </c>
      <c r="P983" s="1" t="s">
        <v>672</v>
      </c>
      <c r="Q983" s="1">
        <v>1</v>
      </c>
    </row>
    <row r="984" spans="4:17" x14ac:dyDescent="0.2">
      <c r="D984" s="1" t="s">
        <v>444</v>
      </c>
      <c r="E984" s="1">
        <v>1400015832</v>
      </c>
      <c r="G984" s="1" t="s">
        <v>75</v>
      </c>
      <c r="I984" s="1" t="s">
        <v>75</v>
      </c>
      <c r="K984" s="2">
        <v>-884850</v>
      </c>
      <c r="L984" s="1" t="s">
        <v>23</v>
      </c>
      <c r="N984" s="2">
        <v>-884850</v>
      </c>
      <c r="O984" s="1" t="s">
        <v>23</v>
      </c>
      <c r="P984" s="1" t="s">
        <v>673</v>
      </c>
      <c r="Q984" s="1">
        <v>1</v>
      </c>
    </row>
    <row r="985" spans="4:17" x14ac:dyDescent="0.2">
      <c r="D985" s="1" t="s">
        <v>444</v>
      </c>
      <c r="E985" s="1">
        <v>1400015834</v>
      </c>
      <c r="G985" s="1" t="s">
        <v>28</v>
      </c>
      <c r="I985" s="1" t="s">
        <v>28</v>
      </c>
      <c r="K985" s="2">
        <v>-794750</v>
      </c>
      <c r="L985" s="1" t="s">
        <v>23</v>
      </c>
      <c r="N985" s="2">
        <v>-794750</v>
      </c>
      <c r="O985" s="1" t="s">
        <v>23</v>
      </c>
      <c r="P985" s="1" t="s">
        <v>674</v>
      </c>
      <c r="Q985" s="1">
        <v>1</v>
      </c>
    </row>
    <row r="986" spans="4:17" x14ac:dyDescent="0.2">
      <c r="D986" s="1" t="s">
        <v>444</v>
      </c>
      <c r="E986" s="1">
        <v>1400015834</v>
      </c>
      <c r="G986" s="1" t="s">
        <v>28</v>
      </c>
      <c r="I986" s="1" t="s">
        <v>28</v>
      </c>
      <c r="K986" s="2">
        <v>-1042100</v>
      </c>
      <c r="L986" s="1" t="s">
        <v>23</v>
      </c>
      <c r="N986" s="2">
        <v>-1042100</v>
      </c>
      <c r="O986" s="1" t="s">
        <v>23</v>
      </c>
      <c r="P986" s="1" t="s">
        <v>675</v>
      </c>
      <c r="Q986" s="1">
        <v>1</v>
      </c>
    </row>
    <row r="987" spans="4:17" x14ac:dyDescent="0.2">
      <c r="D987" s="1" t="s">
        <v>444</v>
      </c>
      <c r="E987" s="1">
        <v>1400015834</v>
      </c>
      <c r="G987" s="1" t="s">
        <v>28</v>
      </c>
      <c r="I987" s="1" t="s">
        <v>28</v>
      </c>
      <c r="K987" s="2">
        <v>-879750</v>
      </c>
      <c r="L987" s="1" t="s">
        <v>23</v>
      </c>
      <c r="N987" s="2">
        <v>-879750</v>
      </c>
      <c r="O987" s="1" t="s">
        <v>23</v>
      </c>
      <c r="P987" s="1" t="s">
        <v>676</v>
      </c>
      <c r="Q987" s="1">
        <v>1</v>
      </c>
    </row>
    <row r="988" spans="4:17" x14ac:dyDescent="0.2">
      <c r="D988" s="1" t="s">
        <v>444</v>
      </c>
      <c r="E988" s="1">
        <v>1400015837</v>
      </c>
      <c r="G988" s="1" t="s">
        <v>67</v>
      </c>
      <c r="I988" s="1" t="s">
        <v>67</v>
      </c>
      <c r="K988" s="2">
        <v>-510850</v>
      </c>
      <c r="L988" s="1" t="s">
        <v>23</v>
      </c>
      <c r="N988" s="2">
        <v>-510850</v>
      </c>
      <c r="O988" s="1" t="s">
        <v>23</v>
      </c>
      <c r="P988" s="1" t="s">
        <v>677</v>
      </c>
      <c r="Q988" s="1">
        <v>1</v>
      </c>
    </row>
    <row r="989" spans="4:17" x14ac:dyDescent="0.2">
      <c r="D989" s="1" t="s">
        <v>444</v>
      </c>
      <c r="E989" s="1">
        <v>1400015837</v>
      </c>
      <c r="G989" s="1" t="s">
        <v>67</v>
      </c>
      <c r="I989" s="1" t="s">
        <v>67</v>
      </c>
      <c r="K989" s="2">
        <v>-613700</v>
      </c>
      <c r="L989" s="1" t="s">
        <v>23</v>
      </c>
      <c r="N989" s="2">
        <v>-613700</v>
      </c>
      <c r="O989" s="1" t="s">
        <v>23</v>
      </c>
      <c r="P989" s="1" t="s">
        <v>678</v>
      </c>
      <c r="Q989" s="1">
        <v>1</v>
      </c>
    </row>
    <row r="990" spans="4:17" x14ac:dyDescent="0.2">
      <c r="D990" s="1" t="s">
        <v>444</v>
      </c>
      <c r="E990" s="1">
        <v>1400015837</v>
      </c>
      <c r="G990" s="1" t="s">
        <v>67</v>
      </c>
      <c r="I990" s="1" t="s">
        <v>67</v>
      </c>
      <c r="K990" s="2">
        <v>-861900</v>
      </c>
      <c r="L990" s="1" t="s">
        <v>23</v>
      </c>
      <c r="N990" s="2">
        <v>-861900</v>
      </c>
      <c r="O990" s="1" t="s">
        <v>23</v>
      </c>
      <c r="P990" s="1" t="s">
        <v>679</v>
      </c>
      <c r="Q990" s="1">
        <v>1</v>
      </c>
    </row>
    <row r="991" spans="4:17" x14ac:dyDescent="0.2">
      <c r="D991" s="1" t="s">
        <v>444</v>
      </c>
      <c r="E991" s="1">
        <v>1400015837</v>
      </c>
      <c r="G991" s="1" t="s">
        <v>67</v>
      </c>
      <c r="I991" s="1" t="s">
        <v>67</v>
      </c>
      <c r="K991" s="2">
        <v>-881450</v>
      </c>
      <c r="L991" s="1" t="s">
        <v>23</v>
      </c>
      <c r="N991" s="2">
        <v>-881450</v>
      </c>
      <c r="O991" s="1" t="s">
        <v>23</v>
      </c>
      <c r="P991" s="1" t="s">
        <v>680</v>
      </c>
      <c r="Q991" s="1">
        <v>1</v>
      </c>
    </row>
    <row r="992" spans="4:17" x14ac:dyDescent="0.2">
      <c r="D992" s="1" t="s">
        <v>444</v>
      </c>
      <c r="E992" s="1">
        <v>1400015837</v>
      </c>
      <c r="G992" s="1" t="s">
        <v>67</v>
      </c>
      <c r="I992" s="1" t="s">
        <v>67</v>
      </c>
      <c r="K992" s="2">
        <v>-896750</v>
      </c>
      <c r="L992" s="1" t="s">
        <v>23</v>
      </c>
      <c r="N992" s="2">
        <v>-896750</v>
      </c>
      <c r="O992" s="1" t="s">
        <v>23</v>
      </c>
      <c r="P992" s="1" t="s">
        <v>681</v>
      </c>
      <c r="Q992" s="1">
        <v>1</v>
      </c>
    </row>
    <row r="993" spans="2:17" x14ac:dyDescent="0.2">
      <c r="D993" s="1" t="s">
        <v>444</v>
      </c>
      <c r="E993" s="1">
        <v>1400015837</v>
      </c>
      <c r="G993" s="1" t="s">
        <v>67</v>
      </c>
      <c r="I993" s="1" t="s">
        <v>67</v>
      </c>
      <c r="K993" s="2">
        <v>-901850</v>
      </c>
      <c r="L993" s="1" t="s">
        <v>23</v>
      </c>
      <c r="N993" s="2">
        <v>-901850</v>
      </c>
      <c r="O993" s="1" t="s">
        <v>23</v>
      </c>
      <c r="P993" s="1" t="s">
        <v>682</v>
      </c>
      <c r="Q993" s="1">
        <v>1</v>
      </c>
    </row>
    <row r="994" spans="2:17" x14ac:dyDescent="0.2">
      <c r="D994" s="1" t="s">
        <v>444</v>
      </c>
      <c r="E994" s="1">
        <v>1400015837</v>
      </c>
      <c r="G994" s="1" t="s">
        <v>67</v>
      </c>
      <c r="I994" s="1" t="s">
        <v>67</v>
      </c>
      <c r="K994" s="2">
        <v>-1150900</v>
      </c>
      <c r="L994" s="1" t="s">
        <v>23</v>
      </c>
      <c r="N994" s="2">
        <v>-1150900</v>
      </c>
      <c r="O994" s="1" t="s">
        <v>23</v>
      </c>
      <c r="P994" s="1" t="s">
        <v>683</v>
      </c>
      <c r="Q994" s="1">
        <v>1</v>
      </c>
    </row>
    <row r="995" spans="2:17" x14ac:dyDescent="0.2">
      <c r="D995" s="1" t="s">
        <v>444</v>
      </c>
      <c r="E995" s="1">
        <v>1400015844</v>
      </c>
      <c r="G995" s="1" t="s">
        <v>48</v>
      </c>
      <c r="I995" s="1" t="s">
        <v>48</v>
      </c>
      <c r="K995" s="2">
        <v>-1207850</v>
      </c>
      <c r="L995" s="1" t="s">
        <v>23</v>
      </c>
      <c r="N995" s="2">
        <v>-1207850</v>
      </c>
      <c r="O995" s="1" t="s">
        <v>23</v>
      </c>
      <c r="P995" s="1" t="s">
        <v>684</v>
      </c>
      <c r="Q995" s="1">
        <v>1</v>
      </c>
    </row>
    <row r="996" spans="2:17" x14ac:dyDescent="0.2">
      <c r="D996" s="1" t="s">
        <v>444</v>
      </c>
      <c r="E996" s="1">
        <v>1400015844</v>
      </c>
      <c r="G996" s="1" t="s">
        <v>48</v>
      </c>
      <c r="I996" s="1" t="s">
        <v>48</v>
      </c>
      <c r="K996" s="2">
        <v>-909500</v>
      </c>
      <c r="L996" s="1" t="s">
        <v>23</v>
      </c>
      <c r="N996" s="2">
        <v>-909500</v>
      </c>
      <c r="O996" s="1" t="s">
        <v>23</v>
      </c>
      <c r="P996" s="1" t="s">
        <v>685</v>
      </c>
      <c r="Q996" s="1">
        <v>1</v>
      </c>
    </row>
    <row r="997" spans="2:17" x14ac:dyDescent="0.2">
      <c r="D997" s="1" t="s">
        <v>444</v>
      </c>
      <c r="E997" s="1">
        <v>1400015844</v>
      </c>
      <c r="G997" s="1" t="s">
        <v>48</v>
      </c>
      <c r="I997" s="1" t="s">
        <v>48</v>
      </c>
      <c r="K997" s="2">
        <v>-894200</v>
      </c>
      <c r="L997" s="1" t="s">
        <v>23</v>
      </c>
      <c r="N997" s="2">
        <v>-894200</v>
      </c>
      <c r="O997" s="1" t="s">
        <v>23</v>
      </c>
      <c r="P997" s="1" t="s">
        <v>686</v>
      </c>
      <c r="Q997" s="1">
        <v>1</v>
      </c>
    </row>
    <row r="998" spans="2:17" x14ac:dyDescent="0.2">
      <c r="D998" s="1" t="s">
        <v>444</v>
      </c>
      <c r="E998" s="1">
        <v>1400015855</v>
      </c>
      <c r="G998" s="1" t="s">
        <v>58</v>
      </c>
      <c r="I998" s="1" t="s">
        <v>58</v>
      </c>
      <c r="K998" s="2">
        <v>-982600</v>
      </c>
      <c r="L998" s="1" t="s">
        <v>23</v>
      </c>
      <c r="N998" s="2">
        <v>-982600</v>
      </c>
      <c r="O998" s="1" t="s">
        <v>23</v>
      </c>
      <c r="P998" s="1" t="s">
        <v>687</v>
      </c>
      <c r="Q998" s="1">
        <v>1</v>
      </c>
    </row>
    <row r="999" spans="2:17" x14ac:dyDescent="0.2">
      <c r="D999" s="1" t="s">
        <v>444</v>
      </c>
      <c r="E999" s="1">
        <v>1400015855</v>
      </c>
      <c r="G999" s="1" t="s">
        <v>58</v>
      </c>
      <c r="I999" s="1" t="s">
        <v>58</v>
      </c>
      <c r="K999" s="2">
        <v>-600100</v>
      </c>
      <c r="L999" s="1" t="s">
        <v>23</v>
      </c>
      <c r="N999" s="2">
        <v>-600100</v>
      </c>
      <c r="O999" s="1" t="s">
        <v>23</v>
      </c>
      <c r="P999" s="1" t="s">
        <v>688</v>
      </c>
      <c r="Q999" s="1">
        <v>1</v>
      </c>
    </row>
    <row r="1000" spans="2:17" x14ac:dyDescent="0.2">
      <c r="D1000" s="1" t="s">
        <v>444</v>
      </c>
      <c r="E1000" s="1">
        <v>1400015855</v>
      </c>
      <c r="G1000" s="1" t="s">
        <v>58</v>
      </c>
      <c r="I1000" s="1" t="s">
        <v>58</v>
      </c>
      <c r="K1000" s="2">
        <v>-540600</v>
      </c>
      <c r="L1000" s="1" t="s">
        <v>23</v>
      </c>
      <c r="N1000" s="2">
        <v>-540600</v>
      </c>
      <c r="O1000" s="1" t="s">
        <v>23</v>
      </c>
      <c r="P1000" s="1" t="s">
        <v>689</v>
      </c>
      <c r="Q1000" s="1">
        <v>1</v>
      </c>
    </row>
    <row r="1001" spans="2:17" x14ac:dyDescent="0.2">
      <c r="D1001" s="1" t="s">
        <v>444</v>
      </c>
      <c r="E1001" s="1">
        <v>1400015855</v>
      </c>
      <c r="G1001" s="1" t="s">
        <v>58</v>
      </c>
      <c r="I1001" s="1" t="s">
        <v>58</v>
      </c>
      <c r="K1001" s="2">
        <v>-884850</v>
      </c>
      <c r="L1001" s="1" t="s">
        <v>23</v>
      </c>
      <c r="N1001" s="2">
        <v>-884850</v>
      </c>
      <c r="O1001" s="1" t="s">
        <v>23</v>
      </c>
      <c r="P1001" s="1" t="s">
        <v>690</v>
      </c>
      <c r="Q1001" s="1">
        <v>1</v>
      </c>
    </row>
    <row r="1002" spans="2:17" x14ac:dyDescent="0.2">
      <c r="D1002" s="1" t="s">
        <v>444</v>
      </c>
      <c r="E1002" s="1">
        <v>1400015860</v>
      </c>
      <c r="G1002" s="1" t="s">
        <v>30</v>
      </c>
      <c r="I1002" s="1" t="s">
        <v>30</v>
      </c>
      <c r="K1002" s="2">
        <v>-833000</v>
      </c>
      <c r="L1002" s="1" t="s">
        <v>23</v>
      </c>
      <c r="N1002" s="2">
        <v>-833000</v>
      </c>
      <c r="O1002" s="1" t="s">
        <v>23</v>
      </c>
      <c r="P1002" s="1" t="s">
        <v>691</v>
      </c>
      <c r="Q1002" s="1">
        <v>1</v>
      </c>
    </row>
    <row r="1003" spans="2:17" x14ac:dyDescent="0.2">
      <c r="D1003" s="1" t="s">
        <v>444</v>
      </c>
      <c r="E1003" s="1">
        <v>1400015872</v>
      </c>
      <c r="G1003" s="1" t="s">
        <v>39</v>
      </c>
      <c r="I1003" s="1" t="s">
        <v>39</v>
      </c>
      <c r="K1003" s="2">
        <v>-450000</v>
      </c>
      <c r="L1003" s="1" t="s">
        <v>23</v>
      </c>
      <c r="N1003" s="2">
        <v>-450000</v>
      </c>
      <c r="O1003" s="1" t="s">
        <v>23</v>
      </c>
      <c r="P1003" s="1" t="s">
        <v>669</v>
      </c>
      <c r="Q1003" s="1">
        <v>1</v>
      </c>
    </row>
    <row r="1004" spans="2:17" x14ac:dyDescent="0.2">
      <c r="D1004" s="1" t="s">
        <v>444</v>
      </c>
      <c r="E1004" s="1">
        <v>1400015913</v>
      </c>
      <c r="G1004" s="1" t="s">
        <v>50</v>
      </c>
      <c r="I1004" s="1" t="s">
        <v>50</v>
      </c>
      <c r="K1004" s="2">
        <v>-1128800</v>
      </c>
      <c r="L1004" s="1" t="s">
        <v>23</v>
      </c>
      <c r="N1004" s="2">
        <v>-1128800</v>
      </c>
      <c r="O1004" s="1" t="s">
        <v>23</v>
      </c>
      <c r="P1004" s="1" t="s">
        <v>692</v>
      </c>
      <c r="Q1004" s="1">
        <v>1</v>
      </c>
    </row>
    <row r="1005" spans="2:17" x14ac:dyDescent="0.2">
      <c r="D1005" s="1" t="s">
        <v>444</v>
      </c>
      <c r="E1005" s="1">
        <v>1400015913</v>
      </c>
      <c r="G1005" s="1" t="s">
        <v>50</v>
      </c>
      <c r="I1005" s="1" t="s">
        <v>50</v>
      </c>
      <c r="K1005" s="2">
        <v>-429250</v>
      </c>
      <c r="L1005" s="1" t="s">
        <v>23</v>
      </c>
      <c r="N1005" s="2">
        <v>-429250</v>
      </c>
      <c r="O1005" s="1" t="s">
        <v>23</v>
      </c>
      <c r="P1005" s="1" t="s">
        <v>693</v>
      </c>
      <c r="Q1005" s="1">
        <v>1</v>
      </c>
    </row>
    <row r="1006" spans="2:17" x14ac:dyDescent="0.2">
      <c r="D1006" s="1" t="s">
        <v>444</v>
      </c>
      <c r="E1006" s="1">
        <v>1400015913</v>
      </c>
      <c r="G1006" s="1" t="s">
        <v>50</v>
      </c>
      <c r="I1006" s="1" t="s">
        <v>50</v>
      </c>
      <c r="K1006" s="2">
        <v>-1256300</v>
      </c>
      <c r="L1006" s="1" t="s">
        <v>23</v>
      </c>
      <c r="N1006" s="2">
        <v>-1256300</v>
      </c>
      <c r="O1006" s="1" t="s">
        <v>23</v>
      </c>
      <c r="P1006" s="1" t="s">
        <v>694</v>
      </c>
      <c r="Q1006" s="1">
        <v>1</v>
      </c>
    </row>
    <row r="1008" spans="2:17" x14ac:dyDescent="0.2">
      <c r="B1008" s="1" t="s">
        <v>32</v>
      </c>
      <c r="K1008" s="2">
        <v>-22934891.899999999</v>
      </c>
      <c r="L1008" s="1" t="s">
        <v>23</v>
      </c>
      <c r="N1008" s="2">
        <v>-22934891.899999999</v>
      </c>
      <c r="O1008" s="1" t="s">
        <v>23</v>
      </c>
    </row>
    <row r="1010" spans="1:17" x14ac:dyDescent="0.2">
      <c r="A1010" s="3"/>
      <c r="B1010" s="3" t="s">
        <v>33</v>
      </c>
      <c r="C1010" s="3" t="s">
        <v>242</v>
      </c>
      <c r="D1010" s="3"/>
      <c r="E1010" s="3"/>
      <c r="F1010" s="3"/>
      <c r="G1010" s="3"/>
      <c r="H1010" s="3"/>
      <c r="I1010" s="3"/>
      <c r="J1010" s="3"/>
      <c r="K1010" s="4">
        <v>-22934891.899999999</v>
      </c>
      <c r="L1010" s="3" t="s">
        <v>23</v>
      </c>
      <c r="M1010" s="3"/>
      <c r="N1010" s="4">
        <v>-22934891.899999999</v>
      </c>
      <c r="O1010" s="3" t="s">
        <v>23</v>
      </c>
      <c r="P1010" s="3"/>
      <c r="Q1010" s="3"/>
    </row>
    <row r="1012" spans="1:17" x14ac:dyDescent="0.2">
      <c r="A1012" s="1" t="s">
        <v>0</v>
      </c>
      <c r="F1012" s="1">
        <v>501203</v>
      </c>
    </row>
    <row r="1013" spans="1:17" x14ac:dyDescent="0.2">
      <c r="A1013" s="1" t="s">
        <v>1</v>
      </c>
      <c r="F1013" s="1" t="s">
        <v>2</v>
      </c>
    </row>
    <row r="1015" spans="1:17" x14ac:dyDescent="0.2">
      <c r="A1015" s="1" t="s">
        <v>3</v>
      </c>
      <c r="F1015" s="1" t="s">
        <v>695</v>
      </c>
    </row>
    <row r="1016" spans="1:17" x14ac:dyDescent="0.2">
      <c r="A1016" s="1" t="s">
        <v>5</v>
      </c>
      <c r="F1016" s="1" t="s">
        <v>475</v>
      </c>
    </row>
    <row r="1019" spans="1:17" x14ac:dyDescent="0.2">
      <c r="C1019" s="1" t="s">
        <v>7</v>
      </c>
      <c r="D1019" s="1" t="s">
        <v>8</v>
      </c>
      <c r="E1019" s="1" t="s">
        <v>9</v>
      </c>
      <c r="G1019" s="1" t="s">
        <v>10</v>
      </c>
      <c r="H1019" s="1" t="s">
        <v>11</v>
      </c>
      <c r="I1019" s="1" t="s">
        <v>12</v>
      </c>
      <c r="J1019" s="1" t="s">
        <v>13</v>
      </c>
      <c r="K1019" s="1" t="s">
        <v>14</v>
      </c>
      <c r="L1019" s="1" t="s">
        <v>15</v>
      </c>
      <c r="M1019" s="1" t="s">
        <v>16</v>
      </c>
      <c r="N1019" s="1" t="s">
        <v>17</v>
      </c>
      <c r="O1019" s="1" t="s">
        <v>18</v>
      </c>
      <c r="P1019" s="1" t="s">
        <v>19</v>
      </c>
      <c r="Q1019" s="1" t="s">
        <v>20</v>
      </c>
    </row>
    <row r="1021" spans="1:17" x14ac:dyDescent="0.2">
      <c r="D1021" s="1" t="s">
        <v>444</v>
      </c>
      <c r="E1021" s="1">
        <v>103527391</v>
      </c>
      <c r="G1021" s="1" t="s">
        <v>39</v>
      </c>
      <c r="I1021" s="1" t="s">
        <v>39</v>
      </c>
      <c r="K1021" s="2">
        <v>-19064.38</v>
      </c>
      <c r="L1021" s="1" t="s">
        <v>23</v>
      </c>
      <c r="N1021" s="2">
        <v>-19064.38</v>
      </c>
      <c r="O1021" s="1" t="s">
        <v>23</v>
      </c>
      <c r="P1021" s="1" t="s">
        <v>696</v>
      </c>
      <c r="Q1021" s="1">
        <v>1</v>
      </c>
    </row>
    <row r="1023" spans="1:17" x14ac:dyDescent="0.2">
      <c r="B1023" s="1" t="s">
        <v>32</v>
      </c>
      <c r="K1023" s="2">
        <v>-19064.38</v>
      </c>
      <c r="L1023" s="1" t="s">
        <v>23</v>
      </c>
      <c r="N1023" s="2">
        <v>-19064.38</v>
      </c>
      <c r="O1023" s="1" t="s">
        <v>23</v>
      </c>
    </row>
    <row r="1025" spans="1:17" x14ac:dyDescent="0.2">
      <c r="A1025" s="3"/>
      <c r="B1025" s="3" t="s">
        <v>33</v>
      </c>
      <c r="C1025" s="3" t="s">
        <v>697</v>
      </c>
      <c r="D1025" s="3"/>
      <c r="E1025" s="3"/>
      <c r="F1025" s="3"/>
      <c r="G1025" s="3"/>
      <c r="H1025" s="3"/>
      <c r="I1025" s="3"/>
      <c r="J1025" s="3"/>
      <c r="K1025" s="4">
        <v>-19064.38</v>
      </c>
      <c r="L1025" s="3" t="s">
        <v>23</v>
      </c>
      <c r="M1025" s="3"/>
      <c r="N1025" s="4">
        <v>-19064.38</v>
      </c>
      <c r="O1025" s="3" t="s">
        <v>23</v>
      </c>
      <c r="P1025" s="3"/>
      <c r="Q1025" s="3"/>
    </row>
    <row r="1027" spans="1:17" x14ac:dyDescent="0.2">
      <c r="A1027" s="1" t="s">
        <v>0</v>
      </c>
      <c r="F1027" s="1">
        <v>501204</v>
      </c>
    </row>
    <row r="1028" spans="1:17" x14ac:dyDescent="0.2">
      <c r="A1028" s="1" t="s">
        <v>1</v>
      </c>
      <c r="F1028" s="1" t="s">
        <v>2</v>
      </c>
    </row>
    <row r="1030" spans="1:17" x14ac:dyDescent="0.2">
      <c r="A1030" s="1" t="s">
        <v>3</v>
      </c>
      <c r="F1030" s="1" t="s">
        <v>622</v>
      </c>
    </row>
    <row r="1031" spans="1:17" x14ac:dyDescent="0.2">
      <c r="A1031" s="1" t="s">
        <v>5</v>
      </c>
      <c r="F1031" s="1" t="s">
        <v>698</v>
      </c>
    </row>
    <row r="1034" spans="1:17" x14ac:dyDescent="0.2">
      <c r="C1034" s="1" t="s">
        <v>7</v>
      </c>
      <c r="D1034" s="1" t="s">
        <v>8</v>
      </c>
      <c r="E1034" s="1" t="s">
        <v>9</v>
      </c>
      <c r="G1034" s="1" t="s">
        <v>10</v>
      </c>
      <c r="H1034" s="1" t="s">
        <v>11</v>
      </c>
      <c r="I1034" s="1" t="s">
        <v>12</v>
      </c>
      <c r="J1034" s="1" t="s">
        <v>13</v>
      </c>
      <c r="K1034" s="1" t="s">
        <v>14</v>
      </c>
      <c r="L1034" s="1" t="s">
        <v>15</v>
      </c>
      <c r="M1034" s="1" t="s">
        <v>16</v>
      </c>
      <c r="N1034" s="1" t="s">
        <v>17</v>
      </c>
      <c r="O1034" s="1" t="s">
        <v>18</v>
      </c>
      <c r="P1034" s="1" t="s">
        <v>19</v>
      </c>
      <c r="Q1034" s="1" t="s">
        <v>20</v>
      </c>
    </row>
    <row r="1036" spans="1:17" x14ac:dyDescent="0.2">
      <c r="D1036" s="1" t="s">
        <v>444</v>
      </c>
      <c r="E1036" s="1">
        <v>103527498</v>
      </c>
      <c r="G1036" s="1" t="s">
        <v>64</v>
      </c>
      <c r="I1036" s="1" t="s">
        <v>64</v>
      </c>
      <c r="K1036" s="2">
        <v>-218612.35</v>
      </c>
      <c r="L1036" s="1" t="s">
        <v>23</v>
      </c>
      <c r="N1036" s="2">
        <v>-218612.35</v>
      </c>
      <c r="O1036" s="1" t="s">
        <v>23</v>
      </c>
      <c r="P1036" s="1" t="s">
        <v>699</v>
      </c>
      <c r="Q1036" s="1">
        <v>1</v>
      </c>
    </row>
    <row r="1038" spans="1:17" x14ac:dyDescent="0.2">
      <c r="B1038" s="1" t="s">
        <v>32</v>
      </c>
      <c r="K1038" s="2">
        <v>-218612.35</v>
      </c>
      <c r="L1038" s="1" t="s">
        <v>23</v>
      </c>
      <c r="N1038" s="2">
        <v>-218612.35</v>
      </c>
      <c r="O1038" s="1" t="s">
        <v>23</v>
      </c>
    </row>
    <row r="1040" spans="1:17" x14ac:dyDescent="0.2">
      <c r="A1040" s="3"/>
      <c r="B1040" s="3" t="s">
        <v>33</v>
      </c>
      <c r="C1040" s="3" t="s">
        <v>700</v>
      </c>
      <c r="D1040" s="3"/>
      <c r="E1040" s="3"/>
      <c r="F1040" s="3"/>
      <c r="G1040" s="3"/>
      <c r="H1040" s="3"/>
      <c r="I1040" s="3"/>
      <c r="J1040" s="3"/>
      <c r="K1040" s="4">
        <v>-218612.35</v>
      </c>
      <c r="L1040" s="3" t="s">
        <v>23</v>
      </c>
      <c r="M1040" s="3"/>
      <c r="N1040" s="4">
        <v>-218612.35</v>
      </c>
      <c r="O1040" s="3" t="s">
        <v>23</v>
      </c>
      <c r="P1040" s="3"/>
      <c r="Q1040" s="3"/>
    </row>
    <row r="1042" spans="1:17" x14ac:dyDescent="0.2">
      <c r="A1042" s="1" t="s">
        <v>0</v>
      </c>
      <c r="F1042" s="1">
        <v>501205</v>
      </c>
    </row>
    <row r="1043" spans="1:17" x14ac:dyDescent="0.2">
      <c r="A1043" s="1" t="s">
        <v>1</v>
      </c>
      <c r="F1043" s="1" t="s">
        <v>2</v>
      </c>
    </row>
    <row r="1045" spans="1:17" x14ac:dyDescent="0.2">
      <c r="A1045" s="1" t="s">
        <v>3</v>
      </c>
      <c r="F1045" s="1" t="s">
        <v>622</v>
      </c>
    </row>
    <row r="1046" spans="1:17" x14ac:dyDescent="0.2">
      <c r="A1046" s="1" t="s">
        <v>5</v>
      </c>
      <c r="F1046" s="1" t="s">
        <v>701</v>
      </c>
    </row>
    <row r="1049" spans="1:17" x14ac:dyDescent="0.2">
      <c r="C1049" s="1" t="s">
        <v>7</v>
      </c>
      <c r="D1049" s="1" t="s">
        <v>8</v>
      </c>
      <c r="E1049" s="1" t="s">
        <v>9</v>
      </c>
      <c r="G1049" s="1" t="s">
        <v>10</v>
      </c>
      <c r="H1049" s="1" t="s">
        <v>11</v>
      </c>
      <c r="I1049" s="1" t="s">
        <v>12</v>
      </c>
      <c r="J1049" s="1" t="s">
        <v>13</v>
      </c>
      <c r="K1049" s="1" t="s">
        <v>14</v>
      </c>
      <c r="L1049" s="1" t="s">
        <v>15</v>
      </c>
      <c r="M1049" s="1" t="s">
        <v>16</v>
      </c>
      <c r="N1049" s="1" t="s">
        <v>17</v>
      </c>
      <c r="O1049" s="1" t="s">
        <v>18</v>
      </c>
      <c r="P1049" s="1" t="s">
        <v>19</v>
      </c>
      <c r="Q1049" s="1" t="s">
        <v>20</v>
      </c>
    </row>
    <row r="1051" spans="1:17" x14ac:dyDescent="0.2">
      <c r="D1051" s="1" t="s">
        <v>444</v>
      </c>
      <c r="E1051" s="1">
        <v>103527498</v>
      </c>
      <c r="G1051" s="1" t="s">
        <v>64</v>
      </c>
      <c r="I1051" s="1" t="s">
        <v>64</v>
      </c>
      <c r="K1051" s="2">
        <v>-143451.35</v>
      </c>
      <c r="L1051" s="1" t="s">
        <v>23</v>
      </c>
      <c r="N1051" s="2">
        <v>-143451.35</v>
      </c>
      <c r="O1051" s="1" t="s">
        <v>23</v>
      </c>
      <c r="P1051" s="1" t="s">
        <v>702</v>
      </c>
      <c r="Q1051" s="1">
        <v>1</v>
      </c>
    </row>
    <row r="1052" spans="1:17" x14ac:dyDescent="0.2">
      <c r="D1052" s="1" t="s">
        <v>444</v>
      </c>
      <c r="E1052" s="1">
        <v>1400015799</v>
      </c>
      <c r="G1052" s="1" t="s">
        <v>42</v>
      </c>
      <c r="I1052" s="1" t="s">
        <v>42</v>
      </c>
      <c r="K1052" s="2">
        <v>-75161</v>
      </c>
      <c r="L1052" s="1" t="s">
        <v>23</v>
      </c>
      <c r="N1052" s="2">
        <v>-75161</v>
      </c>
      <c r="O1052" s="1" t="s">
        <v>23</v>
      </c>
      <c r="P1052" s="1" t="s">
        <v>703</v>
      </c>
      <c r="Q1052" s="1">
        <v>1</v>
      </c>
    </row>
    <row r="1054" spans="1:17" x14ac:dyDescent="0.2">
      <c r="B1054" s="1" t="s">
        <v>32</v>
      </c>
      <c r="K1054" s="2">
        <v>-218612.35</v>
      </c>
      <c r="L1054" s="1" t="s">
        <v>23</v>
      </c>
      <c r="N1054" s="2">
        <v>-218612.35</v>
      </c>
      <c r="O1054" s="1" t="s">
        <v>23</v>
      </c>
    </row>
    <row r="1056" spans="1:17" x14ac:dyDescent="0.2">
      <c r="A1056" s="3"/>
      <c r="B1056" s="3" t="s">
        <v>33</v>
      </c>
      <c r="C1056" s="3" t="s">
        <v>704</v>
      </c>
      <c r="D1056" s="3"/>
      <c r="E1056" s="3"/>
      <c r="F1056" s="3"/>
      <c r="G1056" s="3"/>
      <c r="H1056" s="3"/>
      <c r="I1056" s="3"/>
      <c r="J1056" s="3"/>
      <c r="K1056" s="4">
        <v>-218612.35</v>
      </c>
      <c r="L1056" s="3" t="s">
        <v>23</v>
      </c>
      <c r="M1056" s="3"/>
      <c r="N1056" s="4">
        <v>-218612.35</v>
      </c>
      <c r="O1056" s="3" t="s">
        <v>23</v>
      </c>
      <c r="P1056" s="3"/>
      <c r="Q1056" s="3"/>
    </row>
    <row r="1058" spans="1:17" x14ac:dyDescent="0.2">
      <c r="A1058" s="1" t="s">
        <v>0</v>
      </c>
      <c r="F1058" s="1">
        <v>501210</v>
      </c>
    </row>
    <row r="1059" spans="1:17" x14ac:dyDescent="0.2">
      <c r="A1059" s="1" t="s">
        <v>1</v>
      </c>
      <c r="F1059" s="1" t="s">
        <v>2</v>
      </c>
    </row>
    <row r="1061" spans="1:17" x14ac:dyDescent="0.2">
      <c r="A1061" s="1" t="s">
        <v>3</v>
      </c>
      <c r="F1061" s="1" t="s">
        <v>705</v>
      </c>
    </row>
    <row r="1062" spans="1:17" x14ac:dyDescent="0.2">
      <c r="A1062" s="1" t="s">
        <v>5</v>
      </c>
      <c r="F1062" s="1" t="s">
        <v>514</v>
      </c>
    </row>
    <row r="1065" spans="1:17" x14ac:dyDescent="0.2">
      <c r="C1065" s="1" t="s">
        <v>7</v>
      </c>
      <c r="D1065" s="1" t="s">
        <v>8</v>
      </c>
      <c r="E1065" s="1" t="s">
        <v>9</v>
      </c>
      <c r="G1065" s="1" t="s">
        <v>10</v>
      </c>
      <c r="H1065" s="1" t="s">
        <v>11</v>
      </c>
      <c r="I1065" s="1" t="s">
        <v>12</v>
      </c>
      <c r="J1065" s="1" t="s">
        <v>13</v>
      </c>
      <c r="K1065" s="1" t="s">
        <v>14</v>
      </c>
      <c r="L1065" s="1" t="s">
        <v>15</v>
      </c>
      <c r="M1065" s="1" t="s">
        <v>16</v>
      </c>
      <c r="N1065" s="1" t="s">
        <v>17</v>
      </c>
      <c r="O1065" s="1" t="s">
        <v>18</v>
      </c>
      <c r="P1065" s="1" t="s">
        <v>19</v>
      </c>
      <c r="Q1065" s="1" t="s">
        <v>20</v>
      </c>
    </row>
    <row r="1067" spans="1:17" x14ac:dyDescent="0.2">
      <c r="D1067" s="1" t="s">
        <v>444</v>
      </c>
      <c r="E1067" s="1">
        <v>1400015791</v>
      </c>
      <c r="G1067" s="1" t="s">
        <v>50</v>
      </c>
      <c r="I1067" s="1" t="s">
        <v>50</v>
      </c>
      <c r="K1067" s="2">
        <v>-629787.55000000005</v>
      </c>
      <c r="L1067" s="1" t="s">
        <v>23</v>
      </c>
      <c r="N1067" s="2">
        <v>-156371.82999999999</v>
      </c>
      <c r="O1067" s="1" t="s">
        <v>24</v>
      </c>
      <c r="P1067" s="1" t="s">
        <v>706</v>
      </c>
      <c r="Q1067" s="1">
        <v>4.0274999999999999</v>
      </c>
    </row>
    <row r="1069" spans="1:17" x14ac:dyDescent="0.2">
      <c r="B1069" s="1" t="s">
        <v>32</v>
      </c>
      <c r="K1069" s="2">
        <v>-629787.55000000005</v>
      </c>
      <c r="L1069" s="1" t="s">
        <v>23</v>
      </c>
      <c r="N1069" s="2">
        <v>-156371.82999999999</v>
      </c>
      <c r="O1069" s="1" t="s">
        <v>24</v>
      </c>
    </row>
    <row r="1071" spans="1:17" x14ac:dyDescent="0.2">
      <c r="A1071" s="3"/>
      <c r="B1071" s="3" t="s">
        <v>33</v>
      </c>
      <c r="C1071" s="3" t="s">
        <v>707</v>
      </c>
      <c r="D1071" s="3"/>
      <c r="E1071" s="3"/>
      <c r="F1071" s="3"/>
      <c r="G1071" s="3"/>
      <c r="H1071" s="3"/>
      <c r="I1071" s="3"/>
      <c r="J1071" s="3"/>
      <c r="K1071" s="4">
        <v>-629787.55000000005</v>
      </c>
      <c r="L1071" s="3" t="s">
        <v>23</v>
      </c>
      <c r="M1071" s="3"/>
      <c r="N1071" s="4">
        <v>-156371.82999999999</v>
      </c>
      <c r="O1071" s="3" t="s">
        <v>24</v>
      </c>
      <c r="P1071" s="3"/>
      <c r="Q1071" s="3"/>
    </row>
    <row r="1073" spans="1:17" x14ac:dyDescent="0.2">
      <c r="A1073" s="1" t="s">
        <v>0</v>
      </c>
      <c r="F1073" s="1">
        <v>501211</v>
      </c>
    </row>
    <row r="1074" spans="1:17" x14ac:dyDescent="0.2">
      <c r="A1074" s="1" t="s">
        <v>1</v>
      </c>
      <c r="F1074" s="1" t="s">
        <v>2</v>
      </c>
    </row>
    <row r="1076" spans="1:17" x14ac:dyDescent="0.2">
      <c r="A1076" s="1" t="s">
        <v>3</v>
      </c>
      <c r="F1076" s="1" t="s">
        <v>708</v>
      </c>
    </row>
    <row r="1077" spans="1:17" x14ac:dyDescent="0.2">
      <c r="A1077" s="1" t="s">
        <v>5</v>
      </c>
      <c r="F1077" s="1" t="s">
        <v>55</v>
      </c>
    </row>
    <row r="1080" spans="1:17" x14ac:dyDescent="0.2">
      <c r="C1080" s="1" t="s">
        <v>7</v>
      </c>
      <c r="D1080" s="1" t="s">
        <v>8</v>
      </c>
      <c r="E1080" s="1" t="s">
        <v>9</v>
      </c>
      <c r="G1080" s="1" t="s">
        <v>10</v>
      </c>
      <c r="H1080" s="1" t="s">
        <v>11</v>
      </c>
      <c r="I1080" s="1" t="s">
        <v>12</v>
      </c>
      <c r="J1080" s="1" t="s">
        <v>13</v>
      </c>
      <c r="K1080" s="1" t="s">
        <v>14</v>
      </c>
      <c r="L1080" s="1" t="s">
        <v>15</v>
      </c>
      <c r="M1080" s="1" t="s">
        <v>16</v>
      </c>
      <c r="N1080" s="1" t="s">
        <v>17</v>
      </c>
      <c r="O1080" s="1" t="s">
        <v>18</v>
      </c>
      <c r="P1080" s="1" t="s">
        <v>19</v>
      </c>
      <c r="Q1080" s="1" t="s">
        <v>20</v>
      </c>
    </row>
    <row r="1082" spans="1:17" x14ac:dyDescent="0.2">
      <c r="D1082" s="1" t="s">
        <v>444</v>
      </c>
      <c r="E1082" s="1">
        <v>1400015735</v>
      </c>
      <c r="G1082" s="1" t="s">
        <v>164</v>
      </c>
      <c r="I1082" s="1" t="s">
        <v>164</v>
      </c>
      <c r="K1082" s="2">
        <v>-93829.06</v>
      </c>
      <c r="L1082" s="1" t="s">
        <v>23</v>
      </c>
      <c r="N1082" s="2">
        <v>-93829.06</v>
      </c>
      <c r="O1082" s="1" t="s">
        <v>23</v>
      </c>
      <c r="P1082" s="1" t="s">
        <v>709</v>
      </c>
      <c r="Q1082" s="1">
        <v>1</v>
      </c>
    </row>
    <row r="1083" spans="1:17" x14ac:dyDescent="0.2">
      <c r="D1083" s="1" t="s">
        <v>444</v>
      </c>
      <c r="E1083" s="1">
        <v>1400015816</v>
      </c>
      <c r="G1083" s="1" t="s">
        <v>104</v>
      </c>
      <c r="I1083" s="1" t="s">
        <v>104</v>
      </c>
      <c r="K1083" s="2">
        <v>-26114.400000000001</v>
      </c>
      <c r="L1083" s="1" t="s">
        <v>23</v>
      </c>
      <c r="N1083" s="2">
        <v>-26114.400000000001</v>
      </c>
      <c r="O1083" s="1" t="s">
        <v>23</v>
      </c>
      <c r="P1083" s="1" t="s">
        <v>710</v>
      </c>
      <c r="Q1083" s="1">
        <v>1</v>
      </c>
    </row>
    <row r="1084" spans="1:17" x14ac:dyDescent="0.2">
      <c r="D1084" s="1" t="s">
        <v>444</v>
      </c>
      <c r="E1084" s="1">
        <v>1400015822</v>
      </c>
      <c r="G1084" s="1" t="s">
        <v>64</v>
      </c>
      <c r="I1084" s="1" t="s">
        <v>64</v>
      </c>
      <c r="K1084" s="2">
        <v>-29400</v>
      </c>
      <c r="L1084" s="1" t="s">
        <v>23</v>
      </c>
      <c r="N1084" s="2">
        <v>-29400</v>
      </c>
      <c r="O1084" s="1" t="s">
        <v>23</v>
      </c>
      <c r="P1084" s="1" t="s">
        <v>711</v>
      </c>
      <c r="Q1084" s="1">
        <v>1</v>
      </c>
    </row>
    <row r="1086" spans="1:17" x14ac:dyDescent="0.2">
      <c r="B1086" s="1" t="s">
        <v>32</v>
      </c>
      <c r="K1086" s="2">
        <v>-149343.46</v>
      </c>
      <c r="L1086" s="1" t="s">
        <v>23</v>
      </c>
      <c r="N1086" s="2">
        <v>-149343.46</v>
      </c>
      <c r="O1086" s="1" t="s">
        <v>23</v>
      </c>
    </row>
    <row r="1088" spans="1:17" x14ac:dyDescent="0.2">
      <c r="A1088" s="3"/>
      <c r="B1088" s="3" t="s">
        <v>33</v>
      </c>
      <c r="C1088" s="3" t="s">
        <v>712</v>
      </c>
      <c r="D1088" s="3"/>
      <c r="E1088" s="3"/>
      <c r="F1088" s="3"/>
      <c r="G1088" s="3"/>
      <c r="H1088" s="3"/>
      <c r="I1088" s="3"/>
      <c r="J1088" s="3"/>
      <c r="K1088" s="4">
        <v>-149343.46</v>
      </c>
      <c r="L1088" s="3" t="s">
        <v>23</v>
      </c>
      <c r="M1088" s="3"/>
      <c r="N1088" s="4">
        <v>-149343.46</v>
      </c>
      <c r="O1088" s="3" t="s">
        <v>23</v>
      </c>
      <c r="P1088" s="3"/>
      <c r="Q1088" s="3"/>
    </row>
    <row r="1090" spans="1:17" x14ac:dyDescent="0.2">
      <c r="A1090" s="1" t="s">
        <v>0</v>
      </c>
      <c r="F1090" s="1">
        <v>501215</v>
      </c>
    </row>
    <row r="1091" spans="1:17" x14ac:dyDescent="0.2">
      <c r="A1091" s="1" t="s">
        <v>1</v>
      </c>
      <c r="F1091" s="1" t="s">
        <v>2</v>
      </c>
    </row>
    <row r="1093" spans="1:17" x14ac:dyDescent="0.2">
      <c r="A1093" s="1" t="s">
        <v>3</v>
      </c>
      <c r="F1093" s="1" t="s">
        <v>713</v>
      </c>
    </row>
    <row r="1094" spans="1:17" x14ac:dyDescent="0.2">
      <c r="A1094" s="1" t="s">
        <v>5</v>
      </c>
      <c r="F1094" s="1" t="s">
        <v>514</v>
      </c>
    </row>
    <row r="1097" spans="1:17" x14ac:dyDescent="0.2">
      <c r="C1097" s="1" t="s">
        <v>7</v>
      </c>
      <c r="D1097" s="1" t="s">
        <v>8</v>
      </c>
      <c r="E1097" s="1" t="s">
        <v>9</v>
      </c>
      <c r="G1097" s="1" t="s">
        <v>10</v>
      </c>
      <c r="H1097" s="1" t="s">
        <v>11</v>
      </c>
      <c r="I1097" s="1" t="s">
        <v>12</v>
      </c>
      <c r="J1097" s="1" t="s">
        <v>13</v>
      </c>
      <c r="K1097" s="1" t="s">
        <v>14</v>
      </c>
      <c r="L1097" s="1" t="s">
        <v>15</v>
      </c>
      <c r="M1097" s="1" t="s">
        <v>16</v>
      </c>
      <c r="N1097" s="1" t="s">
        <v>17</v>
      </c>
      <c r="O1097" s="1" t="s">
        <v>18</v>
      </c>
      <c r="P1097" s="1" t="s">
        <v>19</v>
      </c>
      <c r="Q1097" s="1" t="s">
        <v>20</v>
      </c>
    </row>
    <row r="1099" spans="1:17" x14ac:dyDescent="0.2">
      <c r="D1099" s="1" t="s">
        <v>444</v>
      </c>
      <c r="E1099" s="1">
        <v>1400015849</v>
      </c>
      <c r="G1099" s="1" t="s">
        <v>48</v>
      </c>
      <c r="I1099" s="1" t="s">
        <v>48</v>
      </c>
      <c r="K1099" s="2">
        <v>-56017.18</v>
      </c>
      <c r="L1099" s="1" t="s">
        <v>23</v>
      </c>
      <c r="N1099" s="2">
        <v>-56017.18</v>
      </c>
      <c r="O1099" s="1" t="s">
        <v>23</v>
      </c>
      <c r="P1099" s="1" t="s">
        <v>714</v>
      </c>
      <c r="Q1099" s="1">
        <v>1</v>
      </c>
    </row>
    <row r="1101" spans="1:17" x14ac:dyDescent="0.2">
      <c r="B1101" s="1" t="s">
        <v>32</v>
      </c>
      <c r="K1101" s="2">
        <v>-56017.18</v>
      </c>
      <c r="L1101" s="1" t="s">
        <v>23</v>
      </c>
      <c r="N1101" s="2">
        <v>-56017.18</v>
      </c>
      <c r="O1101" s="1" t="s">
        <v>23</v>
      </c>
    </row>
    <row r="1103" spans="1:17" x14ac:dyDescent="0.2">
      <c r="A1103" s="3"/>
      <c r="B1103" s="3" t="s">
        <v>33</v>
      </c>
      <c r="C1103" s="3" t="s">
        <v>715</v>
      </c>
      <c r="D1103" s="3"/>
      <c r="E1103" s="3"/>
      <c r="F1103" s="3"/>
      <c r="G1103" s="3"/>
      <c r="H1103" s="3"/>
      <c r="I1103" s="3"/>
      <c r="J1103" s="3"/>
      <c r="K1103" s="4">
        <v>-56017.18</v>
      </c>
      <c r="L1103" s="3" t="s">
        <v>23</v>
      </c>
      <c r="M1103" s="3"/>
      <c r="N1103" s="4">
        <v>-56017.18</v>
      </c>
      <c r="O1103" s="3" t="s">
        <v>23</v>
      </c>
      <c r="P1103" s="3"/>
      <c r="Q1103" s="3"/>
    </row>
    <row r="1105" spans="1:17" x14ac:dyDescent="0.2">
      <c r="A1105" s="1" t="s">
        <v>0</v>
      </c>
      <c r="F1105" s="1">
        <v>501219</v>
      </c>
    </row>
    <row r="1106" spans="1:17" x14ac:dyDescent="0.2">
      <c r="A1106" s="1" t="s">
        <v>1</v>
      </c>
      <c r="F1106" s="1" t="s">
        <v>2</v>
      </c>
    </row>
    <row r="1108" spans="1:17" x14ac:dyDescent="0.2">
      <c r="A1108" s="1" t="s">
        <v>3</v>
      </c>
      <c r="F1108" s="1" t="s">
        <v>250</v>
      </c>
    </row>
    <row r="1109" spans="1:17" x14ac:dyDescent="0.2">
      <c r="A1109" s="1" t="s">
        <v>5</v>
      </c>
      <c r="F1109" s="1" t="s">
        <v>514</v>
      </c>
    </row>
    <row r="1112" spans="1:17" x14ac:dyDescent="0.2">
      <c r="C1112" s="1" t="s">
        <v>7</v>
      </c>
      <c r="D1112" s="1" t="s">
        <v>8</v>
      </c>
      <c r="E1112" s="1" t="s">
        <v>9</v>
      </c>
      <c r="G1112" s="1" t="s">
        <v>10</v>
      </c>
      <c r="H1112" s="1" t="s">
        <v>11</v>
      </c>
      <c r="I1112" s="1" t="s">
        <v>12</v>
      </c>
      <c r="J1112" s="1" t="s">
        <v>13</v>
      </c>
      <c r="K1112" s="1" t="s">
        <v>14</v>
      </c>
      <c r="L1112" s="1" t="s">
        <v>15</v>
      </c>
      <c r="M1112" s="1" t="s">
        <v>16</v>
      </c>
      <c r="N1112" s="1" t="s">
        <v>17</v>
      </c>
      <c r="O1112" s="1" t="s">
        <v>18</v>
      </c>
      <c r="P1112" s="1" t="s">
        <v>19</v>
      </c>
      <c r="Q1112" s="1" t="s">
        <v>20</v>
      </c>
    </row>
    <row r="1114" spans="1:17" x14ac:dyDescent="0.2">
      <c r="D1114" s="1" t="s">
        <v>444</v>
      </c>
      <c r="E1114" s="1">
        <v>1400015709</v>
      </c>
      <c r="G1114" s="1" t="s">
        <v>130</v>
      </c>
      <c r="I1114" s="1" t="s">
        <v>130</v>
      </c>
      <c r="K1114" s="2">
        <v>-773541.98</v>
      </c>
      <c r="L1114" s="1" t="s">
        <v>23</v>
      </c>
      <c r="N1114" s="2">
        <v>-189060.73</v>
      </c>
      <c r="O1114" s="1" t="s">
        <v>24</v>
      </c>
      <c r="P1114" s="1" t="s">
        <v>716</v>
      </c>
      <c r="Q1114" s="1">
        <v>4.0914999999999999</v>
      </c>
    </row>
    <row r="1116" spans="1:17" x14ac:dyDescent="0.2">
      <c r="B1116" s="1" t="s">
        <v>32</v>
      </c>
      <c r="K1116" s="2">
        <v>-773541.98</v>
      </c>
      <c r="L1116" s="1" t="s">
        <v>23</v>
      </c>
      <c r="N1116" s="2">
        <v>-189060.73</v>
      </c>
      <c r="O1116" s="1" t="s">
        <v>24</v>
      </c>
    </row>
    <row r="1118" spans="1:17" x14ac:dyDescent="0.2">
      <c r="A1118" s="3"/>
      <c r="B1118" s="3" t="s">
        <v>33</v>
      </c>
      <c r="C1118" s="3" t="s">
        <v>717</v>
      </c>
      <c r="D1118" s="3"/>
      <c r="E1118" s="3"/>
      <c r="F1118" s="3"/>
      <c r="G1118" s="3"/>
      <c r="H1118" s="3"/>
      <c r="I1118" s="3"/>
      <c r="J1118" s="3"/>
      <c r="K1118" s="4">
        <v>-773541.98</v>
      </c>
      <c r="L1118" s="3" t="s">
        <v>23</v>
      </c>
      <c r="M1118" s="3"/>
      <c r="N1118" s="4">
        <v>-189060.73</v>
      </c>
      <c r="O1118" s="3" t="s">
        <v>24</v>
      </c>
      <c r="P1118" s="3"/>
      <c r="Q1118" s="3"/>
    </row>
    <row r="1120" spans="1:17" x14ac:dyDescent="0.2">
      <c r="A1120" s="1" t="s">
        <v>0</v>
      </c>
      <c r="F1120" s="1">
        <v>501220</v>
      </c>
    </row>
    <row r="1121" spans="1:17" x14ac:dyDescent="0.2">
      <c r="A1121" s="1" t="s">
        <v>1</v>
      </c>
      <c r="F1121" s="1" t="s">
        <v>2</v>
      </c>
    </row>
    <row r="1123" spans="1:17" x14ac:dyDescent="0.2">
      <c r="A1123" s="1" t="s">
        <v>3</v>
      </c>
      <c r="F1123" s="1" t="s">
        <v>243</v>
      </c>
    </row>
    <row r="1124" spans="1:17" x14ac:dyDescent="0.2">
      <c r="A1124" s="1" t="s">
        <v>5</v>
      </c>
      <c r="F1124" s="1" t="s">
        <v>55</v>
      </c>
    </row>
    <row r="1127" spans="1:17" x14ac:dyDescent="0.2">
      <c r="C1127" s="1" t="s">
        <v>7</v>
      </c>
      <c r="D1127" s="1" t="s">
        <v>8</v>
      </c>
      <c r="E1127" s="1" t="s">
        <v>9</v>
      </c>
      <c r="G1127" s="1" t="s">
        <v>10</v>
      </c>
      <c r="H1127" s="1" t="s">
        <v>11</v>
      </c>
      <c r="I1127" s="1" t="s">
        <v>12</v>
      </c>
      <c r="J1127" s="1" t="s">
        <v>13</v>
      </c>
      <c r="K1127" s="1" t="s">
        <v>14</v>
      </c>
      <c r="L1127" s="1" t="s">
        <v>15</v>
      </c>
      <c r="M1127" s="1" t="s">
        <v>16</v>
      </c>
      <c r="N1127" s="1" t="s">
        <v>17</v>
      </c>
      <c r="O1127" s="1" t="s">
        <v>18</v>
      </c>
      <c r="P1127" s="1" t="s">
        <v>19</v>
      </c>
      <c r="Q1127" s="1" t="s">
        <v>20</v>
      </c>
    </row>
    <row r="1129" spans="1:17" x14ac:dyDescent="0.2">
      <c r="D1129" s="1" t="s">
        <v>444</v>
      </c>
      <c r="E1129" s="1">
        <v>1400015750</v>
      </c>
      <c r="G1129" s="1" t="s">
        <v>22</v>
      </c>
      <c r="I1129" s="1" t="s">
        <v>22</v>
      </c>
      <c r="K1129" s="2">
        <v>-4744400</v>
      </c>
      <c r="L1129" s="1" t="s">
        <v>23</v>
      </c>
      <c r="N1129" s="2">
        <v>-4744400</v>
      </c>
      <c r="O1129" s="1" t="s">
        <v>23</v>
      </c>
      <c r="P1129" s="1" t="s">
        <v>718</v>
      </c>
      <c r="Q1129" s="1">
        <v>1</v>
      </c>
    </row>
    <row r="1130" spans="1:17" x14ac:dyDescent="0.2">
      <c r="D1130" s="1" t="s">
        <v>444</v>
      </c>
      <c r="E1130" s="1">
        <v>1400015750</v>
      </c>
      <c r="G1130" s="1" t="s">
        <v>22</v>
      </c>
      <c r="I1130" s="1" t="s">
        <v>22</v>
      </c>
      <c r="K1130" s="2">
        <v>-652500</v>
      </c>
      <c r="L1130" s="1" t="s">
        <v>23</v>
      </c>
      <c r="N1130" s="2">
        <v>-652500</v>
      </c>
      <c r="O1130" s="1" t="s">
        <v>23</v>
      </c>
      <c r="P1130" s="1" t="s">
        <v>719</v>
      </c>
      <c r="Q1130" s="1">
        <v>1</v>
      </c>
    </row>
    <row r="1131" spans="1:17" x14ac:dyDescent="0.2">
      <c r="D1131" s="1" t="s">
        <v>444</v>
      </c>
      <c r="E1131" s="1">
        <v>1400015760</v>
      </c>
      <c r="G1131" s="1" t="s">
        <v>26</v>
      </c>
      <c r="I1131" s="1" t="s">
        <v>26</v>
      </c>
      <c r="K1131" s="2">
        <v>-2578650</v>
      </c>
      <c r="L1131" s="1" t="s">
        <v>23</v>
      </c>
      <c r="N1131" s="2">
        <v>-2578650</v>
      </c>
      <c r="O1131" s="1" t="s">
        <v>23</v>
      </c>
      <c r="P1131" s="1" t="s">
        <v>720</v>
      </c>
      <c r="Q1131" s="1">
        <v>1</v>
      </c>
    </row>
    <row r="1132" spans="1:17" x14ac:dyDescent="0.2">
      <c r="D1132" s="1" t="s">
        <v>444</v>
      </c>
      <c r="E1132" s="1">
        <v>1400015818</v>
      </c>
      <c r="G1132" s="1" t="s">
        <v>104</v>
      </c>
      <c r="I1132" s="1" t="s">
        <v>104</v>
      </c>
      <c r="K1132" s="2">
        <v>-652500</v>
      </c>
      <c r="L1132" s="1" t="s">
        <v>23</v>
      </c>
      <c r="N1132" s="2">
        <v>-652500</v>
      </c>
      <c r="O1132" s="1" t="s">
        <v>23</v>
      </c>
      <c r="P1132" s="1" t="s">
        <v>721</v>
      </c>
      <c r="Q1132" s="1">
        <v>1</v>
      </c>
    </row>
    <row r="1134" spans="1:17" x14ac:dyDescent="0.2">
      <c r="B1134" s="1" t="s">
        <v>32</v>
      </c>
      <c r="K1134" s="2">
        <v>-8628050</v>
      </c>
      <c r="L1134" s="1" t="s">
        <v>23</v>
      </c>
      <c r="N1134" s="2">
        <v>-8628050</v>
      </c>
      <c r="O1134" s="1" t="s">
        <v>23</v>
      </c>
    </row>
    <row r="1136" spans="1:17" x14ac:dyDescent="0.2">
      <c r="A1136" s="3"/>
      <c r="B1136" s="3" t="s">
        <v>33</v>
      </c>
      <c r="C1136" s="3" t="s">
        <v>249</v>
      </c>
      <c r="D1136" s="3"/>
      <c r="E1136" s="3"/>
      <c r="F1136" s="3"/>
      <c r="G1136" s="3"/>
      <c r="H1136" s="3"/>
      <c r="I1136" s="3"/>
      <c r="J1136" s="3"/>
      <c r="K1136" s="4">
        <v>-8628050</v>
      </c>
      <c r="L1136" s="3" t="s">
        <v>23</v>
      </c>
      <c r="M1136" s="3"/>
      <c r="N1136" s="4">
        <v>-8628050</v>
      </c>
      <c r="O1136" s="3" t="s">
        <v>23</v>
      </c>
      <c r="P1136" s="3"/>
      <c r="Q1136" s="3"/>
    </row>
    <row r="1138" spans="1:17" x14ac:dyDescent="0.2">
      <c r="A1138" s="1" t="s">
        <v>0</v>
      </c>
      <c r="F1138" s="1">
        <v>501222</v>
      </c>
    </row>
    <row r="1139" spans="1:17" x14ac:dyDescent="0.2">
      <c r="A1139" s="1" t="s">
        <v>1</v>
      </c>
      <c r="F1139" s="1" t="s">
        <v>2</v>
      </c>
    </row>
    <row r="1141" spans="1:17" x14ac:dyDescent="0.2">
      <c r="A1141" s="1" t="s">
        <v>3</v>
      </c>
      <c r="F1141" s="1" t="s">
        <v>250</v>
      </c>
    </row>
    <row r="1142" spans="1:17" x14ac:dyDescent="0.2">
      <c r="A1142" s="1" t="s">
        <v>5</v>
      </c>
      <c r="F1142" s="1" t="s">
        <v>221</v>
      </c>
    </row>
    <row r="1145" spans="1:17" x14ac:dyDescent="0.2">
      <c r="C1145" s="1" t="s">
        <v>7</v>
      </c>
      <c r="D1145" s="1" t="s">
        <v>8</v>
      </c>
      <c r="E1145" s="1" t="s">
        <v>9</v>
      </c>
      <c r="G1145" s="1" t="s">
        <v>10</v>
      </c>
      <c r="H1145" s="1" t="s">
        <v>11</v>
      </c>
      <c r="I1145" s="1" t="s">
        <v>12</v>
      </c>
      <c r="J1145" s="1" t="s">
        <v>13</v>
      </c>
      <c r="K1145" s="1" t="s">
        <v>14</v>
      </c>
      <c r="L1145" s="1" t="s">
        <v>15</v>
      </c>
      <c r="M1145" s="1" t="s">
        <v>16</v>
      </c>
      <c r="N1145" s="1" t="s">
        <v>17</v>
      </c>
      <c r="O1145" s="1" t="s">
        <v>18</v>
      </c>
      <c r="P1145" s="1" t="s">
        <v>19</v>
      </c>
      <c r="Q1145" s="1" t="s">
        <v>20</v>
      </c>
    </row>
    <row r="1147" spans="1:17" x14ac:dyDescent="0.2">
      <c r="D1147" s="1" t="s">
        <v>444</v>
      </c>
      <c r="E1147" s="1">
        <v>103527280</v>
      </c>
      <c r="G1147" s="1" t="s">
        <v>58</v>
      </c>
      <c r="I1147" s="1" t="s">
        <v>58</v>
      </c>
      <c r="K1147" s="2">
        <v>-8043566.3600000003</v>
      </c>
      <c r="L1147" s="1" t="s">
        <v>23</v>
      </c>
      <c r="N1147" s="2">
        <v>-1998401.58</v>
      </c>
      <c r="O1147" s="1" t="s">
        <v>24</v>
      </c>
      <c r="P1147" s="1" t="s">
        <v>722</v>
      </c>
      <c r="Q1147" s="1">
        <v>4.0250000000000004</v>
      </c>
    </row>
    <row r="1149" spans="1:17" x14ac:dyDescent="0.2">
      <c r="B1149" s="1" t="s">
        <v>32</v>
      </c>
      <c r="K1149" s="2">
        <v>-8043566.3600000003</v>
      </c>
      <c r="L1149" s="1" t="s">
        <v>23</v>
      </c>
      <c r="N1149" s="2">
        <v>-1998401.58</v>
      </c>
      <c r="O1149" s="1" t="s">
        <v>24</v>
      </c>
    </row>
    <row r="1151" spans="1:17" x14ac:dyDescent="0.2">
      <c r="A1151" s="3"/>
      <c r="B1151" s="3" t="s">
        <v>33</v>
      </c>
      <c r="C1151" s="3" t="s">
        <v>252</v>
      </c>
      <c r="D1151" s="3"/>
      <c r="E1151" s="3"/>
      <c r="F1151" s="3"/>
      <c r="G1151" s="3"/>
      <c r="H1151" s="3"/>
      <c r="I1151" s="3"/>
      <c r="J1151" s="3"/>
      <c r="K1151" s="4">
        <v>-8043566.3600000003</v>
      </c>
      <c r="L1151" s="3" t="s">
        <v>23</v>
      </c>
      <c r="M1151" s="3"/>
      <c r="N1151" s="4">
        <v>-1998401.58</v>
      </c>
      <c r="O1151" s="3" t="s">
        <v>24</v>
      </c>
      <c r="P1151" s="3"/>
      <c r="Q1151" s="3"/>
    </row>
    <row r="1153" spans="1:17" x14ac:dyDescent="0.2">
      <c r="A1153" s="1" t="s">
        <v>0</v>
      </c>
      <c r="F1153" s="1">
        <v>501233</v>
      </c>
    </row>
    <row r="1154" spans="1:17" x14ac:dyDescent="0.2">
      <c r="A1154" s="1" t="s">
        <v>1</v>
      </c>
      <c r="F1154" s="1" t="s">
        <v>2</v>
      </c>
    </row>
    <row r="1156" spans="1:17" x14ac:dyDescent="0.2">
      <c r="A1156" s="1" t="s">
        <v>3</v>
      </c>
      <c r="F1156" s="1" t="s">
        <v>256</v>
      </c>
    </row>
    <row r="1157" spans="1:17" x14ac:dyDescent="0.2">
      <c r="A1157" s="1" t="s">
        <v>5</v>
      </c>
      <c r="F1157" s="1" t="s">
        <v>548</v>
      </c>
    </row>
    <row r="1160" spans="1:17" x14ac:dyDescent="0.2">
      <c r="C1160" s="1" t="s">
        <v>7</v>
      </c>
      <c r="D1160" s="1" t="s">
        <v>8</v>
      </c>
      <c r="E1160" s="1" t="s">
        <v>9</v>
      </c>
      <c r="G1160" s="1" t="s">
        <v>10</v>
      </c>
      <c r="H1160" s="1" t="s">
        <v>11</v>
      </c>
      <c r="I1160" s="1" t="s">
        <v>12</v>
      </c>
      <c r="J1160" s="1" t="s">
        <v>13</v>
      </c>
      <c r="K1160" s="1" t="s">
        <v>14</v>
      </c>
      <c r="L1160" s="1" t="s">
        <v>15</v>
      </c>
      <c r="M1160" s="1" t="s">
        <v>16</v>
      </c>
      <c r="N1160" s="1" t="s">
        <v>17</v>
      </c>
      <c r="O1160" s="1" t="s">
        <v>18</v>
      </c>
      <c r="P1160" s="1" t="s">
        <v>19</v>
      </c>
      <c r="Q1160" s="1" t="s">
        <v>20</v>
      </c>
    </row>
    <row r="1162" spans="1:17" x14ac:dyDescent="0.2">
      <c r="D1162" s="1" t="s">
        <v>444</v>
      </c>
      <c r="E1162" s="1">
        <v>1400015792</v>
      </c>
      <c r="G1162" s="1" t="s">
        <v>164</v>
      </c>
      <c r="I1162" s="1" t="s">
        <v>164</v>
      </c>
      <c r="K1162" s="2">
        <v>-39689.71</v>
      </c>
      <c r="L1162" s="1" t="s">
        <v>23</v>
      </c>
      <c r="N1162" s="2">
        <v>-39689.71</v>
      </c>
      <c r="O1162" s="1" t="s">
        <v>23</v>
      </c>
      <c r="P1162" s="1" t="s">
        <v>723</v>
      </c>
      <c r="Q1162" s="1">
        <v>1</v>
      </c>
    </row>
    <row r="1164" spans="1:17" x14ac:dyDescent="0.2">
      <c r="B1164" s="1" t="s">
        <v>32</v>
      </c>
      <c r="K1164" s="2">
        <v>-39689.71</v>
      </c>
      <c r="L1164" s="1" t="s">
        <v>23</v>
      </c>
      <c r="N1164" s="2">
        <v>-39689.71</v>
      </c>
      <c r="O1164" s="1" t="s">
        <v>23</v>
      </c>
    </row>
    <row r="1166" spans="1:17" x14ac:dyDescent="0.2">
      <c r="A1166" s="3"/>
      <c r="B1166" s="3" t="s">
        <v>33</v>
      </c>
      <c r="C1166" s="3" t="s">
        <v>724</v>
      </c>
      <c r="D1166" s="3"/>
      <c r="E1166" s="3"/>
      <c r="F1166" s="3"/>
      <c r="G1166" s="3"/>
      <c r="H1166" s="3"/>
      <c r="I1166" s="3"/>
      <c r="J1166" s="3"/>
      <c r="K1166" s="4">
        <v>-39689.71</v>
      </c>
      <c r="L1166" s="3" t="s">
        <v>23</v>
      </c>
      <c r="M1166" s="3"/>
      <c r="N1166" s="4">
        <v>-39689.71</v>
      </c>
      <c r="O1166" s="3" t="s">
        <v>23</v>
      </c>
      <c r="P1166" s="3"/>
      <c r="Q1166" s="3"/>
    </row>
    <row r="1168" spans="1:17" x14ac:dyDescent="0.2">
      <c r="A1168" s="1" t="s">
        <v>0</v>
      </c>
      <c r="F1168" s="1">
        <v>501234</v>
      </c>
    </row>
    <row r="1169" spans="1:17" x14ac:dyDescent="0.2">
      <c r="A1169" s="1" t="s">
        <v>1</v>
      </c>
      <c r="F1169" s="1" t="s">
        <v>2</v>
      </c>
    </row>
    <row r="1171" spans="1:17" x14ac:dyDescent="0.2">
      <c r="A1171" s="1" t="s">
        <v>3</v>
      </c>
      <c r="F1171" s="1" t="s">
        <v>256</v>
      </c>
    </row>
    <row r="1172" spans="1:17" x14ac:dyDescent="0.2">
      <c r="A1172" s="1" t="s">
        <v>5</v>
      </c>
      <c r="F1172" s="1" t="s">
        <v>257</v>
      </c>
    </row>
    <row r="1175" spans="1:17" x14ac:dyDescent="0.2">
      <c r="C1175" s="1" t="s">
        <v>7</v>
      </c>
      <c r="D1175" s="1" t="s">
        <v>8</v>
      </c>
      <c r="E1175" s="1" t="s">
        <v>9</v>
      </c>
      <c r="G1175" s="1" t="s">
        <v>10</v>
      </c>
      <c r="H1175" s="1" t="s">
        <v>11</v>
      </c>
      <c r="I1175" s="1" t="s">
        <v>12</v>
      </c>
      <c r="J1175" s="1" t="s">
        <v>13</v>
      </c>
      <c r="K1175" s="1" t="s">
        <v>14</v>
      </c>
      <c r="L1175" s="1" t="s">
        <v>15</v>
      </c>
      <c r="M1175" s="1" t="s">
        <v>16</v>
      </c>
      <c r="N1175" s="1" t="s">
        <v>17</v>
      </c>
      <c r="O1175" s="1" t="s">
        <v>18</v>
      </c>
      <c r="P1175" s="1" t="s">
        <v>19</v>
      </c>
      <c r="Q1175" s="1" t="s">
        <v>20</v>
      </c>
    </row>
    <row r="1177" spans="1:17" x14ac:dyDescent="0.2">
      <c r="D1177" s="1" t="s">
        <v>444</v>
      </c>
      <c r="E1177" s="1">
        <v>103527164</v>
      </c>
      <c r="G1177" s="1" t="s">
        <v>130</v>
      </c>
      <c r="I1177" s="1" t="s">
        <v>130</v>
      </c>
      <c r="K1177" s="2">
        <v>-708908.88</v>
      </c>
      <c r="L1177" s="1" t="s">
        <v>23</v>
      </c>
      <c r="N1177" s="2">
        <v>-708908.88</v>
      </c>
      <c r="O1177" s="1" t="s">
        <v>23</v>
      </c>
      <c r="P1177" s="1" t="s">
        <v>725</v>
      </c>
      <c r="Q1177" s="1">
        <v>1</v>
      </c>
    </row>
    <row r="1179" spans="1:17" x14ac:dyDescent="0.2">
      <c r="B1179" s="1" t="s">
        <v>32</v>
      </c>
      <c r="K1179" s="2">
        <v>-708908.88</v>
      </c>
      <c r="L1179" s="1" t="s">
        <v>23</v>
      </c>
      <c r="N1179" s="2">
        <v>-708908.88</v>
      </c>
      <c r="O1179" s="1" t="s">
        <v>23</v>
      </c>
    </row>
    <row r="1181" spans="1:17" x14ac:dyDescent="0.2">
      <c r="A1181" s="3"/>
      <c r="B1181" s="3" t="s">
        <v>33</v>
      </c>
      <c r="C1181" s="3" t="s">
        <v>259</v>
      </c>
      <c r="D1181" s="3"/>
      <c r="E1181" s="3"/>
      <c r="F1181" s="3"/>
      <c r="G1181" s="3"/>
      <c r="H1181" s="3"/>
      <c r="I1181" s="3"/>
      <c r="J1181" s="3"/>
      <c r="K1181" s="4">
        <v>-708908.88</v>
      </c>
      <c r="L1181" s="3" t="s">
        <v>23</v>
      </c>
      <c r="M1181" s="3"/>
      <c r="N1181" s="4">
        <v>-708908.88</v>
      </c>
      <c r="O1181" s="3" t="s">
        <v>23</v>
      </c>
      <c r="P1181" s="3"/>
      <c r="Q1181" s="3"/>
    </row>
    <row r="1183" spans="1:17" x14ac:dyDescent="0.2">
      <c r="A1183" s="1" t="s">
        <v>0</v>
      </c>
      <c r="F1183" s="1">
        <v>501235</v>
      </c>
    </row>
    <row r="1184" spans="1:17" x14ac:dyDescent="0.2">
      <c r="A1184" s="1" t="s">
        <v>1</v>
      </c>
      <c r="F1184" s="1" t="s">
        <v>2</v>
      </c>
    </row>
    <row r="1186" spans="1:17" x14ac:dyDescent="0.2">
      <c r="A1186" s="1" t="s">
        <v>3</v>
      </c>
      <c r="F1186" s="1" t="s">
        <v>260</v>
      </c>
    </row>
    <row r="1187" spans="1:17" x14ac:dyDescent="0.2">
      <c r="A1187" s="1" t="s">
        <v>5</v>
      </c>
      <c r="F1187" s="1" t="s">
        <v>221</v>
      </c>
    </row>
    <row r="1190" spans="1:17" x14ac:dyDescent="0.2">
      <c r="C1190" s="1" t="s">
        <v>7</v>
      </c>
      <c r="D1190" s="1" t="s">
        <v>8</v>
      </c>
      <c r="E1190" s="1" t="s">
        <v>9</v>
      </c>
      <c r="G1190" s="1" t="s">
        <v>10</v>
      </c>
      <c r="H1190" s="1" t="s">
        <v>11</v>
      </c>
      <c r="I1190" s="1" t="s">
        <v>12</v>
      </c>
      <c r="J1190" s="1" t="s">
        <v>13</v>
      </c>
      <c r="K1190" s="1" t="s">
        <v>14</v>
      </c>
      <c r="L1190" s="1" t="s">
        <v>15</v>
      </c>
      <c r="M1190" s="1" t="s">
        <v>16</v>
      </c>
      <c r="N1190" s="1" t="s">
        <v>17</v>
      </c>
      <c r="O1190" s="1" t="s">
        <v>18</v>
      </c>
      <c r="P1190" s="1" t="s">
        <v>19</v>
      </c>
      <c r="Q1190" s="1" t="s">
        <v>20</v>
      </c>
    </row>
    <row r="1192" spans="1:17" x14ac:dyDescent="0.2">
      <c r="D1192" s="1" t="s">
        <v>444</v>
      </c>
      <c r="E1192" s="1">
        <v>1400015726</v>
      </c>
      <c r="G1192" s="1" t="s">
        <v>64</v>
      </c>
      <c r="I1192" s="1" t="s">
        <v>64</v>
      </c>
      <c r="K1192" s="2">
        <v>-1401859.07</v>
      </c>
      <c r="L1192" s="1" t="s">
        <v>23</v>
      </c>
      <c r="N1192" s="2">
        <v>-343046.39</v>
      </c>
      <c r="O1192" s="1" t="s">
        <v>24</v>
      </c>
      <c r="P1192" s="1" t="s">
        <v>726</v>
      </c>
      <c r="Q1192" s="1">
        <v>4.0865</v>
      </c>
    </row>
    <row r="1193" spans="1:17" x14ac:dyDescent="0.2">
      <c r="D1193" s="1" t="s">
        <v>444</v>
      </c>
      <c r="E1193" s="1">
        <v>1400015927</v>
      </c>
      <c r="G1193" s="1" t="s">
        <v>30</v>
      </c>
      <c r="I1193" s="1" t="s">
        <v>30</v>
      </c>
      <c r="K1193" s="2">
        <v>-214746.84</v>
      </c>
      <c r="L1193" s="1" t="s">
        <v>23</v>
      </c>
      <c r="N1193" s="2">
        <v>-53340</v>
      </c>
      <c r="O1193" s="1" t="s">
        <v>24</v>
      </c>
      <c r="P1193" s="1" t="s">
        <v>727</v>
      </c>
      <c r="Q1193" s="1">
        <v>4.0259999999999998</v>
      </c>
    </row>
    <row r="1195" spans="1:17" x14ac:dyDescent="0.2">
      <c r="B1195" s="1" t="s">
        <v>32</v>
      </c>
      <c r="K1195" s="2">
        <v>-1616605.91</v>
      </c>
      <c r="L1195" s="1" t="s">
        <v>23</v>
      </c>
      <c r="N1195" s="2">
        <v>-396386.39</v>
      </c>
      <c r="O1195" s="1" t="s">
        <v>24</v>
      </c>
    </row>
    <row r="1197" spans="1:17" x14ac:dyDescent="0.2">
      <c r="A1197" s="3"/>
      <c r="B1197" s="3" t="s">
        <v>33</v>
      </c>
      <c r="C1197" s="3" t="s">
        <v>262</v>
      </c>
      <c r="D1197" s="3"/>
      <c r="E1197" s="3"/>
      <c r="F1197" s="3"/>
      <c r="G1197" s="3"/>
      <c r="H1197" s="3"/>
      <c r="I1197" s="3"/>
      <c r="J1197" s="3"/>
      <c r="K1197" s="4">
        <v>-1616605.91</v>
      </c>
      <c r="L1197" s="3" t="s">
        <v>23</v>
      </c>
      <c r="M1197" s="3"/>
      <c r="N1197" s="4">
        <v>-396386.39</v>
      </c>
      <c r="O1197" s="3" t="s">
        <v>24</v>
      </c>
      <c r="P1197" s="3"/>
      <c r="Q1197" s="3"/>
    </row>
    <row r="1199" spans="1:17" x14ac:dyDescent="0.2">
      <c r="A1199" s="1" t="s">
        <v>0</v>
      </c>
      <c r="F1199" s="1">
        <v>501241</v>
      </c>
    </row>
    <row r="1200" spans="1:17" x14ac:dyDescent="0.2">
      <c r="A1200" s="1" t="s">
        <v>1</v>
      </c>
      <c r="F1200" s="1" t="s">
        <v>2</v>
      </c>
    </row>
    <row r="1202" spans="1:17" x14ac:dyDescent="0.2">
      <c r="A1202" s="1" t="s">
        <v>3</v>
      </c>
      <c r="F1202" s="1" t="s">
        <v>263</v>
      </c>
    </row>
    <row r="1203" spans="1:17" x14ac:dyDescent="0.2">
      <c r="A1203" s="1" t="s">
        <v>5</v>
      </c>
      <c r="F1203" s="1" t="s">
        <v>264</v>
      </c>
    </row>
    <row r="1206" spans="1:17" x14ac:dyDescent="0.2">
      <c r="C1206" s="1" t="s">
        <v>7</v>
      </c>
      <c r="D1206" s="1" t="s">
        <v>8</v>
      </c>
      <c r="E1206" s="1" t="s">
        <v>9</v>
      </c>
      <c r="G1206" s="1" t="s">
        <v>10</v>
      </c>
      <c r="H1206" s="1" t="s">
        <v>11</v>
      </c>
      <c r="I1206" s="1" t="s">
        <v>12</v>
      </c>
      <c r="J1206" s="1" t="s">
        <v>13</v>
      </c>
      <c r="K1206" s="1" t="s">
        <v>14</v>
      </c>
      <c r="L1206" s="1" t="s">
        <v>15</v>
      </c>
      <c r="M1206" s="1" t="s">
        <v>16</v>
      </c>
      <c r="N1206" s="1" t="s">
        <v>17</v>
      </c>
      <c r="O1206" s="1" t="s">
        <v>18</v>
      </c>
      <c r="P1206" s="1" t="s">
        <v>19</v>
      </c>
      <c r="Q1206" s="1" t="s">
        <v>20</v>
      </c>
    </row>
    <row r="1208" spans="1:17" x14ac:dyDescent="0.2">
      <c r="D1208" s="1" t="s">
        <v>444</v>
      </c>
      <c r="E1208" s="1">
        <v>1400015725</v>
      </c>
      <c r="G1208" s="1" t="s">
        <v>104</v>
      </c>
      <c r="I1208" s="1" t="s">
        <v>104</v>
      </c>
      <c r="K1208" s="2">
        <v>-11076160.1</v>
      </c>
      <c r="L1208" s="1" t="s">
        <v>23</v>
      </c>
      <c r="N1208" s="2">
        <v>-2709763.94</v>
      </c>
      <c r="O1208" s="1" t="s">
        <v>24</v>
      </c>
      <c r="P1208" s="1" t="s">
        <v>728</v>
      </c>
      <c r="Q1208" s="1">
        <v>4.0875000000000004</v>
      </c>
    </row>
    <row r="1209" spans="1:17" x14ac:dyDescent="0.2">
      <c r="D1209" s="1" t="s">
        <v>444</v>
      </c>
      <c r="E1209" s="1">
        <v>1400015725</v>
      </c>
      <c r="G1209" s="1" t="s">
        <v>104</v>
      </c>
      <c r="I1209" s="1" t="s">
        <v>104</v>
      </c>
      <c r="K1209" s="2">
        <v>-5536400.54</v>
      </c>
      <c r="L1209" s="1" t="s">
        <v>23</v>
      </c>
      <c r="N1209" s="2">
        <v>-1354471.08</v>
      </c>
      <c r="O1209" s="1" t="s">
        <v>24</v>
      </c>
      <c r="P1209" s="1" t="s">
        <v>729</v>
      </c>
      <c r="Q1209" s="1">
        <v>4.0875000000000004</v>
      </c>
    </row>
    <row r="1210" spans="1:17" x14ac:dyDescent="0.2">
      <c r="D1210" s="1" t="s">
        <v>444</v>
      </c>
      <c r="E1210" s="1">
        <v>1400015780</v>
      </c>
      <c r="G1210" s="1" t="s">
        <v>67</v>
      </c>
      <c r="I1210" s="1" t="s">
        <v>67</v>
      </c>
      <c r="K1210" s="2">
        <v>-3679770.28</v>
      </c>
      <c r="L1210" s="1" t="s">
        <v>23</v>
      </c>
      <c r="N1210" s="2">
        <v>-911285.36</v>
      </c>
      <c r="O1210" s="1" t="s">
        <v>24</v>
      </c>
      <c r="P1210" s="1" t="s">
        <v>730</v>
      </c>
      <c r="Q1210" s="1">
        <v>4.0380000000000003</v>
      </c>
    </row>
    <row r="1212" spans="1:17" x14ac:dyDescent="0.2">
      <c r="B1212" s="1" t="s">
        <v>32</v>
      </c>
      <c r="K1212" s="2">
        <v>-20292330.920000002</v>
      </c>
      <c r="L1212" s="1" t="s">
        <v>23</v>
      </c>
      <c r="N1212" s="2">
        <v>-4975520.38</v>
      </c>
      <c r="O1212" s="1" t="s">
        <v>24</v>
      </c>
    </row>
    <row r="1214" spans="1:17" x14ac:dyDescent="0.2">
      <c r="A1214" s="3"/>
      <c r="B1214" s="3" t="s">
        <v>33</v>
      </c>
      <c r="C1214" s="3" t="s">
        <v>268</v>
      </c>
      <c r="D1214" s="3"/>
      <c r="E1214" s="3"/>
      <c r="F1214" s="3"/>
      <c r="G1214" s="3"/>
      <c r="H1214" s="3"/>
      <c r="I1214" s="3"/>
      <c r="J1214" s="3"/>
      <c r="K1214" s="4">
        <v>-20292330.920000002</v>
      </c>
      <c r="L1214" s="3" t="s">
        <v>23</v>
      </c>
      <c r="M1214" s="3"/>
      <c r="N1214" s="4">
        <v>-4975520.38</v>
      </c>
      <c r="O1214" s="3" t="s">
        <v>24</v>
      </c>
      <c r="P1214" s="3"/>
      <c r="Q1214" s="3"/>
    </row>
    <row r="1216" spans="1:17" x14ac:dyDescent="0.2">
      <c r="A1216" s="1" t="s">
        <v>0</v>
      </c>
      <c r="F1216" s="1">
        <v>501248</v>
      </c>
    </row>
    <row r="1217" spans="1:17" x14ac:dyDescent="0.2">
      <c r="A1217" s="1" t="s">
        <v>1</v>
      </c>
      <c r="F1217" s="1" t="s">
        <v>2</v>
      </c>
    </row>
    <row r="1219" spans="1:17" x14ac:dyDescent="0.2">
      <c r="A1219" s="1" t="s">
        <v>3</v>
      </c>
      <c r="F1219" s="1" t="s">
        <v>731</v>
      </c>
    </row>
    <row r="1220" spans="1:17" x14ac:dyDescent="0.2">
      <c r="A1220" s="1" t="s">
        <v>5</v>
      </c>
      <c r="F1220" s="1" t="s">
        <v>648</v>
      </c>
    </row>
    <row r="1223" spans="1:17" x14ac:dyDescent="0.2">
      <c r="C1223" s="1" t="s">
        <v>7</v>
      </c>
      <c r="D1223" s="1" t="s">
        <v>8</v>
      </c>
      <c r="E1223" s="1" t="s">
        <v>9</v>
      </c>
      <c r="G1223" s="1" t="s">
        <v>10</v>
      </c>
      <c r="H1223" s="1" t="s">
        <v>11</v>
      </c>
      <c r="I1223" s="1" t="s">
        <v>12</v>
      </c>
      <c r="J1223" s="1" t="s">
        <v>13</v>
      </c>
      <c r="K1223" s="1" t="s">
        <v>14</v>
      </c>
      <c r="L1223" s="1" t="s">
        <v>15</v>
      </c>
      <c r="M1223" s="1" t="s">
        <v>16</v>
      </c>
      <c r="N1223" s="1" t="s">
        <v>17</v>
      </c>
      <c r="O1223" s="1" t="s">
        <v>18</v>
      </c>
      <c r="P1223" s="1" t="s">
        <v>19</v>
      </c>
      <c r="Q1223" s="1" t="s">
        <v>20</v>
      </c>
    </row>
    <row r="1225" spans="1:17" x14ac:dyDescent="0.2">
      <c r="D1225" s="1" t="s">
        <v>444</v>
      </c>
      <c r="E1225" s="1">
        <v>103527503</v>
      </c>
      <c r="G1225" s="1" t="s">
        <v>44</v>
      </c>
      <c r="I1225" s="1" t="s">
        <v>44</v>
      </c>
      <c r="K1225" s="2">
        <v>-7481.54</v>
      </c>
      <c r="L1225" s="1" t="s">
        <v>23</v>
      </c>
      <c r="N1225" s="2">
        <v>-2591.0100000000002</v>
      </c>
      <c r="O1225" s="1" t="s">
        <v>603</v>
      </c>
      <c r="P1225" s="1" t="s">
        <v>732</v>
      </c>
      <c r="Q1225" s="1">
        <v>2.8875000000000002</v>
      </c>
    </row>
    <row r="1227" spans="1:17" x14ac:dyDescent="0.2">
      <c r="B1227" s="1" t="s">
        <v>32</v>
      </c>
      <c r="K1227" s="2">
        <v>-7481.54</v>
      </c>
      <c r="L1227" s="1" t="s">
        <v>23</v>
      </c>
      <c r="N1227" s="2">
        <v>-2591.0100000000002</v>
      </c>
      <c r="O1227" s="1" t="s">
        <v>603</v>
      </c>
    </row>
    <row r="1229" spans="1:17" x14ac:dyDescent="0.2">
      <c r="A1229" s="3"/>
      <c r="B1229" s="3" t="s">
        <v>33</v>
      </c>
      <c r="C1229" s="3" t="s">
        <v>733</v>
      </c>
      <c r="D1229" s="3"/>
      <c r="E1229" s="3"/>
      <c r="F1229" s="3"/>
      <c r="G1229" s="3"/>
      <c r="H1229" s="3"/>
      <c r="I1229" s="3"/>
      <c r="J1229" s="3"/>
      <c r="K1229" s="4">
        <v>-7481.54</v>
      </c>
      <c r="L1229" s="3" t="s">
        <v>23</v>
      </c>
      <c r="M1229" s="3"/>
      <c r="N1229" s="4">
        <v>-2591.0100000000002</v>
      </c>
      <c r="O1229" s="3" t="s">
        <v>603</v>
      </c>
      <c r="P1229" s="3"/>
      <c r="Q1229" s="3"/>
    </row>
    <row r="1231" spans="1:17" x14ac:dyDescent="0.2">
      <c r="A1231" s="1" t="s">
        <v>0</v>
      </c>
      <c r="F1231" s="1">
        <v>501249</v>
      </c>
    </row>
    <row r="1232" spans="1:17" x14ac:dyDescent="0.2">
      <c r="A1232" s="1" t="s">
        <v>1</v>
      </c>
      <c r="F1232" s="1" t="s">
        <v>2</v>
      </c>
    </row>
    <row r="1234" spans="1:17" x14ac:dyDescent="0.2">
      <c r="A1234" s="1" t="s">
        <v>3</v>
      </c>
      <c r="F1234" s="1" t="s">
        <v>731</v>
      </c>
    </row>
    <row r="1235" spans="1:17" x14ac:dyDescent="0.2">
      <c r="A1235" s="1" t="s">
        <v>5</v>
      </c>
      <c r="F1235" s="1" t="s">
        <v>734</v>
      </c>
    </row>
    <row r="1238" spans="1:17" x14ac:dyDescent="0.2">
      <c r="C1238" s="1" t="s">
        <v>7</v>
      </c>
      <c r="D1238" s="1" t="s">
        <v>8</v>
      </c>
      <c r="E1238" s="1" t="s">
        <v>9</v>
      </c>
      <c r="G1238" s="1" t="s">
        <v>10</v>
      </c>
      <c r="H1238" s="1" t="s">
        <v>11</v>
      </c>
      <c r="I1238" s="1" t="s">
        <v>12</v>
      </c>
      <c r="J1238" s="1" t="s">
        <v>13</v>
      </c>
      <c r="K1238" s="1" t="s">
        <v>14</v>
      </c>
      <c r="L1238" s="1" t="s">
        <v>15</v>
      </c>
      <c r="M1238" s="1" t="s">
        <v>16</v>
      </c>
      <c r="N1238" s="1" t="s">
        <v>17</v>
      </c>
      <c r="O1238" s="1" t="s">
        <v>18</v>
      </c>
      <c r="P1238" s="1" t="s">
        <v>19</v>
      </c>
      <c r="Q1238" s="1" t="s">
        <v>20</v>
      </c>
    </row>
    <row r="1240" spans="1:17" x14ac:dyDescent="0.2">
      <c r="D1240" s="1" t="s">
        <v>444</v>
      </c>
      <c r="E1240" s="1">
        <v>103527503</v>
      </c>
      <c r="G1240" s="1" t="s">
        <v>44</v>
      </c>
      <c r="I1240" s="1" t="s">
        <v>44</v>
      </c>
      <c r="K1240" s="2">
        <v>-4987.6899999999996</v>
      </c>
      <c r="L1240" s="1" t="s">
        <v>23</v>
      </c>
      <c r="N1240" s="2">
        <v>-1727.34</v>
      </c>
      <c r="O1240" s="1" t="s">
        <v>603</v>
      </c>
      <c r="P1240" s="1" t="s">
        <v>735</v>
      </c>
      <c r="Q1240" s="1">
        <v>2.8875000000000002</v>
      </c>
    </row>
    <row r="1242" spans="1:17" x14ac:dyDescent="0.2">
      <c r="B1242" s="1" t="s">
        <v>32</v>
      </c>
      <c r="K1242" s="2">
        <v>-4987.6899999999996</v>
      </c>
      <c r="L1242" s="1" t="s">
        <v>23</v>
      </c>
      <c r="N1242" s="2">
        <v>-1727.34</v>
      </c>
      <c r="O1242" s="1" t="s">
        <v>603</v>
      </c>
    </row>
    <row r="1244" spans="1:17" x14ac:dyDescent="0.2">
      <c r="A1244" s="3"/>
      <c r="B1244" s="3" t="s">
        <v>33</v>
      </c>
      <c r="C1244" s="3" t="s">
        <v>736</v>
      </c>
      <c r="D1244" s="3"/>
      <c r="E1244" s="3"/>
      <c r="F1244" s="3"/>
      <c r="G1244" s="3"/>
      <c r="H1244" s="3"/>
      <c r="I1244" s="3"/>
      <c r="J1244" s="3"/>
      <c r="K1244" s="4">
        <v>-4987.6899999999996</v>
      </c>
      <c r="L1244" s="3" t="s">
        <v>23</v>
      </c>
      <c r="M1244" s="3"/>
      <c r="N1244" s="4">
        <v>-1727.34</v>
      </c>
      <c r="O1244" s="3" t="s">
        <v>603</v>
      </c>
      <c r="P1244" s="3"/>
      <c r="Q1244" s="3"/>
    </row>
    <row r="1246" spans="1:17" x14ac:dyDescent="0.2">
      <c r="A1246" s="1" t="s">
        <v>0</v>
      </c>
      <c r="F1246" s="1">
        <v>501250</v>
      </c>
    </row>
    <row r="1247" spans="1:17" x14ac:dyDescent="0.2">
      <c r="A1247" s="1" t="s">
        <v>1</v>
      </c>
      <c r="F1247" s="1" t="s">
        <v>2</v>
      </c>
    </row>
    <row r="1249" spans="1:17" x14ac:dyDescent="0.2">
      <c r="A1249" s="1" t="s">
        <v>3</v>
      </c>
      <c r="F1249" s="1" t="s">
        <v>731</v>
      </c>
    </row>
    <row r="1250" spans="1:17" x14ac:dyDescent="0.2">
      <c r="A1250" s="1" t="s">
        <v>5</v>
      </c>
      <c r="F1250" s="1" t="s">
        <v>737</v>
      </c>
    </row>
    <row r="1253" spans="1:17" x14ac:dyDescent="0.2">
      <c r="C1253" s="1" t="s">
        <v>7</v>
      </c>
      <c r="D1253" s="1" t="s">
        <v>8</v>
      </c>
      <c r="E1253" s="1" t="s">
        <v>9</v>
      </c>
      <c r="G1253" s="1" t="s">
        <v>10</v>
      </c>
      <c r="H1253" s="1" t="s">
        <v>11</v>
      </c>
      <c r="I1253" s="1" t="s">
        <v>12</v>
      </c>
      <c r="J1253" s="1" t="s">
        <v>13</v>
      </c>
      <c r="K1253" s="1" t="s">
        <v>14</v>
      </c>
      <c r="L1253" s="1" t="s">
        <v>15</v>
      </c>
      <c r="M1253" s="1" t="s">
        <v>16</v>
      </c>
      <c r="N1253" s="1" t="s">
        <v>17</v>
      </c>
      <c r="O1253" s="1" t="s">
        <v>18</v>
      </c>
      <c r="P1253" s="1" t="s">
        <v>19</v>
      </c>
      <c r="Q1253" s="1" t="s">
        <v>20</v>
      </c>
    </row>
    <row r="1255" spans="1:17" x14ac:dyDescent="0.2">
      <c r="D1255" s="1" t="s">
        <v>444</v>
      </c>
      <c r="E1255" s="1">
        <v>103527503</v>
      </c>
      <c r="G1255" s="1" t="s">
        <v>44</v>
      </c>
      <c r="I1255" s="1" t="s">
        <v>44</v>
      </c>
      <c r="K1255" s="2">
        <v>-16344.55</v>
      </c>
      <c r="L1255" s="1" t="s">
        <v>23</v>
      </c>
      <c r="N1255" s="2">
        <v>-5660.45</v>
      </c>
      <c r="O1255" s="1" t="s">
        <v>603</v>
      </c>
      <c r="P1255" s="1" t="s">
        <v>738</v>
      </c>
      <c r="Q1255" s="1">
        <v>2.8875000000000002</v>
      </c>
    </row>
    <row r="1257" spans="1:17" x14ac:dyDescent="0.2">
      <c r="B1257" s="1" t="s">
        <v>32</v>
      </c>
      <c r="K1257" s="2">
        <v>-16344.55</v>
      </c>
      <c r="L1257" s="1" t="s">
        <v>23</v>
      </c>
      <c r="N1257" s="2">
        <v>-5660.45</v>
      </c>
      <c r="O1257" s="1" t="s">
        <v>603</v>
      </c>
    </row>
    <row r="1259" spans="1:17" x14ac:dyDescent="0.2">
      <c r="A1259" s="3"/>
      <c r="B1259" s="3" t="s">
        <v>33</v>
      </c>
      <c r="C1259" s="3" t="s">
        <v>739</v>
      </c>
      <c r="D1259" s="3"/>
      <c r="E1259" s="3"/>
      <c r="F1259" s="3"/>
      <c r="G1259" s="3"/>
      <c r="H1259" s="3"/>
      <c r="I1259" s="3"/>
      <c r="J1259" s="3"/>
      <c r="K1259" s="4">
        <v>-16344.55</v>
      </c>
      <c r="L1259" s="3" t="s">
        <v>23</v>
      </c>
      <c r="M1259" s="3"/>
      <c r="N1259" s="4">
        <v>-5660.45</v>
      </c>
      <c r="O1259" s="3" t="s">
        <v>603</v>
      </c>
      <c r="P1259" s="3"/>
      <c r="Q1259" s="3"/>
    </row>
    <row r="1261" spans="1:17" x14ac:dyDescent="0.2">
      <c r="A1261" s="1" t="s">
        <v>0</v>
      </c>
      <c r="F1261" s="1">
        <v>501251</v>
      </c>
    </row>
    <row r="1262" spans="1:17" x14ac:dyDescent="0.2">
      <c r="A1262" s="1" t="s">
        <v>1</v>
      </c>
      <c r="F1262" s="1" t="s">
        <v>2</v>
      </c>
    </row>
    <row r="1264" spans="1:17" x14ac:dyDescent="0.2">
      <c r="A1264" s="1" t="s">
        <v>3</v>
      </c>
      <c r="F1264" s="1" t="s">
        <v>740</v>
      </c>
    </row>
    <row r="1265" spans="1:17" x14ac:dyDescent="0.2">
      <c r="A1265" s="1" t="s">
        <v>5</v>
      </c>
      <c r="F1265" s="1" t="s">
        <v>548</v>
      </c>
    </row>
    <row r="1268" spans="1:17" x14ac:dyDescent="0.2">
      <c r="C1268" s="1" t="s">
        <v>7</v>
      </c>
      <c r="D1268" s="1" t="s">
        <v>8</v>
      </c>
      <c r="E1268" s="1" t="s">
        <v>9</v>
      </c>
      <c r="G1268" s="1" t="s">
        <v>10</v>
      </c>
      <c r="H1268" s="1" t="s">
        <v>11</v>
      </c>
      <c r="I1268" s="1" t="s">
        <v>12</v>
      </c>
      <c r="J1268" s="1" t="s">
        <v>13</v>
      </c>
      <c r="K1268" s="1" t="s">
        <v>14</v>
      </c>
      <c r="L1268" s="1" t="s">
        <v>15</v>
      </c>
      <c r="M1268" s="1" t="s">
        <v>16</v>
      </c>
      <c r="N1268" s="1" t="s">
        <v>17</v>
      </c>
      <c r="O1268" s="1" t="s">
        <v>18</v>
      </c>
      <c r="P1268" s="1" t="s">
        <v>19</v>
      </c>
      <c r="Q1268" s="1" t="s">
        <v>20</v>
      </c>
    </row>
    <row r="1270" spans="1:17" x14ac:dyDescent="0.2">
      <c r="D1270" s="1" t="s">
        <v>444</v>
      </c>
      <c r="E1270" s="1">
        <v>103527501</v>
      </c>
      <c r="G1270" s="1" t="s">
        <v>44</v>
      </c>
      <c r="I1270" s="1" t="s">
        <v>44</v>
      </c>
      <c r="K1270" s="2">
        <v>-12186.46</v>
      </c>
      <c r="L1270" s="1" t="s">
        <v>23</v>
      </c>
      <c r="N1270" s="2">
        <v>-4220.42</v>
      </c>
      <c r="O1270" s="1" t="s">
        <v>603</v>
      </c>
      <c r="P1270" s="1" t="s">
        <v>741</v>
      </c>
      <c r="Q1270" s="1">
        <v>2.8875000000000002</v>
      </c>
    </row>
    <row r="1271" spans="1:17" x14ac:dyDescent="0.2">
      <c r="D1271" s="1" t="s">
        <v>444</v>
      </c>
      <c r="E1271" s="1">
        <v>103527504</v>
      </c>
      <c r="G1271" s="1" t="s">
        <v>46</v>
      </c>
      <c r="I1271" s="1" t="s">
        <v>46</v>
      </c>
      <c r="K1271" s="2">
        <v>-1310.57</v>
      </c>
      <c r="L1271" s="1" t="s">
        <v>23</v>
      </c>
      <c r="N1271" s="1">
        <v>-454.68</v>
      </c>
      <c r="O1271" s="1" t="s">
        <v>603</v>
      </c>
      <c r="P1271" s="1" t="s">
        <v>741</v>
      </c>
      <c r="Q1271" s="1">
        <v>2.8824000000000001</v>
      </c>
    </row>
    <row r="1273" spans="1:17" x14ac:dyDescent="0.2">
      <c r="B1273" s="1" t="s">
        <v>32</v>
      </c>
      <c r="K1273" s="2">
        <v>-13497.03</v>
      </c>
      <c r="L1273" s="1" t="s">
        <v>23</v>
      </c>
      <c r="N1273" s="2">
        <v>-4675.1000000000004</v>
      </c>
      <c r="O1273" s="1" t="s">
        <v>603</v>
      </c>
    </row>
    <row r="1275" spans="1:17" x14ac:dyDescent="0.2">
      <c r="A1275" s="3"/>
      <c r="B1275" s="3" t="s">
        <v>33</v>
      </c>
      <c r="C1275" s="3" t="s">
        <v>742</v>
      </c>
      <c r="D1275" s="3"/>
      <c r="E1275" s="3"/>
      <c r="F1275" s="3"/>
      <c r="G1275" s="3"/>
      <c r="H1275" s="3"/>
      <c r="I1275" s="3"/>
      <c r="J1275" s="3"/>
      <c r="K1275" s="4">
        <v>-13497.03</v>
      </c>
      <c r="L1275" s="3" t="s">
        <v>23</v>
      </c>
      <c r="M1275" s="3"/>
      <c r="N1275" s="4">
        <v>-4675.1000000000004</v>
      </c>
      <c r="O1275" s="3" t="s">
        <v>603</v>
      </c>
      <c r="P1275" s="3"/>
      <c r="Q1275" s="3"/>
    </row>
    <row r="1277" spans="1:17" x14ac:dyDescent="0.2">
      <c r="A1277" s="1" t="s">
        <v>0</v>
      </c>
      <c r="F1277" s="1">
        <v>501252</v>
      </c>
    </row>
    <row r="1278" spans="1:17" x14ac:dyDescent="0.2">
      <c r="A1278" s="1" t="s">
        <v>1</v>
      </c>
      <c r="F1278" s="1" t="s">
        <v>2</v>
      </c>
    </row>
    <row r="1280" spans="1:17" x14ac:dyDescent="0.2">
      <c r="A1280" s="1" t="s">
        <v>3</v>
      </c>
      <c r="F1280" s="1" t="s">
        <v>743</v>
      </c>
    </row>
    <row r="1281" spans="1:17" x14ac:dyDescent="0.2">
      <c r="A1281" s="1" t="s">
        <v>5</v>
      </c>
      <c r="F1281" s="1" t="s">
        <v>514</v>
      </c>
    </row>
    <row r="1284" spans="1:17" x14ac:dyDescent="0.2">
      <c r="C1284" s="1" t="s">
        <v>7</v>
      </c>
      <c r="D1284" s="1" t="s">
        <v>8</v>
      </c>
      <c r="E1284" s="1" t="s">
        <v>9</v>
      </c>
      <c r="G1284" s="1" t="s">
        <v>10</v>
      </c>
      <c r="H1284" s="1" t="s">
        <v>11</v>
      </c>
      <c r="I1284" s="1" t="s">
        <v>12</v>
      </c>
      <c r="J1284" s="1" t="s">
        <v>13</v>
      </c>
      <c r="K1284" s="1" t="s">
        <v>14</v>
      </c>
      <c r="L1284" s="1" t="s">
        <v>15</v>
      </c>
      <c r="M1284" s="1" t="s">
        <v>16</v>
      </c>
      <c r="N1284" s="1" t="s">
        <v>17</v>
      </c>
      <c r="O1284" s="1" t="s">
        <v>18</v>
      </c>
      <c r="P1284" s="1" t="s">
        <v>19</v>
      </c>
      <c r="Q1284" s="1" t="s">
        <v>20</v>
      </c>
    </row>
    <row r="1286" spans="1:17" x14ac:dyDescent="0.2">
      <c r="D1286" s="1" t="s">
        <v>444</v>
      </c>
      <c r="E1286" s="1">
        <v>103527500</v>
      </c>
      <c r="G1286" s="1" t="s">
        <v>44</v>
      </c>
      <c r="I1286" s="1" t="s">
        <v>44</v>
      </c>
      <c r="K1286" s="2">
        <v>-17007.11</v>
      </c>
      <c r="L1286" s="1" t="s">
        <v>23</v>
      </c>
      <c r="N1286" s="2">
        <v>-5889.91</v>
      </c>
      <c r="O1286" s="1" t="s">
        <v>603</v>
      </c>
      <c r="P1286" s="1" t="s">
        <v>744</v>
      </c>
      <c r="Q1286" s="1">
        <v>2.8875000000000002</v>
      </c>
    </row>
    <row r="1287" spans="1:17" x14ac:dyDescent="0.2">
      <c r="D1287" s="1" t="s">
        <v>444</v>
      </c>
      <c r="E1287" s="1">
        <v>103527504</v>
      </c>
      <c r="G1287" s="1" t="s">
        <v>46</v>
      </c>
      <c r="I1287" s="1" t="s">
        <v>46</v>
      </c>
      <c r="K1287" s="2">
        <v>-1636.45</v>
      </c>
      <c r="L1287" s="1" t="s">
        <v>23</v>
      </c>
      <c r="N1287" s="1">
        <v>-567.74</v>
      </c>
      <c r="O1287" s="1" t="s">
        <v>603</v>
      </c>
      <c r="P1287" s="1" t="s">
        <v>744</v>
      </c>
      <c r="Q1287" s="1">
        <v>2.88239</v>
      </c>
    </row>
    <row r="1289" spans="1:17" x14ac:dyDescent="0.2">
      <c r="B1289" s="1" t="s">
        <v>32</v>
      </c>
      <c r="K1289" s="2">
        <v>-18643.560000000001</v>
      </c>
      <c r="L1289" s="1" t="s">
        <v>23</v>
      </c>
      <c r="N1289" s="2">
        <v>-6457.65</v>
      </c>
      <c r="O1289" s="1" t="s">
        <v>603</v>
      </c>
    </row>
    <row r="1291" spans="1:17" x14ac:dyDescent="0.2">
      <c r="A1291" s="3"/>
      <c r="B1291" s="3" t="s">
        <v>33</v>
      </c>
      <c r="C1291" s="3" t="s">
        <v>745</v>
      </c>
      <c r="D1291" s="3"/>
      <c r="E1291" s="3"/>
      <c r="F1291" s="3"/>
      <c r="G1291" s="3"/>
      <c r="H1291" s="3"/>
      <c r="I1291" s="3"/>
      <c r="J1291" s="3"/>
      <c r="K1291" s="4">
        <v>-18643.560000000001</v>
      </c>
      <c r="L1291" s="3" t="s">
        <v>23</v>
      </c>
      <c r="M1291" s="3"/>
      <c r="N1291" s="4">
        <v>-6457.65</v>
      </c>
      <c r="O1291" s="3" t="s">
        <v>603</v>
      </c>
      <c r="P1291" s="3"/>
      <c r="Q1291" s="3"/>
    </row>
    <row r="1293" spans="1:17" x14ac:dyDescent="0.2">
      <c r="A1293" s="1" t="s">
        <v>0</v>
      </c>
      <c r="F1293" s="1">
        <v>501253</v>
      </c>
    </row>
    <row r="1294" spans="1:17" x14ac:dyDescent="0.2">
      <c r="A1294" s="1" t="s">
        <v>1</v>
      </c>
      <c r="F1294" s="1" t="s">
        <v>2</v>
      </c>
    </row>
    <row r="1296" spans="1:17" x14ac:dyDescent="0.2">
      <c r="A1296" s="1" t="s">
        <v>3</v>
      </c>
      <c r="F1296" s="1" t="s">
        <v>746</v>
      </c>
    </row>
    <row r="1297" spans="1:17" x14ac:dyDescent="0.2">
      <c r="A1297" s="1" t="s">
        <v>5</v>
      </c>
      <c r="F1297" s="1" t="s">
        <v>514</v>
      </c>
    </row>
    <row r="1300" spans="1:17" x14ac:dyDescent="0.2">
      <c r="C1300" s="1" t="s">
        <v>7</v>
      </c>
      <c r="D1300" s="1" t="s">
        <v>8</v>
      </c>
      <c r="E1300" s="1" t="s">
        <v>9</v>
      </c>
      <c r="G1300" s="1" t="s">
        <v>10</v>
      </c>
      <c r="H1300" s="1" t="s">
        <v>11</v>
      </c>
      <c r="I1300" s="1" t="s">
        <v>12</v>
      </c>
      <c r="J1300" s="1" t="s">
        <v>13</v>
      </c>
      <c r="K1300" s="1" t="s">
        <v>14</v>
      </c>
      <c r="L1300" s="1" t="s">
        <v>15</v>
      </c>
      <c r="M1300" s="1" t="s">
        <v>16</v>
      </c>
      <c r="N1300" s="1" t="s">
        <v>17</v>
      </c>
      <c r="O1300" s="1" t="s">
        <v>18</v>
      </c>
      <c r="P1300" s="1" t="s">
        <v>19</v>
      </c>
      <c r="Q1300" s="1" t="s">
        <v>20</v>
      </c>
    </row>
    <row r="1302" spans="1:17" x14ac:dyDescent="0.2">
      <c r="D1302" s="1" t="s">
        <v>444</v>
      </c>
      <c r="E1302" s="1">
        <v>103527502</v>
      </c>
      <c r="G1302" s="1" t="s">
        <v>44</v>
      </c>
      <c r="I1302" s="1" t="s">
        <v>44</v>
      </c>
      <c r="K1302" s="2">
        <v>-16260.12</v>
      </c>
      <c r="L1302" s="1" t="s">
        <v>23</v>
      </c>
      <c r="N1302" s="2">
        <v>-5631.21</v>
      </c>
      <c r="O1302" s="1" t="s">
        <v>603</v>
      </c>
      <c r="P1302" s="1" t="s">
        <v>747</v>
      </c>
      <c r="Q1302" s="1">
        <v>2.8875000000000002</v>
      </c>
    </row>
    <row r="1303" spans="1:17" x14ac:dyDescent="0.2">
      <c r="D1303" s="1" t="s">
        <v>444</v>
      </c>
      <c r="E1303" s="1">
        <v>103527504</v>
      </c>
      <c r="G1303" s="1" t="s">
        <v>46</v>
      </c>
      <c r="I1303" s="1" t="s">
        <v>46</v>
      </c>
      <c r="K1303" s="2">
        <v>-1177.55</v>
      </c>
      <c r="L1303" s="1" t="s">
        <v>23</v>
      </c>
      <c r="N1303" s="1">
        <v>-408.53</v>
      </c>
      <c r="O1303" s="1" t="s">
        <v>603</v>
      </c>
      <c r="P1303" s="1" t="s">
        <v>747</v>
      </c>
      <c r="Q1303" s="1">
        <v>2.8824100000000001</v>
      </c>
    </row>
    <row r="1304" spans="1:17" x14ac:dyDescent="0.2">
      <c r="D1304" s="1" t="s">
        <v>444</v>
      </c>
      <c r="E1304" s="1">
        <v>103527504</v>
      </c>
      <c r="G1304" s="1" t="s">
        <v>46</v>
      </c>
      <c r="I1304" s="1" t="s">
        <v>46</v>
      </c>
      <c r="K1304" s="1">
        <v>-43.24</v>
      </c>
      <c r="L1304" s="1" t="s">
        <v>23</v>
      </c>
      <c r="N1304" s="1">
        <v>-15</v>
      </c>
      <c r="O1304" s="1" t="s">
        <v>603</v>
      </c>
      <c r="P1304" s="1" t="s">
        <v>747</v>
      </c>
      <c r="Q1304" s="1">
        <v>2.8826700000000001</v>
      </c>
    </row>
    <row r="1306" spans="1:17" x14ac:dyDescent="0.2">
      <c r="B1306" s="1" t="s">
        <v>32</v>
      </c>
      <c r="K1306" s="2">
        <v>-17480.91</v>
      </c>
      <c r="L1306" s="1" t="s">
        <v>23</v>
      </c>
      <c r="N1306" s="2">
        <v>-6054.74</v>
      </c>
      <c r="O1306" s="1" t="s">
        <v>603</v>
      </c>
    </row>
    <row r="1308" spans="1:17" x14ac:dyDescent="0.2">
      <c r="A1308" s="3"/>
      <c r="B1308" s="3" t="s">
        <v>33</v>
      </c>
      <c r="C1308" s="3" t="s">
        <v>748</v>
      </c>
      <c r="D1308" s="3"/>
      <c r="E1308" s="3"/>
      <c r="F1308" s="3"/>
      <c r="G1308" s="3"/>
      <c r="H1308" s="3"/>
      <c r="I1308" s="3"/>
      <c r="J1308" s="3"/>
      <c r="K1308" s="4">
        <v>-17480.91</v>
      </c>
      <c r="L1308" s="3" t="s">
        <v>23</v>
      </c>
      <c r="M1308" s="3"/>
      <c r="N1308" s="4">
        <v>-6054.74</v>
      </c>
      <c r="O1308" s="3" t="s">
        <v>603</v>
      </c>
      <c r="P1308" s="3"/>
      <c r="Q1308" s="3"/>
    </row>
    <row r="1310" spans="1:17" x14ac:dyDescent="0.2">
      <c r="A1310" s="1" t="s">
        <v>0</v>
      </c>
      <c r="F1310" s="1">
        <v>501256</v>
      </c>
    </row>
    <row r="1311" spans="1:17" x14ac:dyDescent="0.2">
      <c r="A1311" s="1" t="s">
        <v>1</v>
      </c>
      <c r="F1311" s="1" t="s">
        <v>2</v>
      </c>
    </row>
    <row r="1313" spans="1:17" x14ac:dyDescent="0.2">
      <c r="A1313" s="1" t="s">
        <v>3</v>
      </c>
      <c r="F1313" s="1" t="s">
        <v>749</v>
      </c>
    </row>
    <row r="1314" spans="1:17" x14ac:dyDescent="0.2">
      <c r="A1314" s="1" t="s">
        <v>5</v>
      </c>
      <c r="F1314" s="1" t="s">
        <v>514</v>
      </c>
    </row>
    <row r="1317" spans="1:17" x14ac:dyDescent="0.2">
      <c r="C1317" s="1" t="s">
        <v>7</v>
      </c>
      <c r="D1317" s="1" t="s">
        <v>8</v>
      </c>
      <c r="E1317" s="1" t="s">
        <v>9</v>
      </c>
      <c r="G1317" s="1" t="s">
        <v>10</v>
      </c>
      <c r="H1317" s="1" t="s">
        <v>11</v>
      </c>
      <c r="I1317" s="1" t="s">
        <v>12</v>
      </c>
      <c r="J1317" s="1" t="s">
        <v>13</v>
      </c>
      <c r="K1317" s="1" t="s">
        <v>14</v>
      </c>
      <c r="L1317" s="1" t="s">
        <v>15</v>
      </c>
      <c r="M1317" s="1" t="s">
        <v>16</v>
      </c>
      <c r="N1317" s="1" t="s">
        <v>17</v>
      </c>
      <c r="O1317" s="1" t="s">
        <v>18</v>
      </c>
      <c r="P1317" s="1" t="s">
        <v>19</v>
      </c>
      <c r="Q1317" s="1" t="s">
        <v>20</v>
      </c>
    </row>
    <row r="1319" spans="1:17" x14ac:dyDescent="0.2">
      <c r="D1319" s="1" t="s">
        <v>444</v>
      </c>
      <c r="E1319" s="1">
        <v>1400015866</v>
      </c>
      <c r="G1319" s="1" t="s">
        <v>67</v>
      </c>
      <c r="I1319" s="1" t="s">
        <v>67</v>
      </c>
      <c r="K1319" s="2">
        <v>-37378.82</v>
      </c>
      <c r="L1319" s="1" t="s">
        <v>23</v>
      </c>
      <c r="N1319" s="2">
        <v>-37378.82</v>
      </c>
      <c r="O1319" s="1" t="s">
        <v>23</v>
      </c>
      <c r="P1319" s="1" t="s">
        <v>750</v>
      </c>
      <c r="Q1319" s="1">
        <v>1</v>
      </c>
    </row>
    <row r="1321" spans="1:17" x14ac:dyDescent="0.2">
      <c r="B1321" s="1" t="s">
        <v>32</v>
      </c>
      <c r="K1321" s="2">
        <v>-37378.82</v>
      </c>
      <c r="L1321" s="1" t="s">
        <v>23</v>
      </c>
      <c r="N1321" s="2">
        <v>-37378.82</v>
      </c>
      <c r="O1321" s="1" t="s">
        <v>23</v>
      </c>
    </row>
    <row r="1323" spans="1:17" x14ac:dyDescent="0.2">
      <c r="A1323" s="3"/>
      <c r="B1323" s="3" t="s">
        <v>33</v>
      </c>
      <c r="C1323" s="3" t="s">
        <v>751</v>
      </c>
      <c r="D1323" s="3"/>
      <c r="E1323" s="3"/>
      <c r="F1323" s="3"/>
      <c r="G1323" s="3"/>
      <c r="H1323" s="3"/>
      <c r="I1323" s="3"/>
      <c r="J1323" s="3"/>
      <c r="K1323" s="4">
        <v>-37378.82</v>
      </c>
      <c r="L1323" s="3" t="s">
        <v>23</v>
      </c>
      <c r="M1323" s="3"/>
      <c r="N1323" s="4">
        <v>-37378.82</v>
      </c>
      <c r="O1323" s="3" t="s">
        <v>23</v>
      </c>
      <c r="P1323" s="3"/>
      <c r="Q1323" s="3"/>
    </row>
    <row r="1325" spans="1:17" x14ac:dyDescent="0.2">
      <c r="A1325" s="1" t="s">
        <v>0</v>
      </c>
      <c r="F1325" s="1">
        <v>501258</v>
      </c>
    </row>
    <row r="1326" spans="1:17" x14ac:dyDescent="0.2">
      <c r="A1326" s="1" t="s">
        <v>1</v>
      </c>
      <c r="F1326" s="1" t="s">
        <v>2</v>
      </c>
    </row>
    <row r="1328" spans="1:17" x14ac:dyDescent="0.2">
      <c r="A1328" s="1" t="s">
        <v>3</v>
      </c>
      <c r="F1328" s="1" t="s">
        <v>495</v>
      </c>
    </row>
    <row r="1329" spans="1:17" x14ac:dyDescent="0.2">
      <c r="A1329" s="1" t="s">
        <v>5</v>
      </c>
      <c r="F1329" s="1" t="s">
        <v>475</v>
      </c>
    </row>
    <row r="1332" spans="1:17" x14ac:dyDescent="0.2">
      <c r="C1332" s="1" t="s">
        <v>7</v>
      </c>
      <c r="D1332" s="1" t="s">
        <v>8</v>
      </c>
      <c r="E1332" s="1" t="s">
        <v>9</v>
      </c>
      <c r="G1332" s="1" t="s">
        <v>10</v>
      </c>
      <c r="H1332" s="1" t="s">
        <v>11</v>
      </c>
      <c r="I1332" s="1" t="s">
        <v>12</v>
      </c>
      <c r="J1332" s="1" t="s">
        <v>13</v>
      </c>
      <c r="K1332" s="1" t="s">
        <v>14</v>
      </c>
      <c r="L1332" s="1" t="s">
        <v>15</v>
      </c>
      <c r="M1332" s="1" t="s">
        <v>16</v>
      </c>
      <c r="N1332" s="1" t="s">
        <v>17</v>
      </c>
      <c r="O1332" s="1" t="s">
        <v>18</v>
      </c>
      <c r="P1332" s="1" t="s">
        <v>19</v>
      </c>
      <c r="Q1332" s="1" t="s">
        <v>20</v>
      </c>
    </row>
    <row r="1334" spans="1:17" x14ac:dyDescent="0.2">
      <c r="D1334" s="1" t="s">
        <v>444</v>
      </c>
      <c r="E1334" s="1">
        <v>1400015806</v>
      </c>
      <c r="G1334" s="1" t="s">
        <v>44</v>
      </c>
      <c r="I1334" s="1" t="s">
        <v>44</v>
      </c>
      <c r="K1334" s="2">
        <v>-163853.28</v>
      </c>
      <c r="L1334" s="1" t="s">
        <v>23</v>
      </c>
      <c r="N1334" s="2">
        <v>-163853.28</v>
      </c>
      <c r="O1334" s="1" t="s">
        <v>23</v>
      </c>
      <c r="P1334" s="1" t="s">
        <v>752</v>
      </c>
      <c r="Q1334" s="1">
        <v>1</v>
      </c>
    </row>
    <row r="1336" spans="1:17" x14ac:dyDescent="0.2">
      <c r="B1336" s="1" t="s">
        <v>32</v>
      </c>
      <c r="K1336" s="2">
        <v>-163853.28</v>
      </c>
      <c r="L1336" s="1" t="s">
        <v>23</v>
      </c>
      <c r="N1336" s="2">
        <v>-163853.28</v>
      </c>
      <c r="O1336" s="1" t="s">
        <v>23</v>
      </c>
    </row>
    <row r="1338" spans="1:17" x14ac:dyDescent="0.2">
      <c r="A1338" s="3"/>
      <c r="B1338" s="3" t="s">
        <v>33</v>
      </c>
      <c r="C1338" s="3" t="s">
        <v>753</v>
      </c>
      <c r="D1338" s="3"/>
      <c r="E1338" s="3"/>
      <c r="F1338" s="3"/>
      <c r="G1338" s="3"/>
      <c r="H1338" s="3"/>
      <c r="I1338" s="3"/>
      <c r="J1338" s="3"/>
      <c r="K1338" s="4">
        <v>-163853.28</v>
      </c>
      <c r="L1338" s="3" t="s">
        <v>23</v>
      </c>
      <c r="M1338" s="3"/>
      <c r="N1338" s="4">
        <v>-163853.28</v>
      </c>
      <c r="O1338" s="3" t="s">
        <v>23</v>
      </c>
      <c r="P1338" s="3"/>
      <c r="Q1338" s="3"/>
    </row>
    <row r="1340" spans="1:17" x14ac:dyDescent="0.2">
      <c r="A1340" s="1" t="s">
        <v>0</v>
      </c>
      <c r="F1340" s="1">
        <v>501260</v>
      </c>
    </row>
    <row r="1341" spans="1:17" x14ac:dyDescent="0.2">
      <c r="A1341" s="1" t="s">
        <v>1</v>
      </c>
      <c r="F1341" s="1" t="s">
        <v>2</v>
      </c>
    </row>
    <row r="1343" spans="1:17" x14ac:dyDescent="0.2">
      <c r="A1343" s="1" t="s">
        <v>3</v>
      </c>
      <c r="F1343" s="1" t="s">
        <v>4</v>
      </c>
    </row>
    <row r="1344" spans="1:17" x14ac:dyDescent="0.2">
      <c r="A1344" s="1" t="s">
        <v>5</v>
      </c>
      <c r="F1344" s="1" t="s">
        <v>514</v>
      </c>
    </row>
    <row r="1347" spans="1:17" x14ac:dyDescent="0.2">
      <c r="C1347" s="1" t="s">
        <v>7</v>
      </c>
      <c r="D1347" s="1" t="s">
        <v>8</v>
      </c>
      <c r="E1347" s="1" t="s">
        <v>9</v>
      </c>
      <c r="G1347" s="1" t="s">
        <v>10</v>
      </c>
      <c r="H1347" s="1" t="s">
        <v>11</v>
      </c>
      <c r="I1347" s="1" t="s">
        <v>12</v>
      </c>
      <c r="J1347" s="1" t="s">
        <v>13</v>
      </c>
      <c r="K1347" s="1" t="s">
        <v>14</v>
      </c>
      <c r="L1347" s="1" t="s">
        <v>15</v>
      </c>
      <c r="M1347" s="1" t="s">
        <v>16</v>
      </c>
      <c r="N1347" s="1" t="s">
        <v>17</v>
      </c>
      <c r="O1347" s="1" t="s">
        <v>18</v>
      </c>
      <c r="P1347" s="1" t="s">
        <v>19</v>
      </c>
      <c r="Q1347" s="1" t="s">
        <v>20</v>
      </c>
    </row>
    <row r="1349" spans="1:17" x14ac:dyDescent="0.2">
      <c r="D1349" s="1" t="s">
        <v>444</v>
      </c>
      <c r="E1349" s="1">
        <v>1400015707</v>
      </c>
      <c r="G1349" s="1" t="s">
        <v>39</v>
      </c>
      <c r="I1349" s="1" t="s">
        <v>754</v>
      </c>
      <c r="K1349" s="2">
        <v>-319711.21000000002</v>
      </c>
      <c r="L1349" s="1" t="s">
        <v>23</v>
      </c>
      <c r="N1349" s="2">
        <v>-78235.95</v>
      </c>
      <c r="O1349" s="1" t="s">
        <v>24</v>
      </c>
      <c r="P1349" s="1" t="s">
        <v>755</v>
      </c>
      <c r="Q1349" s="1">
        <v>4.0865</v>
      </c>
    </row>
    <row r="1351" spans="1:17" x14ac:dyDescent="0.2">
      <c r="B1351" s="1" t="s">
        <v>32</v>
      </c>
      <c r="K1351" s="2">
        <v>-319711.21000000002</v>
      </c>
      <c r="L1351" s="1" t="s">
        <v>23</v>
      </c>
      <c r="N1351" s="2">
        <v>-78235.95</v>
      </c>
      <c r="O1351" s="1" t="s">
        <v>24</v>
      </c>
    </row>
    <row r="1353" spans="1:17" x14ac:dyDescent="0.2">
      <c r="A1353" s="3"/>
      <c r="B1353" s="3" t="s">
        <v>33</v>
      </c>
      <c r="C1353" s="3" t="s">
        <v>756</v>
      </c>
      <c r="D1353" s="3"/>
      <c r="E1353" s="3"/>
      <c r="F1353" s="3"/>
      <c r="G1353" s="3"/>
      <c r="H1353" s="3"/>
      <c r="I1353" s="3"/>
      <c r="J1353" s="3"/>
      <c r="K1353" s="4">
        <v>-319711.21000000002</v>
      </c>
      <c r="L1353" s="3" t="s">
        <v>23</v>
      </c>
      <c r="M1353" s="3"/>
      <c r="N1353" s="4">
        <v>-78235.95</v>
      </c>
      <c r="O1353" s="3" t="s">
        <v>24</v>
      </c>
      <c r="P1353" s="3"/>
      <c r="Q1353" s="3"/>
    </row>
    <row r="1355" spans="1:17" x14ac:dyDescent="0.2">
      <c r="A1355" s="1" t="s">
        <v>0</v>
      </c>
      <c r="F1355" s="1">
        <v>501261</v>
      </c>
    </row>
    <row r="1356" spans="1:17" x14ac:dyDescent="0.2">
      <c r="A1356" s="1" t="s">
        <v>1</v>
      </c>
      <c r="F1356" s="1" t="s">
        <v>2</v>
      </c>
    </row>
    <row r="1358" spans="1:17" x14ac:dyDescent="0.2">
      <c r="A1358" s="1" t="s">
        <v>3</v>
      </c>
      <c r="F1358" s="1" t="s">
        <v>269</v>
      </c>
    </row>
    <row r="1359" spans="1:17" x14ac:dyDescent="0.2">
      <c r="A1359" s="1" t="s">
        <v>5</v>
      </c>
      <c r="F1359" s="1" t="s">
        <v>55</v>
      </c>
    </row>
    <row r="1362" spans="1:17" x14ac:dyDescent="0.2">
      <c r="C1362" s="1" t="s">
        <v>7</v>
      </c>
      <c r="D1362" s="1" t="s">
        <v>8</v>
      </c>
      <c r="E1362" s="1" t="s">
        <v>9</v>
      </c>
      <c r="G1362" s="1" t="s">
        <v>10</v>
      </c>
      <c r="H1362" s="1" t="s">
        <v>11</v>
      </c>
      <c r="I1362" s="1" t="s">
        <v>12</v>
      </c>
      <c r="J1362" s="1" t="s">
        <v>13</v>
      </c>
      <c r="K1362" s="1" t="s">
        <v>14</v>
      </c>
      <c r="L1362" s="1" t="s">
        <v>15</v>
      </c>
      <c r="M1362" s="1" t="s">
        <v>16</v>
      </c>
      <c r="N1362" s="1" t="s">
        <v>17</v>
      </c>
      <c r="O1362" s="1" t="s">
        <v>18</v>
      </c>
      <c r="P1362" s="1" t="s">
        <v>19</v>
      </c>
      <c r="Q1362" s="1" t="s">
        <v>20</v>
      </c>
    </row>
    <row r="1364" spans="1:17" x14ac:dyDescent="0.2">
      <c r="D1364" s="1" t="s">
        <v>444</v>
      </c>
      <c r="E1364" s="1">
        <v>1400015839</v>
      </c>
      <c r="G1364" s="1" t="s">
        <v>67</v>
      </c>
      <c r="I1364" s="1" t="s">
        <v>67</v>
      </c>
      <c r="K1364" s="2">
        <v>-530059.48</v>
      </c>
      <c r="L1364" s="1" t="s">
        <v>23</v>
      </c>
      <c r="N1364" s="2">
        <v>-530059.48</v>
      </c>
      <c r="O1364" s="1" t="s">
        <v>23</v>
      </c>
      <c r="P1364" s="1" t="s">
        <v>757</v>
      </c>
      <c r="Q1364" s="1">
        <v>1</v>
      </c>
    </row>
    <row r="1365" spans="1:17" x14ac:dyDescent="0.2">
      <c r="D1365" s="1" t="s">
        <v>444</v>
      </c>
      <c r="E1365" s="1">
        <v>1400015935</v>
      </c>
      <c r="G1365" s="1" t="s">
        <v>67</v>
      </c>
      <c r="I1365" s="1" t="s">
        <v>67</v>
      </c>
      <c r="K1365" s="2">
        <v>-296893.08</v>
      </c>
      <c r="L1365" s="1" t="s">
        <v>23</v>
      </c>
      <c r="N1365" s="2">
        <v>-296893.08</v>
      </c>
      <c r="O1365" s="1" t="s">
        <v>23</v>
      </c>
      <c r="P1365" s="1" t="s">
        <v>758</v>
      </c>
      <c r="Q1365" s="1">
        <v>1</v>
      </c>
    </row>
    <row r="1367" spans="1:17" x14ac:dyDescent="0.2">
      <c r="B1367" s="1" t="s">
        <v>32</v>
      </c>
      <c r="K1367" s="2">
        <v>-826952.56</v>
      </c>
      <c r="L1367" s="1" t="s">
        <v>23</v>
      </c>
      <c r="N1367" s="2">
        <v>-826952.56</v>
      </c>
      <c r="O1367" s="1" t="s">
        <v>23</v>
      </c>
    </row>
    <row r="1369" spans="1:17" x14ac:dyDescent="0.2">
      <c r="A1369" s="3"/>
      <c r="B1369" s="3" t="s">
        <v>33</v>
      </c>
      <c r="C1369" s="3" t="s">
        <v>271</v>
      </c>
      <c r="D1369" s="3"/>
      <c r="E1369" s="3"/>
      <c r="F1369" s="3"/>
      <c r="G1369" s="3"/>
      <c r="H1369" s="3"/>
      <c r="I1369" s="3"/>
      <c r="J1369" s="3"/>
      <c r="K1369" s="4">
        <v>-826952.56</v>
      </c>
      <c r="L1369" s="3" t="s">
        <v>23</v>
      </c>
      <c r="M1369" s="3"/>
      <c r="N1369" s="4">
        <v>-826952.56</v>
      </c>
      <c r="O1369" s="3" t="s">
        <v>23</v>
      </c>
      <c r="P1369" s="3"/>
      <c r="Q1369" s="3"/>
    </row>
    <row r="1371" spans="1:17" x14ac:dyDescent="0.2">
      <c r="A1371" s="1" t="s">
        <v>0</v>
      </c>
      <c r="F1371" s="1">
        <v>501262</v>
      </c>
    </row>
    <row r="1372" spans="1:17" x14ac:dyDescent="0.2">
      <c r="A1372" s="1" t="s">
        <v>1</v>
      </c>
      <c r="F1372" s="1" t="s">
        <v>2</v>
      </c>
    </row>
    <row r="1374" spans="1:17" x14ac:dyDescent="0.2">
      <c r="A1374" s="1" t="s">
        <v>3</v>
      </c>
      <c r="F1374" s="1" t="s">
        <v>759</v>
      </c>
    </row>
    <row r="1375" spans="1:17" x14ac:dyDescent="0.2">
      <c r="A1375" s="1" t="s">
        <v>5</v>
      </c>
      <c r="F1375" s="1" t="s">
        <v>225</v>
      </c>
    </row>
    <row r="1378" spans="1:17" x14ac:dyDescent="0.2">
      <c r="C1378" s="1" t="s">
        <v>7</v>
      </c>
      <c r="D1378" s="1" t="s">
        <v>8</v>
      </c>
      <c r="E1378" s="1" t="s">
        <v>9</v>
      </c>
      <c r="G1378" s="1" t="s">
        <v>10</v>
      </c>
      <c r="H1378" s="1" t="s">
        <v>11</v>
      </c>
      <c r="I1378" s="1" t="s">
        <v>12</v>
      </c>
      <c r="J1378" s="1" t="s">
        <v>13</v>
      </c>
      <c r="K1378" s="1" t="s">
        <v>14</v>
      </c>
      <c r="L1378" s="1" t="s">
        <v>15</v>
      </c>
      <c r="M1378" s="1" t="s">
        <v>16</v>
      </c>
      <c r="N1378" s="1" t="s">
        <v>17</v>
      </c>
      <c r="O1378" s="1" t="s">
        <v>18</v>
      </c>
      <c r="P1378" s="1" t="s">
        <v>19</v>
      </c>
      <c r="Q1378" s="1" t="s">
        <v>20</v>
      </c>
    </row>
    <row r="1380" spans="1:17" x14ac:dyDescent="0.2">
      <c r="D1380" s="1" t="s">
        <v>444</v>
      </c>
      <c r="E1380" s="1">
        <v>103527505</v>
      </c>
      <c r="G1380" s="1" t="s">
        <v>58</v>
      </c>
      <c r="I1380" s="1" t="s">
        <v>58</v>
      </c>
      <c r="K1380" s="2">
        <v>-209030.59</v>
      </c>
      <c r="L1380" s="1" t="s">
        <v>23</v>
      </c>
      <c r="N1380" s="2">
        <v>-72313.91</v>
      </c>
      <c r="O1380" s="1" t="s">
        <v>603</v>
      </c>
      <c r="P1380" s="1" t="s">
        <v>760</v>
      </c>
      <c r="Q1380" s="1">
        <v>2.8906000000000001</v>
      </c>
    </row>
    <row r="1382" spans="1:17" x14ac:dyDescent="0.2">
      <c r="B1382" s="1" t="s">
        <v>32</v>
      </c>
      <c r="K1382" s="2">
        <v>-209030.59</v>
      </c>
      <c r="L1382" s="1" t="s">
        <v>23</v>
      </c>
      <c r="N1382" s="2">
        <v>-72313.91</v>
      </c>
      <c r="O1382" s="1" t="s">
        <v>603</v>
      </c>
    </row>
    <row r="1384" spans="1:17" x14ac:dyDescent="0.2">
      <c r="A1384" s="3"/>
      <c r="B1384" s="3" t="s">
        <v>33</v>
      </c>
      <c r="C1384" s="3" t="s">
        <v>761</v>
      </c>
      <c r="D1384" s="3"/>
      <c r="E1384" s="3"/>
      <c r="F1384" s="3"/>
      <c r="G1384" s="3"/>
      <c r="H1384" s="3"/>
      <c r="I1384" s="3"/>
      <c r="J1384" s="3"/>
      <c r="K1384" s="4">
        <v>-209030.59</v>
      </c>
      <c r="L1384" s="3" t="s">
        <v>23</v>
      </c>
      <c r="M1384" s="3"/>
      <c r="N1384" s="4">
        <v>-72313.91</v>
      </c>
      <c r="O1384" s="3" t="s">
        <v>603</v>
      </c>
      <c r="P1384" s="3"/>
      <c r="Q1384" s="3"/>
    </row>
    <row r="1386" spans="1:17" x14ac:dyDescent="0.2">
      <c r="A1386" s="1" t="s">
        <v>0</v>
      </c>
      <c r="F1386" s="1">
        <v>501271</v>
      </c>
    </row>
    <row r="1387" spans="1:17" x14ac:dyDescent="0.2">
      <c r="A1387" s="1" t="s">
        <v>1</v>
      </c>
      <c r="F1387" s="1" t="s">
        <v>2</v>
      </c>
    </row>
    <row r="1389" spans="1:17" x14ac:dyDescent="0.2">
      <c r="A1389" s="1" t="s">
        <v>3</v>
      </c>
      <c r="F1389" s="1" t="s">
        <v>731</v>
      </c>
    </row>
    <row r="1390" spans="1:17" x14ac:dyDescent="0.2">
      <c r="A1390" s="1" t="s">
        <v>5</v>
      </c>
      <c r="F1390" s="1" t="s">
        <v>762</v>
      </c>
    </row>
    <row r="1393" spans="1:17" x14ac:dyDescent="0.2">
      <c r="C1393" s="1" t="s">
        <v>7</v>
      </c>
      <c r="D1393" s="1" t="s">
        <v>8</v>
      </c>
      <c r="E1393" s="1" t="s">
        <v>9</v>
      </c>
      <c r="G1393" s="1" t="s">
        <v>10</v>
      </c>
      <c r="H1393" s="1" t="s">
        <v>11</v>
      </c>
      <c r="I1393" s="1" t="s">
        <v>12</v>
      </c>
      <c r="J1393" s="1" t="s">
        <v>13</v>
      </c>
      <c r="K1393" s="1" t="s">
        <v>14</v>
      </c>
      <c r="L1393" s="1" t="s">
        <v>15</v>
      </c>
      <c r="M1393" s="1" t="s">
        <v>16</v>
      </c>
      <c r="N1393" s="1" t="s">
        <v>17</v>
      </c>
      <c r="O1393" s="1" t="s">
        <v>18</v>
      </c>
      <c r="P1393" s="1" t="s">
        <v>19</v>
      </c>
      <c r="Q1393" s="1" t="s">
        <v>20</v>
      </c>
    </row>
    <row r="1395" spans="1:17" x14ac:dyDescent="0.2">
      <c r="D1395" s="1" t="s">
        <v>444</v>
      </c>
      <c r="E1395" s="1">
        <v>103527503</v>
      </c>
      <c r="G1395" s="1" t="s">
        <v>44</v>
      </c>
      <c r="I1395" s="1" t="s">
        <v>44</v>
      </c>
      <c r="K1395" s="2">
        <v>-14911.8</v>
      </c>
      <c r="L1395" s="1" t="s">
        <v>23</v>
      </c>
      <c r="N1395" s="2">
        <v>-5164.26</v>
      </c>
      <c r="O1395" s="1" t="s">
        <v>603</v>
      </c>
      <c r="P1395" s="1" t="s">
        <v>763</v>
      </c>
      <c r="Q1395" s="1">
        <v>2.8875000000000002</v>
      </c>
    </row>
    <row r="1397" spans="1:17" x14ac:dyDescent="0.2">
      <c r="B1397" s="1" t="s">
        <v>32</v>
      </c>
      <c r="K1397" s="2">
        <v>-14911.8</v>
      </c>
      <c r="L1397" s="1" t="s">
        <v>23</v>
      </c>
      <c r="N1397" s="2">
        <v>-5164.26</v>
      </c>
      <c r="O1397" s="1" t="s">
        <v>603</v>
      </c>
    </row>
    <row r="1399" spans="1:17" x14ac:dyDescent="0.2">
      <c r="A1399" s="3"/>
      <c r="B1399" s="3" t="s">
        <v>33</v>
      </c>
      <c r="C1399" s="3" t="s">
        <v>764</v>
      </c>
      <c r="D1399" s="3"/>
      <c r="E1399" s="3"/>
      <c r="F1399" s="3"/>
      <c r="G1399" s="3"/>
      <c r="H1399" s="3"/>
      <c r="I1399" s="3"/>
      <c r="J1399" s="3"/>
      <c r="K1399" s="4">
        <v>-14911.8</v>
      </c>
      <c r="L1399" s="3" t="s">
        <v>23</v>
      </c>
      <c r="M1399" s="3"/>
      <c r="N1399" s="4">
        <v>-5164.26</v>
      </c>
      <c r="O1399" s="3" t="s">
        <v>603</v>
      </c>
      <c r="P1399" s="3"/>
      <c r="Q1399" s="3"/>
    </row>
    <row r="1401" spans="1:17" x14ac:dyDescent="0.2">
      <c r="A1401" s="1" t="s">
        <v>0</v>
      </c>
      <c r="F1401" s="1">
        <v>501272</v>
      </c>
    </row>
    <row r="1402" spans="1:17" x14ac:dyDescent="0.2">
      <c r="A1402" s="1" t="s">
        <v>1</v>
      </c>
      <c r="F1402" s="1" t="s">
        <v>2</v>
      </c>
    </row>
    <row r="1404" spans="1:17" x14ac:dyDescent="0.2">
      <c r="A1404" s="1" t="s">
        <v>3</v>
      </c>
      <c r="F1404" s="1" t="s">
        <v>731</v>
      </c>
    </row>
    <row r="1405" spans="1:17" x14ac:dyDescent="0.2">
      <c r="A1405" s="1" t="s">
        <v>5</v>
      </c>
      <c r="F1405" s="1" t="s">
        <v>765</v>
      </c>
    </row>
    <row r="1408" spans="1:17" x14ac:dyDescent="0.2">
      <c r="C1408" s="1" t="s">
        <v>7</v>
      </c>
      <c r="D1408" s="1" t="s">
        <v>8</v>
      </c>
      <c r="E1408" s="1" t="s">
        <v>9</v>
      </c>
      <c r="G1408" s="1" t="s">
        <v>10</v>
      </c>
      <c r="H1408" s="1" t="s">
        <v>11</v>
      </c>
      <c r="I1408" s="1" t="s">
        <v>12</v>
      </c>
      <c r="J1408" s="1" t="s">
        <v>13</v>
      </c>
      <c r="K1408" s="1" t="s">
        <v>14</v>
      </c>
      <c r="L1408" s="1" t="s">
        <v>15</v>
      </c>
      <c r="M1408" s="1" t="s">
        <v>16</v>
      </c>
      <c r="N1408" s="1" t="s">
        <v>17</v>
      </c>
      <c r="O1408" s="1" t="s">
        <v>18</v>
      </c>
      <c r="P1408" s="1" t="s">
        <v>19</v>
      </c>
      <c r="Q1408" s="1" t="s">
        <v>20</v>
      </c>
    </row>
    <row r="1410" spans="1:17" x14ac:dyDescent="0.2">
      <c r="D1410" s="1" t="s">
        <v>444</v>
      </c>
      <c r="E1410" s="1">
        <v>103527503</v>
      </c>
      <c r="G1410" s="1" t="s">
        <v>44</v>
      </c>
      <c r="I1410" s="1" t="s">
        <v>44</v>
      </c>
      <c r="K1410" s="2">
        <v>-16344.55</v>
      </c>
      <c r="L1410" s="1" t="s">
        <v>23</v>
      </c>
      <c r="N1410" s="2">
        <v>-5660.45</v>
      </c>
      <c r="O1410" s="1" t="s">
        <v>603</v>
      </c>
      <c r="P1410" s="1" t="s">
        <v>766</v>
      </c>
      <c r="Q1410" s="1">
        <v>2.8875000000000002</v>
      </c>
    </row>
    <row r="1412" spans="1:17" x14ac:dyDescent="0.2">
      <c r="B1412" s="1" t="s">
        <v>32</v>
      </c>
      <c r="K1412" s="2">
        <v>-16344.55</v>
      </c>
      <c r="L1412" s="1" t="s">
        <v>23</v>
      </c>
      <c r="N1412" s="2">
        <v>-5660.45</v>
      </c>
      <c r="O1412" s="1" t="s">
        <v>603</v>
      </c>
    </row>
    <row r="1414" spans="1:17" x14ac:dyDescent="0.2">
      <c r="A1414" s="3"/>
      <c r="B1414" s="3" t="s">
        <v>33</v>
      </c>
      <c r="C1414" s="3" t="s">
        <v>767</v>
      </c>
      <c r="D1414" s="3"/>
      <c r="E1414" s="3"/>
      <c r="F1414" s="3"/>
      <c r="G1414" s="3"/>
      <c r="H1414" s="3"/>
      <c r="I1414" s="3"/>
      <c r="J1414" s="3"/>
      <c r="K1414" s="4">
        <v>-16344.55</v>
      </c>
      <c r="L1414" s="3" t="s">
        <v>23</v>
      </c>
      <c r="M1414" s="3"/>
      <c r="N1414" s="4">
        <v>-5660.45</v>
      </c>
      <c r="O1414" s="3" t="s">
        <v>603</v>
      </c>
      <c r="P1414" s="3"/>
      <c r="Q1414" s="3"/>
    </row>
    <row r="1416" spans="1:17" x14ac:dyDescent="0.2">
      <c r="A1416" s="1" t="s">
        <v>0</v>
      </c>
      <c r="F1416" s="1">
        <v>501273</v>
      </c>
    </row>
    <row r="1417" spans="1:17" x14ac:dyDescent="0.2">
      <c r="A1417" s="1" t="s">
        <v>1</v>
      </c>
      <c r="F1417" s="1" t="s">
        <v>2</v>
      </c>
    </row>
    <row r="1419" spans="1:17" x14ac:dyDescent="0.2">
      <c r="A1419" s="1" t="s">
        <v>3</v>
      </c>
      <c r="F1419" s="1" t="s">
        <v>731</v>
      </c>
    </row>
    <row r="1420" spans="1:17" x14ac:dyDescent="0.2">
      <c r="A1420" s="1" t="s">
        <v>5</v>
      </c>
      <c r="F1420" s="1" t="s">
        <v>768</v>
      </c>
    </row>
    <row r="1423" spans="1:17" x14ac:dyDescent="0.2">
      <c r="C1423" s="1" t="s">
        <v>7</v>
      </c>
      <c r="D1423" s="1" t="s">
        <v>8</v>
      </c>
      <c r="E1423" s="1" t="s">
        <v>9</v>
      </c>
      <c r="G1423" s="1" t="s">
        <v>10</v>
      </c>
      <c r="H1423" s="1" t="s">
        <v>11</v>
      </c>
      <c r="I1423" s="1" t="s">
        <v>12</v>
      </c>
      <c r="J1423" s="1" t="s">
        <v>13</v>
      </c>
      <c r="K1423" s="1" t="s">
        <v>14</v>
      </c>
      <c r="L1423" s="1" t="s">
        <v>15</v>
      </c>
      <c r="M1423" s="1" t="s">
        <v>16</v>
      </c>
      <c r="N1423" s="1" t="s">
        <v>17</v>
      </c>
      <c r="O1423" s="1" t="s">
        <v>18</v>
      </c>
      <c r="P1423" s="1" t="s">
        <v>19</v>
      </c>
      <c r="Q1423" s="1" t="s">
        <v>20</v>
      </c>
    </row>
    <row r="1425" spans="1:17" x14ac:dyDescent="0.2">
      <c r="D1425" s="1" t="s">
        <v>444</v>
      </c>
      <c r="E1425" s="1">
        <v>103527503</v>
      </c>
      <c r="G1425" s="1" t="s">
        <v>44</v>
      </c>
      <c r="I1425" s="1" t="s">
        <v>44</v>
      </c>
      <c r="K1425" s="2">
        <v>-16344.55</v>
      </c>
      <c r="L1425" s="1" t="s">
        <v>23</v>
      </c>
      <c r="N1425" s="2">
        <v>-5660.45</v>
      </c>
      <c r="O1425" s="1" t="s">
        <v>603</v>
      </c>
      <c r="P1425" s="1" t="s">
        <v>769</v>
      </c>
      <c r="Q1425" s="1">
        <v>2.8875000000000002</v>
      </c>
    </row>
    <row r="1427" spans="1:17" x14ac:dyDescent="0.2">
      <c r="B1427" s="1" t="s">
        <v>32</v>
      </c>
      <c r="K1427" s="2">
        <v>-16344.55</v>
      </c>
      <c r="L1427" s="1" t="s">
        <v>23</v>
      </c>
      <c r="N1427" s="2">
        <v>-5660.45</v>
      </c>
      <c r="O1427" s="1" t="s">
        <v>603</v>
      </c>
    </row>
    <row r="1429" spans="1:17" x14ac:dyDescent="0.2">
      <c r="A1429" s="3"/>
      <c r="B1429" s="3" t="s">
        <v>33</v>
      </c>
      <c r="C1429" s="3" t="s">
        <v>770</v>
      </c>
      <c r="D1429" s="3"/>
      <c r="E1429" s="3"/>
      <c r="F1429" s="3"/>
      <c r="G1429" s="3"/>
      <c r="H1429" s="3"/>
      <c r="I1429" s="3"/>
      <c r="J1429" s="3"/>
      <c r="K1429" s="4">
        <v>-16344.55</v>
      </c>
      <c r="L1429" s="3" t="s">
        <v>23</v>
      </c>
      <c r="M1429" s="3"/>
      <c r="N1429" s="4">
        <v>-5660.45</v>
      </c>
      <c r="O1429" s="3" t="s">
        <v>603</v>
      </c>
      <c r="P1429" s="3"/>
      <c r="Q1429" s="3"/>
    </row>
    <row r="1431" spans="1:17" x14ac:dyDescent="0.2">
      <c r="A1431" s="1" t="s">
        <v>0</v>
      </c>
      <c r="F1431" s="1">
        <v>501274</v>
      </c>
    </row>
    <row r="1432" spans="1:17" x14ac:dyDescent="0.2">
      <c r="A1432" s="1" t="s">
        <v>1</v>
      </c>
      <c r="F1432" s="1" t="s">
        <v>2</v>
      </c>
    </row>
    <row r="1434" spans="1:17" x14ac:dyDescent="0.2">
      <c r="A1434" s="1" t="s">
        <v>3</v>
      </c>
      <c r="F1434" s="1" t="s">
        <v>731</v>
      </c>
    </row>
    <row r="1435" spans="1:17" x14ac:dyDescent="0.2">
      <c r="A1435" s="1" t="s">
        <v>5</v>
      </c>
      <c r="F1435" s="1" t="s">
        <v>771</v>
      </c>
    </row>
    <row r="1438" spans="1:17" x14ac:dyDescent="0.2">
      <c r="C1438" s="1" t="s">
        <v>7</v>
      </c>
      <c r="D1438" s="1" t="s">
        <v>8</v>
      </c>
      <c r="E1438" s="1" t="s">
        <v>9</v>
      </c>
      <c r="G1438" s="1" t="s">
        <v>10</v>
      </c>
      <c r="H1438" s="1" t="s">
        <v>11</v>
      </c>
      <c r="I1438" s="1" t="s">
        <v>12</v>
      </c>
      <c r="J1438" s="1" t="s">
        <v>13</v>
      </c>
      <c r="K1438" s="1" t="s">
        <v>14</v>
      </c>
      <c r="L1438" s="1" t="s">
        <v>15</v>
      </c>
      <c r="M1438" s="1" t="s">
        <v>16</v>
      </c>
      <c r="N1438" s="1" t="s">
        <v>17</v>
      </c>
      <c r="O1438" s="1" t="s">
        <v>18</v>
      </c>
      <c r="P1438" s="1" t="s">
        <v>19</v>
      </c>
      <c r="Q1438" s="1" t="s">
        <v>20</v>
      </c>
    </row>
    <row r="1440" spans="1:17" x14ac:dyDescent="0.2">
      <c r="D1440" s="1" t="s">
        <v>444</v>
      </c>
      <c r="E1440" s="1">
        <v>103527504</v>
      </c>
      <c r="G1440" s="1" t="s">
        <v>46</v>
      </c>
      <c r="I1440" s="1" t="s">
        <v>46</v>
      </c>
      <c r="K1440" s="2">
        <v>-12660.54</v>
      </c>
      <c r="L1440" s="1" t="s">
        <v>23</v>
      </c>
      <c r="N1440" s="2">
        <v>-4392.3599999999997</v>
      </c>
      <c r="O1440" s="1" t="s">
        <v>603</v>
      </c>
      <c r="P1440" s="1" t="s">
        <v>772</v>
      </c>
      <c r="Q1440" s="1">
        <v>2.8824000000000001</v>
      </c>
    </row>
    <row r="1442" spans="1:17" x14ac:dyDescent="0.2">
      <c r="B1442" s="1" t="s">
        <v>32</v>
      </c>
      <c r="K1442" s="2">
        <v>-12660.54</v>
      </c>
      <c r="L1442" s="1" t="s">
        <v>23</v>
      </c>
      <c r="N1442" s="2">
        <v>-4392.3599999999997</v>
      </c>
      <c r="O1442" s="1" t="s">
        <v>603</v>
      </c>
    </row>
    <row r="1444" spans="1:17" x14ac:dyDescent="0.2">
      <c r="A1444" s="3"/>
      <c r="B1444" s="3" t="s">
        <v>33</v>
      </c>
      <c r="C1444" s="3" t="s">
        <v>773</v>
      </c>
      <c r="D1444" s="3"/>
      <c r="E1444" s="3"/>
      <c r="F1444" s="3"/>
      <c r="G1444" s="3"/>
      <c r="H1444" s="3"/>
      <c r="I1444" s="3"/>
      <c r="J1444" s="3"/>
      <c r="K1444" s="4">
        <v>-12660.54</v>
      </c>
      <c r="L1444" s="3" t="s">
        <v>23</v>
      </c>
      <c r="M1444" s="3"/>
      <c r="N1444" s="4">
        <v>-4392.3599999999997</v>
      </c>
      <c r="O1444" s="3" t="s">
        <v>603</v>
      </c>
      <c r="P1444" s="3"/>
      <c r="Q1444" s="3"/>
    </row>
    <row r="1446" spans="1:17" x14ac:dyDescent="0.2">
      <c r="A1446" s="1" t="s">
        <v>0</v>
      </c>
      <c r="F1446" s="1">
        <v>501275</v>
      </c>
    </row>
    <row r="1447" spans="1:17" x14ac:dyDescent="0.2">
      <c r="A1447" s="1" t="s">
        <v>1</v>
      </c>
      <c r="F1447" s="1" t="s">
        <v>2</v>
      </c>
    </row>
    <row r="1449" spans="1:17" x14ac:dyDescent="0.2">
      <c r="A1449" s="1" t="s">
        <v>3</v>
      </c>
      <c r="F1449" s="1" t="s">
        <v>175</v>
      </c>
    </row>
    <row r="1450" spans="1:17" x14ac:dyDescent="0.2">
      <c r="A1450" s="1" t="s">
        <v>5</v>
      </c>
      <c r="F1450" s="1" t="s">
        <v>272</v>
      </c>
    </row>
    <row r="1453" spans="1:17" x14ac:dyDescent="0.2">
      <c r="C1453" s="1" t="s">
        <v>7</v>
      </c>
      <c r="D1453" s="1" t="s">
        <v>8</v>
      </c>
      <c r="E1453" s="1" t="s">
        <v>9</v>
      </c>
      <c r="G1453" s="1" t="s">
        <v>10</v>
      </c>
      <c r="H1453" s="1" t="s">
        <v>11</v>
      </c>
      <c r="I1453" s="1" t="s">
        <v>12</v>
      </c>
      <c r="J1453" s="1" t="s">
        <v>13</v>
      </c>
      <c r="K1453" s="1" t="s">
        <v>14</v>
      </c>
      <c r="L1453" s="1" t="s">
        <v>15</v>
      </c>
      <c r="M1453" s="1" t="s">
        <v>16</v>
      </c>
      <c r="N1453" s="1" t="s">
        <v>17</v>
      </c>
      <c r="O1453" s="1" t="s">
        <v>18</v>
      </c>
      <c r="P1453" s="1" t="s">
        <v>19</v>
      </c>
      <c r="Q1453" s="1" t="s">
        <v>20</v>
      </c>
    </row>
    <row r="1455" spans="1:17" x14ac:dyDescent="0.2">
      <c r="D1455" s="1" t="s">
        <v>444</v>
      </c>
      <c r="E1455" s="1">
        <v>1400015745</v>
      </c>
      <c r="G1455" s="1" t="s">
        <v>36</v>
      </c>
      <c r="I1455" s="1" t="s">
        <v>36</v>
      </c>
      <c r="K1455" s="2">
        <v>-224443.9</v>
      </c>
      <c r="L1455" s="1" t="s">
        <v>23</v>
      </c>
      <c r="N1455" s="2">
        <v>-224443.9</v>
      </c>
      <c r="O1455" s="1" t="s">
        <v>23</v>
      </c>
      <c r="P1455" s="1" t="s">
        <v>774</v>
      </c>
      <c r="Q1455" s="1">
        <v>1</v>
      </c>
    </row>
    <row r="1456" spans="1:17" x14ac:dyDescent="0.2">
      <c r="D1456" s="1" t="s">
        <v>444</v>
      </c>
      <c r="E1456" s="1">
        <v>1400015745</v>
      </c>
      <c r="G1456" s="1" t="s">
        <v>36</v>
      </c>
      <c r="I1456" s="1" t="s">
        <v>36</v>
      </c>
      <c r="K1456" s="2">
        <v>-85076.160000000003</v>
      </c>
      <c r="L1456" s="1" t="s">
        <v>23</v>
      </c>
      <c r="N1456" s="2">
        <v>-85076.160000000003</v>
      </c>
      <c r="O1456" s="1" t="s">
        <v>23</v>
      </c>
      <c r="P1456" s="1" t="s">
        <v>775</v>
      </c>
      <c r="Q1456" s="1">
        <v>1</v>
      </c>
    </row>
    <row r="1457" spans="4:17" x14ac:dyDescent="0.2">
      <c r="D1457" s="1" t="s">
        <v>444</v>
      </c>
      <c r="E1457" s="1">
        <v>1400015746</v>
      </c>
      <c r="G1457" s="1" t="s">
        <v>39</v>
      </c>
      <c r="I1457" s="1" t="s">
        <v>39</v>
      </c>
      <c r="K1457" s="2">
        <v>-55496.3</v>
      </c>
      <c r="L1457" s="1" t="s">
        <v>23</v>
      </c>
      <c r="N1457" s="2">
        <v>-55496.3</v>
      </c>
      <c r="O1457" s="1" t="s">
        <v>23</v>
      </c>
      <c r="P1457" s="1" t="s">
        <v>776</v>
      </c>
      <c r="Q1457" s="1">
        <v>1</v>
      </c>
    </row>
    <row r="1458" spans="4:17" x14ac:dyDescent="0.2">
      <c r="D1458" s="1" t="s">
        <v>444</v>
      </c>
      <c r="E1458" s="1">
        <v>1400015746</v>
      </c>
      <c r="G1458" s="1" t="s">
        <v>39</v>
      </c>
      <c r="I1458" s="1" t="s">
        <v>39</v>
      </c>
      <c r="K1458" s="2">
        <v>-18678.240000000002</v>
      </c>
      <c r="L1458" s="1" t="s">
        <v>23</v>
      </c>
      <c r="N1458" s="2">
        <v>-18678.240000000002</v>
      </c>
      <c r="O1458" s="1" t="s">
        <v>23</v>
      </c>
      <c r="P1458" s="1" t="s">
        <v>777</v>
      </c>
      <c r="Q1458" s="1">
        <v>1</v>
      </c>
    </row>
    <row r="1459" spans="4:17" x14ac:dyDescent="0.2">
      <c r="D1459" s="1" t="s">
        <v>444</v>
      </c>
      <c r="E1459" s="1">
        <v>1400015762</v>
      </c>
      <c r="G1459" s="1" t="s">
        <v>26</v>
      </c>
      <c r="I1459" s="1" t="s">
        <v>26</v>
      </c>
      <c r="K1459" s="2">
        <v>-370682.1</v>
      </c>
      <c r="L1459" s="1" t="s">
        <v>23</v>
      </c>
      <c r="N1459" s="2">
        <v>-370682.1</v>
      </c>
      <c r="O1459" s="1" t="s">
        <v>23</v>
      </c>
      <c r="P1459" s="1" t="s">
        <v>778</v>
      </c>
      <c r="Q1459" s="1">
        <v>1</v>
      </c>
    </row>
    <row r="1460" spans="4:17" x14ac:dyDescent="0.2">
      <c r="D1460" s="1" t="s">
        <v>444</v>
      </c>
      <c r="E1460" s="1">
        <v>1400015762</v>
      </c>
      <c r="G1460" s="1" t="s">
        <v>26</v>
      </c>
      <c r="I1460" s="1" t="s">
        <v>26</v>
      </c>
      <c r="K1460" s="2">
        <v>-30504</v>
      </c>
      <c r="L1460" s="1" t="s">
        <v>23</v>
      </c>
      <c r="N1460" s="2">
        <v>-30504</v>
      </c>
      <c r="O1460" s="1" t="s">
        <v>23</v>
      </c>
      <c r="P1460" s="1" t="s">
        <v>779</v>
      </c>
      <c r="Q1460" s="1">
        <v>1</v>
      </c>
    </row>
    <row r="1461" spans="4:17" x14ac:dyDescent="0.2">
      <c r="D1461" s="1" t="s">
        <v>444</v>
      </c>
      <c r="E1461" s="1">
        <v>1400015762</v>
      </c>
      <c r="G1461" s="1" t="s">
        <v>26</v>
      </c>
      <c r="I1461" s="1" t="s">
        <v>26</v>
      </c>
      <c r="K1461" s="2">
        <v>-68371.47</v>
      </c>
      <c r="L1461" s="1" t="s">
        <v>23</v>
      </c>
      <c r="N1461" s="2">
        <v>-68371.47</v>
      </c>
      <c r="O1461" s="1" t="s">
        <v>23</v>
      </c>
      <c r="P1461" s="1" t="s">
        <v>780</v>
      </c>
      <c r="Q1461" s="1">
        <v>1</v>
      </c>
    </row>
    <row r="1462" spans="4:17" x14ac:dyDescent="0.2">
      <c r="D1462" s="1" t="s">
        <v>444</v>
      </c>
      <c r="E1462" s="1">
        <v>1400015762</v>
      </c>
      <c r="G1462" s="1" t="s">
        <v>26</v>
      </c>
      <c r="I1462" s="1" t="s">
        <v>26</v>
      </c>
      <c r="K1462" s="2">
        <v>-44023.92</v>
      </c>
      <c r="L1462" s="1" t="s">
        <v>23</v>
      </c>
      <c r="N1462" s="2">
        <v>-44023.92</v>
      </c>
      <c r="O1462" s="1" t="s">
        <v>23</v>
      </c>
      <c r="P1462" s="1" t="s">
        <v>781</v>
      </c>
      <c r="Q1462" s="1">
        <v>1</v>
      </c>
    </row>
    <row r="1463" spans="4:17" x14ac:dyDescent="0.2">
      <c r="D1463" s="1" t="s">
        <v>444</v>
      </c>
      <c r="E1463" s="1">
        <v>1400015770</v>
      </c>
      <c r="G1463" s="1" t="s">
        <v>86</v>
      </c>
      <c r="I1463" s="1" t="s">
        <v>86</v>
      </c>
      <c r="K1463" s="2">
        <v>-124444.27</v>
      </c>
      <c r="L1463" s="1" t="s">
        <v>23</v>
      </c>
      <c r="N1463" s="2">
        <v>-124444.27</v>
      </c>
      <c r="O1463" s="1" t="s">
        <v>23</v>
      </c>
      <c r="P1463" s="1" t="s">
        <v>782</v>
      </c>
      <c r="Q1463" s="1">
        <v>1</v>
      </c>
    </row>
    <row r="1464" spans="4:17" x14ac:dyDescent="0.2">
      <c r="D1464" s="1" t="s">
        <v>444</v>
      </c>
      <c r="E1464" s="1">
        <v>1400015774</v>
      </c>
      <c r="G1464" s="1" t="s">
        <v>130</v>
      </c>
      <c r="I1464" s="1" t="s">
        <v>130</v>
      </c>
      <c r="K1464" s="2">
        <v>-21802.5</v>
      </c>
      <c r="L1464" s="1" t="s">
        <v>23</v>
      </c>
      <c r="N1464" s="2">
        <v>-21802.5</v>
      </c>
      <c r="O1464" s="1" t="s">
        <v>23</v>
      </c>
      <c r="P1464" s="1" t="s">
        <v>783</v>
      </c>
      <c r="Q1464" s="1">
        <v>1</v>
      </c>
    </row>
    <row r="1465" spans="4:17" x14ac:dyDescent="0.2">
      <c r="D1465" s="1" t="s">
        <v>444</v>
      </c>
      <c r="E1465" s="1">
        <v>1400015812</v>
      </c>
      <c r="G1465" s="1" t="s">
        <v>42</v>
      </c>
      <c r="I1465" s="1" t="s">
        <v>42</v>
      </c>
      <c r="K1465" s="2">
        <v>-249737.75</v>
      </c>
      <c r="L1465" s="1" t="s">
        <v>23</v>
      </c>
      <c r="N1465" s="2">
        <v>-249737.75</v>
      </c>
      <c r="O1465" s="1" t="s">
        <v>23</v>
      </c>
      <c r="P1465" s="1" t="s">
        <v>784</v>
      </c>
      <c r="Q1465" s="1">
        <v>1</v>
      </c>
    </row>
    <row r="1466" spans="4:17" x14ac:dyDescent="0.2">
      <c r="D1466" s="1" t="s">
        <v>444</v>
      </c>
      <c r="E1466" s="1">
        <v>1400015824</v>
      </c>
      <c r="G1466" s="1" t="s">
        <v>64</v>
      </c>
      <c r="I1466" s="1" t="s">
        <v>64</v>
      </c>
      <c r="K1466" s="2">
        <v>-29175.06</v>
      </c>
      <c r="L1466" s="1" t="s">
        <v>23</v>
      </c>
      <c r="N1466" s="2">
        <v>-29175.06</v>
      </c>
      <c r="O1466" s="1" t="s">
        <v>23</v>
      </c>
      <c r="P1466" s="1" t="s">
        <v>785</v>
      </c>
      <c r="Q1466" s="1">
        <v>1</v>
      </c>
    </row>
    <row r="1467" spans="4:17" x14ac:dyDescent="0.2">
      <c r="D1467" s="1" t="s">
        <v>444</v>
      </c>
      <c r="E1467" s="1">
        <v>1400015824</v>
      </c>
      <c r="G1467" s="1" t="s">
        <v>64</v>
      </c>
      <c r="I1467" s="1" t="s">
        <v>64</v>
      </c>
      <c r="K1467" s="2">
        <v>-2780.81</v>
      </c>
      <c r="L1467" s="1" t="s">
        <v>23</v>
      </c>
      <c r="N1467" s="2">
        <v>-2780.81</v>
      </c>
      <c r="O1467" s="1" t="s">
        <v>23</v>
      </c>
      <c r="P1467" s="1" t="s">
        <v>786</v>
      </c>
      <c r="Q1467" s="1">
        <v>1</v>
      </c>
    </row>
    <row r="1468" spans="4:17" x14ac:dyDescent="0.2">
      <c r="D1468" s="1" t="s">
        <v>444</v>
      </c>
      <c r="E1468" s="1">
        <v>1400015824</v>
      </c>
      <c r="G1468" s="1" t="s">
        <v>64</v>
      </c>
      <c r="I1468" s="1" t="s">
        <v>64</v>
      </c>
      <c r="K1468" s="2">
        <v>-28853.4</v>
      </c>
      <c r="L1468" s="1" t="s">
        <v>23</v>
      </c>
      <c r="N1468" s="2">
        <v>-28853.4</v>
      </c>
      <c r="O1468" s="1" t="s">
        <v>23</v>
      </c>
      <c r="P1468" s="1" t="s">
        <v>787</v>
      </c>
      <c r="Q1468" s="1">
        <v>1</v>
      </c>
    </row>
    <row r="1469" spans="4:17" x14ac:dyDescent="0.2">
      <c r="D1469" s="1" t="s">
        <v>444</v>
      </c>
      <c r="E1469" s="1">
        <v>1400015824</v>
      </c>
      <c r="G1469" s="1" t="s">
        <v>64</v>
      </c>
      <c r="I1469" s="1" t="s">
        <v>64</v>
      </c>
      <c r="K1469" s="2">
        <v>-160803.21</v>
      </c>
      <c r="L1469" s="1" t="s">
        <v>23</v>
      </c>
      <c r="N1469" s="2">
        <v>-160803.21</v>
      </c>
      <c r="O1469" s="1" t="s">
        <v>23</v>
      </c>
      <c r="P1469" s="1" t="s">
        <v>788</v>
      </c>
      <c r="Q1469" s="1">
        <v>1</v>
      </c>
    </row>
    <row r="1470" spans="4:17" x14ac:dyDescent="0.2">
      <c r="D1470" s="1" t="s">
        <v>444</v>
      </c>
      <c r="E1470" s="1">
        <v>1400015827</v>
      </c>
      <c r="G1470" s="1" t="s">
        <v>46</v>
      </c>
      <c r="I1470" s="1" t="s">
        <v>46</v>
      </c>
      <c r="K1470" s="2">
        <v>-38867.699999999997</v>
      </c>
      <c r="L1470" s="1" t="s">
        <v>23</v>
      </c>
      <c r="N1470" s="2">
        <v>-38867.699999999997</v>
      </c>
      <c r="O1470" s="1" t="s">
        <v>23</v>
      </c>
      <c r="P1470" s="1" t="s">
        <v>789</v>
      </c>
      <c r="Q1470" s="1">
        <v>1</v>
      </c>
    </row>
    <row r="1471" spans="4:17" x14ac:dyDescent="0.2">
      <c r="D1471" s="1" t="s">
        <v>444</v>
      </c>
      <c r="E1471" s="1">
        <v>1400015840</v>
      </c>
      <c r="G1471" s="1" t="s">
        <v>67</v>
      </c>
      <c r="I1471" s="1" t="s">
        <v>67</v>
      </c>
      <c r="K1471" s="2">
        <v>-80000</v>
      </c>
      <c r="L1471" s="1" t="s">
        <v>23</v>
      </c>
      <c r="N1471" s="2">
        <v>-80000</v>
      </c>
      <c r="O1471" s="1" t="s">
        <v>23</v>
      </c>
      <c r="P1471" s="1" t="s">
        <v>790</v>
      </c>
      <c r="Q1471" s="1">
        <v>1</v>
      </c>
    </row>
    <row r="1472" spans="4:17" x14ac:dyDescent="0.2">
      <c r="D1472" s="1" t="s">
        <v>444</v>
      </c>
      <c r="E1472" s="1">
        <v>1400015843</v>
      </c>
      <c r="G1472" s="1" t="s">
        <v>48</v>
      </c>
      <c r="I1472" s="1" t="s">
        <v>48</v>
      </c>
      <c r="K1472" s="2">
        <v>-84834.92</v>
      </c>
      <c r="L1472" s="1" t="s">
        <v>23</v>
      </c>
      <c r="N1472" s="2">
        <v>-84834.92</v>
      </c>
      <c r="O1472" s="1" t="s">
        <v>23</v>
      </c>
      <c r="P1472" s="1" t="s">
        <v>791</v>
      </c>
      <c r="Q1472" s="1">
        <v>1</v>
      </c>
    </row>
    <row r="1473" spans="1:17" x14ac:dyDescent="0.2">
      <c r="D1473" s="1" t="s">
        <v>444</v>
      </c>
      <c r="E1473" s="1">
        <v>1400015861</v>
      </c>
      <c r="G1473" s="1" t="s">
        <v>30</v>
      </c>
      <c r="I1473" s="1" t="s">
        <v>30</v>
      </c>
      <c r="K1473" s="2">
        <v>-120126</v>
      </c>
      <c r="L1473" s="1" t="s">
        <v>23</v>
      </c>
      <c r="N1473" s="2">
        <v>-120126</v>
      </c>
      <c r="O1473" s="1" t="s">
        <v>23</v>
      </c>
      <c r="P1473" s="1" t="s">
        <v>792</v>
      </c>
      <c r="Q1473" s="1">
        <v>1</v>
      </c>
    </row>
    <row r="1474" spans="1:17" x14ac:dyDescent="0.2">
      <c r="D1474" s="1" t="s">
        <v>444</v>
      </c>
      <c r="E1474" s="1">
        <v>1400015861</v>
      </c>
      <c r="G1474" s="1" t="s">
        <v>30</v>
      </c>
      <c r="I1474" s="1" t="s">
        <v>30</v>
      </c>
      <c r="K1474" s="2">
        <v>-16265.6</v>
      </c>
      <c r="L1474" s="1" t="s">
        <v>23</v>
      </c>
      <c r="N1474" s="2">
        <v>-16265.6</v>
      </c>
      <c r="O1474" s="1" t="s">
        <v>23</v>
      </c>
      <c r="P1474" s="1" t="s">
        <v>793</v>
      </c>
      <c r="Q1474" s="1">
        <v>1</v>
      </c>
    </row>
    <row r="1475" spans="1:17" x14ac:dyDescent="0.2">
      <c r="D1475" s="1" t="s">
        <v>444</v>
      </c>
      <c r="E1475" s="1">
        <v>1400015861</v>
      </c>
      <c r="G1475" s="1" t="s">
        <v>30</v>
      </c>
      <c r="I1475" s="1" t="s">
        <v>30</v>
      </c>
      <c r="K1475" s="2">
        <v>-226750.29</v>
      </c>
      <c r="L1475" s="1" t="s">
        <v>23</v>
      </c>
      <c r="N1475" s="2">
        <v>-226750.29</v>
      </c>
      <c r="O1475" s="1" t="s">
        <v>23</v>
      </c>
      <c r="P1475" s="1" t="s">
        <v>794</v>
      </c>
      <c r="Q1475" s="1">
        <v>1</v>
      </c>
    </row>
    <row r="1477" spans="1:17" x14ac:dyDescent="0.2">
      <c r="B1477" s="1" t="s">
        <v>32</v>
      </c>
      <c r="K1477" s="2">
        <v>-2081717.6</v>
      </c>
      <c r="L1477" s="1" t="s">
        <v>23</v>
      </c>
      <c r="N1477" s="2">
        <v>-2081717.6</v>
      </c>
      <c r="O1477" s="1" t="s">
        <v>23</v>
      </c>
    </row>
    <row r="1479" spans="1:17" x14ac:dyDescent="0.2">
      <c r="A1479" s="3"/>
      <c r="B1479" s="3" t="s">
        <v>33</v>
      </c>
      <c r="C1479" s="3" t="s">
        <v>286</v>
      </c>
      <c r="D1479" s="3"/>
      <c r="E1479" s="3"/>
      <c r="F1479" s="3"/>
      <c r="G1479" s="3"/>
      <c r="H1479" s="3"/>
      <c r="I1479" s="3"/>
      <c r="J1479" s="3"/>
      <c r="K1479" s="4">
        <v>-2081717.6</v>
      </c>
      <c r="L1479" s="3" t="s">
        <v>23</v>
      </c>
      <c r="M1479" s="3"/>
      <c r="N1479" s="4">
        <v>-2081717.6</v>
      </c>
      <c r="O1479" s="3" t="s">
        <v>23</v>
      </c>
      <c r="P1479" s="3"/>
      <c r="Q1479" s="3"/>
    </row>
    <row r="1481" spans="1:17" x14ac:dyDescent="0.2">
      <c r="A1481" s="1" t="s">
        <v>0</v>
      </c>
      <c r="F1481" s="1">
        <v>501285</v>
      </c>
    </row>
    <row r="1482" spans="1:17" x14ac:dyDescent="0.2">
      <c r="A1482" s="1" t="s">
        <v>1</v>
      </c>
      <c r="F1482" s="1" t="s">
        <v>2</v>
      </c>
    </row>
    <row r="1484" spans="1:17" x14ac:dyDescent="0.2">
      <c r="A1484" s="1" t="s">
        <v>3</v>
      </c>
      <c r="F1484" s="1" t="s">
        <v>287</v>
      </c>
    </row>
    <row r="1485" spans="1:17" x14ac:dyDescent="0.2">
      <c r="A1485" s="1" t="s">
        <v>5</v>
      </c>
      <c r="F1485" s="1" t="s">
        <v>55</v>
      </c>
    </row>
    <row r="1488" spans="1:17" x14ac:dyDescent="0.2">
      <c r="C1488" s="1" t="s">
        <v>7</v>
      </c>
      <c r="D1488" s="1" t="s">
        <v>8</v>
      </c>
      <c r="E1488" s="1" t="s">
        <v>9</v>
      </c>
      <c r="G1488" s="1" t="s">
        <v>10</v>
      </c>
      <c r="H1488" s="1" t="s">
        <v>11</v>
      </c>
      <c r="I1488" s="1" t="s">
        <v>12</v>
      </c>
      <c r="J1488" s="1" t="s">
        <v>13</v>
      </c>
      <c r="K1488" s="1" t="s">
        <v>14</v>
      </c>
      <c r="L1488" s="1" t="s">
        <v>15</v>
      </c>
      <c r="M1488" s="1" t="s">
        <v>16</v>
      </c>
      <c r="N1488" s="1" t="s">
        <v>17</v>
      </c>
      <c r="O1488" s="1" t="s">
        <v>18</v>
      </c>
      <c r="P1488" s="1" t="s">
        <v>19</v>
      </c>
      <c r="Q1488" s="1" t="s">
        <v>20</v>
      </c>
    </row>
    <row r="1490" spans="1:17" x14ac:dyDescent="0.2">
      <c r="D1490" s="1" t="s">
        <v>444</v>
      </c>
      <c r="E1490" s="1">
        <v>1400015768</v>
      </c>
      <c r="G1490" s="1" t="s">
        <v>86</v>
      </c>
      <c r="I1490" s="1" t="s">
        <v>86</v>
      </c>
      <c r="K1490" s="2">
        <v>-490705.87</v>
      </c>
      <c r="L1490" s="1" t="s">
        <v>23</v>
      </c>
      <c r="N1490" s="2">
        <v>-490705.87</v>
      </c>
      <c r="O1490" s="1" t="s">
        <v>23</v>
      </c>
      <c r="P1490" s="1" t="s">
        <v>795</v>
      </c>
      <c r="Q1490" s="1">
        <v>1</v>
      </c>
    </row>
    <row r="1491" spans="1:17" x14ac:dyDescent="0.2">
      <c r="D1491" s="1" t="s">
        <v>444</v>
      </c>
      <c r="E1491" s="1">
        <v>1400015815</v>
      </c>
      <c r="G1491" s="1" t="s">
        <v>104</v>
      </c>
      <c r="I1491" s="1" t="s">
        <v>104</v>
      </c>
      <c r="K1491" s="2">
        <v>-282149</v>
      </c>
      <c r="L1491" s="1" t="s">
        <v>23</v>
      </c>
      <c r="N1491" s="2">
        <v>-282149</v>
      </c>
      <c r="O1491" s="1" t="s">
        <v>23</v>
      </c>
      <c r="P1491" s="1" t="s">
        <v>796</v>
      </c>
      <c r="Q1491" s="1">
        <v>1</v>
      </c>
    </row>
    <row r="1492" spans="1:17" x14ac:dyDescent="0.2">
      <c r="D1492" s="1" t="s">
        <v>444</v>
      </c>
      <c r="E1492" s="1">
        <v>1400015815</v>
      </c>
      <c r="G1492" s="1" t="s">
        <v>104</v>
      </c>
      <c r="I1492" s="1" t="s">
        <v>104</v>
      </c>
      <c r="K1492" s="2">
        <v>-250782</v>
      </c>
      <c r="L1492" s="1" t="s">
        <v>23</v>
      </c>
      <c r="N1492" s="2">
        <v>-250782</v>
      </c>
      <c r="O1492" s="1" t="s">
        <v>23</v>
      </c>
      <c r="P1492" s="1" t="s">
        <v>797</v>
      </c>
      <c r="Q1492" s="1">
        <v>1</v>
      </c>
    </row>
    <row r="1493" spans="1:17" x14ac:dyDescent="0.2">
      <c r="D1493" s="1" t="s">
        <v>444</v>
      </c>
      <c r="E1493" s="1">
        <v>1400015911</v>
      </c>
      <c r="G1493" s="1" t="s">
        <v>50</v>
      </c>
      <c r="I1493" s="1" t="s">
        <v>50</v>
      </c>
      <c r="K1493" s="2">
        <v>-112820.64</v>
      </c>
      <c r="L1493" s="1" t="s">
        <v>23</v>
      </c>
      <c r="N1493" s="2">
        <v>-112820.64</v>
      </c>
      <c r="O1493" s="1" t="s">
        <v>23</v>
      </c>
      <c r="P1493" s="1" t="s">
        <v>798</v>
      </c>
      <c r="Q1493" s="1">
        <v>1</v>
      </c>
    </row>
    <row r="1495" spans="1:17" x14ac:dyDescent="0.2">
      <c r="B1495" s="1" t="s">
        <v>32</v>
      </c>
      <c r="K1495" s="2">
        <v>-1136457.51</v>
      </c>
      <c r="L1495" s="1" t="s">
        <v>23</v>
      </c>
      <c r="N1495" s="2">
        <v>-1136457.51</v>
      </c>
      <c r="O1495" s="1" t="s">
        <v>23</v>
      </c>
    </row>
    <row r="1497" spans="1:17" x14ac:dyDescent="0.2">
      <c r="A1497" s="3"/>
      <c r="B1497" s="3" t="s">
        <v>33</v>
      </c>
      <c r="C1497" s="3" t="s">
        <v>291</v>
      </c>
      <c r="D1497" s="3"/>
      <c r="E1497" s="3"/>
      <c r="F1497" s="3"/>
      <c r="G1497" s="3"/>
      <c r="H1497" s="3"/>
      <c r="I1497" s="3"/>
      <c r="J1497" s="3"/>
      <c r="K1497" s="4">
        <v>-1136457.51</v>
      </c>
      <c r="L1497" s="3" t="s">
        <v>23</v>
      </c>
      <c r="M1497" s="3"/>
      <c r="N1497" s="4">
        <v>-1136457.51</v>
      </c>
      <c r="O1497" s="3" t="s">
        <v>23</v>
      </c>
      <c r="P1497" s="3"/>
      <c r="Q1497" s="3"/>
    </row>
    <row r="1499" spans="1:17" x14ac:dyDescent="0.2">
      <c r="A1499" s="1" t="s">
        <v>0</v>
      </c>
      <c r="F1499" s="1">
        <v>501286</v>
      </c>
    </row>
    <row r="1500" spans="1:17" x14ac:dyDescent="0.2">
      <c r="A1500" s="1" t="s">
        <v>1</v>
      </c>
      <c r="F1500" s="1" t="s">
        <v>2</v>
      </c>
    </row>
    <row r="1502" spans="1:17" x14ac:dyDescent="0.2">
      <c r="A1502" s="1" t="s">
        <v>3</v>
      </c>
      <c r="F1502" s="1" t="s">
        <v>292</v>
      </c>
    </row>
    <row r="1503" spans="1:17" x14ac:dyDescent="0.2">
      <c r="A1503" s="1" t="s">
        <v>5</v>
      </c>
      <c r="F1503" s="1" t="s">
        <v>293</v>
      </c>
    </row>
    <row r="1506" spans="1:17" x14ac:dyDescent="0.2">
      <c r="C1506" s="1" t="s">
        <v>7</v>
      </c>
      <c r="D1506" s="1" t="s">
        <v>8</v>
      </c>
      <c r="E1506" s="1" t="s">
        <v>9</v>
      </c>
      <c r="G1506" s="1" t="s">
        <v>10</v>
      </c>
      <c r="H1506" s="1" t="s">
        <v>11</v>
      </c>
      <c r="I1506" s="1" t="s">
        <v>12</v>
      </c>
      <c r="J1506" s="1" t="s">
        <v>13</v>
      </c>
      <c r="K1506" s="1" t="s">
        <v>14</v>
      </c>
      <c r="L1506" s="1" t="s">
        <v>15</v>
      </c>
      <c r="M1506" s="1" t="s">
        <v>16</v>
      </c>
      <c r="N1506" s="1" t="s">
        <v>17</v>
      </c>
      <c r="O1506" s="1" t="s">
        <v>18</v>
      </c>
      <c r="P1506" s="1" t="s">
        <v>19</v>
      </c>
      <c r="Q1506" s="1" t="s">
        <v>20</v>
      </c>
    </row>
    <row r="1508" spans="1:17" x14ac:dyDescent="0.2">
      <c r="D1508" s="1" t="s">
        <v>444</v>
      </c>
      <c r="E1508" s="1">
        <v>1400015869</v>
      </c>
      <c r="G1508" s="1" t="s">
        <v>164</v>
      </c>
      <c r="I1508" s="1" t="s">
        <v>164</v>
      </c>
      <c r="K1508" s="2">
        <v>-1467720</v>
      </c>
      <c r="L1508" s="1" t="s">
        <v>23</v>
      </c>
      <c r="N1508" s="2">
        <v>-1467720</v>
      </c>
      <c r="O1508" s="1" t="s">
        <v>23</v>
      </c>
      <c r="P1508" s="1" t="s">
        <v>799</v>
      </c>
      <c r="Q1508" s="1">
        <v>1</v>
      </c>
    </row>
    <row r="1509" spans="1:17" x14ac:dyDescent="0.2">
      <c r="D1509" s="1" t="s">
        <v>444</v>
      </c>
      <c r="E1509" s="1">
        <v>1400015873</v>
      </c>
      <c r="G1509" s="1" t="s">
        <v>26</v>
      </c>
      <c r="I1509" s="1" t="s">
        <v>26</v>
      </c>
      <c r="K1509" s="2">
        <v>-1361700</v>
      </c>
      <c r="L1509" s="1" t="s">
        <v>23</v>
      </c>
      <c r="N1509" s="2">
        <v>-1361700</v>
      </c>
      <c r="O1509" s="1" t="s">
        <v>23</v>
      </c>
      <c r="P1509" s="1" t="s">
        <v>800</v>
      </c>
      <c r="Q1509" s="1">
        <v>1</v>
      </c>
    </row>
    <row r="1510" spans="1:17" x14ac:dyDescent="0.2">
      <c r="D1510" s="1" t="s">
        <v>444</v>
      </c>
      <c r="E1510" s="1">
        <v>1400015873</v>
      </c>
      <c r="G1510" s="1" t="s">
        <v>26</v>
      </c>
      <c r="I1510" s="1" t="s">
        <v>26</v>
      </c>
      <c r="K1510" s="2">
        <v>-988200</v>
      </c>
      <c r="L1510" s="1" t="s">
        <v>23</v>
      </c>
      <c r="N1510" s="2">
        <v>-988200</v>
      </c>
      <c r="O1510" s="1" t="s">
        <v>23</v>
      </c>
      <c r="P1510" s="1" t="s">
        <v>801</v>
      </c>
      <c r="Q1510" s="1">
        <v>1</v>
      </c>
    </row>
    <row r="1511" spans="1:17" x14ac:dyDescent="0.2">
      <c r="D1511" s="1" t="s">
        <v>444</v>
      </c>
      <c r="E1511" s="1">
        <v>1400015894</v>
      </c>
      <c r="G1511" s="1" t="s">
        <v>30</v>
      </c>
      <c r="I1511" s="1" t="s">
        <v>30</v>
      </c>
      <c r="K1511" s="2">
        <v>-1476330</v>
      </c>
      <c r="L1511" s="1" t="s">
        <v>23</v>
      </c>
      <c r="N1511" s="2">
        <v>-1476330</v>
      </c>
      <c r="O1511" s="1" t="s">
        <v>23</v>
      </c>
      <c r="P1511" s="1" t="s">
        <v>802</v>
      </c>
      <c r="Q1511" s="1">
        <v>1</v>
      </c>
    </row>
    <row r="1513" spans="1:17" x14ac:dyDescent="0.2">
      <c r="B1513" s="1" t="s">
        <v>32</v>
      </c>
      <c r="K1513" s="2">
        <v>-5293950</v>
      </c>
      <c r="L1513" s="1" t="s">
        <v>23</v>
      </c>
      <c r="N1513" s="2">
        <v>-5293950</v>
      </c>
      <c r="O1513" s="1" t="s">
        <v>23</v>
      </c>
    </row>
    <row r="1515" spans="1:17" x14ac:dyDescent="0.2">
      <c r="A1515" s="3"/>
      <c r="B1515" s="3" t="s">
        <v>33</v>
      </c>
      <c r="C1515" s="3" t="s">
        <v>295</v>
      </c>
      <c r="D1515" s="3"/>
      <c r="E1515" s="3"/>
      <c r="F1515" s="3"/>
      <c r="G1515" s="3"/>
      <c r="H1515" s="3"/>
      <c r="I1515" s="3"/>
      <c r="J1515" s="3"/>
      <c r="K1515" s="4">
        <v>-5293950</v>
      </c>
      <c r="L1515" s="3" t="s">
        <v>23</v>
      </c>
      <c r="M1515" s="3"/>
      <c r="N1515" s="4">
        <v>-5293950</v>
      </c>
      <c r="O1515" s="3" t="s">
        <v>23</v>
      </c>
      <c r="P1515" s="3"/>
      <c r="Q1515" s="3"/>
    </row>
    <row r="1517" spans="1:17" x14ac:dyDescent="0.2">
      <c r="A1517" s="1" t="s">
        <v>0</v>
      </c>
      <c r="F1517" s="1">
        <v>501288</v>
      </c>
    </row>
    <row r="1518" spans="1:17" x14ac:dyDescent="0.2">
      <c r="A1518" s="1" t="s">
        <v>1</v>
      </c>
      <c r="F1518" s="1" t="s">
        <v>2</v>
      </c>
    </row>
    <row r="1520" spans="1:17" x14ac:dyDescent="0.2">
      <c r="A1520" s="1" t="s">
        <v>3</v>
      </c>
      <c r="F1520" s="1" t="s">
        <v>615</v>
      </c>
    </row>
    <row r="1521" spans="1:17" x14ac:dyDescent="0.2">
      <c r="A1521" s="1" t="s">
        <v>5</v>
      </c>
      <c r="F1521" s="1" t="s">
        <v>803</v>
      </c>
    </row>
    <row r="1524" spans="1:17" x14ac:dyDescent="0.2">
      <c r="C1524" s="1" t="s">
        <v>7</v>
      </c>
      <c r="D1524" s="1" t="s">
        <v>8</v>
      </c>
      <c r="E1524" s="1" t="s">
        <v>9</v>
      </c>
      <c r="G1524" s="1" t="s">
        <v>10</v>
      </c>
      <c r="H1524" s="1" t="s">
        <v>11</v>
      </c>
      <c r="I1524" s="1" t="s">
        <v>12</v>
      </c>
      <c r="J1524" s="1" t="s">
        <v>13</v>
      </c>
      <c r="K1524" s="1" t="s">
        <v>14</v>
      </c>
      <c r="L1524" s="1" t="s">
        <v>15</v>
      </c>
      <c r="M1524" s="1" t="s">
        <v>16</v>
      </c>
      <c r="N1524" s="1" t="s">
        <v>17</v>
      </c>
      <c r="O1524" s="1" t="s">
        <v>18</v>
      </c>
      <c r="P1524" s="1" t="s">
        <v>19</v>
      </c>
      <c r="Q1524" s="1" t="s">
        <v>20</v>
      </c>
    </row>
    <row r="1526" spans="1:17" x14ac:dyDescent="0.2">
      <c r="D1526" s="1" t="s">
        <v>444</v>
      </c>
      <c r="E1526" s="1">
        <v>103527392</v>
      </c>
      <c r="G1526" s="1" t="s">
        <v>804</v>
      </c>
      <c r="I1526" s="1" t="s">
        <v>86</v>
      </c>
      <c r="K1526" s="2">
        <v>-26546.16</v>
      </c>
      <c r="L1526" s="1" t="s">
        <v>23</v>
      </c>
      <c r="N1526" s="2">
        <v>-26546.16</v>
      </c>
      <c r="O1526" s="1" t="s">
        <v>23</v>
      </c>
      <c r="P1526" s="1" t="s">
        <v>805</v>
      </c>
      <c r="Q1526" s="1">
        <v>1</v>
      </c>
    </row>
    <row r="1528" spans="1:17" x14ac:dyDescent="0.2">
      <c r="B1528" s="1" t="s">
        <v>32</v>
      </c>
      <c r="K1528" s="2">
        <v>-26546.16</v>
      </c>
      <c r="L1528" s="1" t="s">
        <v>23</v>
      </c>
      <c r="N1528" s="2">
        <v>-26546.16</v>
      </c>
      <c r="O1528" s="1" t="s">
        <v>23</v>
      </c>
    </row>
    <row r="1530" spans="1:17" x14ac:dyDescent="0.2">
      <c r="A1530" s="3"/>
      <c r="B1530" s="3" t="s">
        <v>33</v>
      </c>
      <c r="C1530" s="3" t="s">
        <v>806</v>
      </c>
      <c r="D1530" s="3"/>
      <c r="E1530" s="3"/>
      <c r="F1530" s="3"/>
      <c r="G1530" s="3"/>
      <c r="H1530" s="3"/>
      <c r="I1530" s="3"/>
      <c r="J1530" s="3"/>
      <c r="K1530" s="4">
        <v>-26546.16</v>
      </c>
      <c r="L1530" s="3" t="s">
        <v>23</v>
      </c>
      <c r="M1530" s="3"/>
      <c r="N1530" s="4">
        <v>-26546.16</v>
      </c>
      <c r="O1530" s="3" t="s">
        <v>23</v>
      </c>
      <c r="P1530" s="3"/>
      <c r="Q1530" s="3"/>
    </row>
    <row r="1532" spans="1:17" x14ac:dyDescent="0.2">
      <c r="A1532" s="1" t="s">
        <v>0</v>
      </c>
      <c r="F1532" s="1">
        <v>501291</v>
      </c>
    </row>
    <row r="1533" spans="1:17" x14ac:dyDescent="0.2">
      <c r="A1533" s="1" t="s">
        <v>1</v>
      </c>
      <c r="F1533" s="1" t="s">
        <v>2</v>
      </c>
    </row>
    <row r="1535" spans="1:17" x14ac:dyDescent="0.2">
      <c r="A1535" s="1" t="s">
        <v>3</v>
      </c>
      <c r="F1535" s="1" t="s">
        <v>78</v>
      </c>
    </row>
    <row r="1536" spans="1:17" x14ac:dyDescent="0.2">
      <c r="A1536" s="1" t="s">
        <v>5</v>
      </c>
      <c r="F1536" s="1" t="s">
        <v>189</v>
      </c>
    </row>
    <row r="1539" spans="3:17" x14ac:dyDescent="0.2">
      <c r="C1539" s="1" t="s">
        <v>7</v>
      </c>
      <c r="D1539" s="1" t="s">
        <v>8</v>
      </c>
      <c r="E1539" s="1" t="s">
        <v>9</v>
      </c>
      <c r="G1539" s="1" t="s">
        <v>10</v>
      </c>
      <c r="H1539" s="1" t="s">
        <v>11</v>
      </c>
      <c r="I1539" s="1" t="s">
        <v>12</v>
      </c>
      <c r="J1539" s="1" t="s">
        <v>13</v>
      </c>
      <c r="K1539" s="1" t="s">
        <v>14</v>
      </c>
      <c r="L1539" s="1" t="s">
        <v>15</v>
      </c>
      <c r="M1539" s="1" t="s">
        <v>16</v>
      </c>
      <c r="N1539" s="1" t="s">
        <v>17</v>
      </c>
      <c r="O1539" s="1" t="s">
        <v>18</v>
      </c>
      <c r="P1539" s="1" t="s">
        <v>19</v>
      </c>
      <c r="Q1539" s="1" t="s">
        <v>20</v>
      </c>
    </row>
    <row r="1541" spans="3:17" x14ac:dyDescent="0.2">
      <c r="D1541" s="1" t="s">
        <v>444</v>
      </c>
      <c r="E1541" s="1">
        <v>1400015744</v>
      </c>
      <c r="G1541" s="1" t="s">
        <v>36</v>
      </c>
      <c r="I1541" s="1" t="s">
        <v>36</v>
      </c>
      <c r="K1541" s="2">
        <v>-636002</v>
      </c>
      <c r="L1541" s="1" t="s">
        <v>23</v>
      </c>
      <c r="N1541" s="2">
        <v>-636002</v>
      </c>
      <c r="O1541" s="1" t="s">
        <v>23</v>
      </c>
      <c r="P1541" s="1" t="s">
        <v>807</v>
      </c>
      <c r="Q1541" s="1">
        <v>1</v>
      </c>
    </row>
    <row r="1542" spans="3:17" x14ac:dyDescent="0.2">
      <c r="D1542" s="1" t="s">
        <v>444</v>
      </c>
      <c r="E1542" s="1">
        <v>1400015744</v>
      </c>
      <c r="G1542" s="1" t="s">
        <v>36</v>
      </c>
      <c r="I1542" s="1" t="s">
        <v>36</v>
      </c>
      <c r="K1542" s="2">
        <v>-153062.79999999999</v>
      </c>
      <c r="L1542" s="1" t="s">
        <v>23</v>
      </c>
      <c r="N1542" s="2">
        <v>-153062.79999999999</v>
      </c>
      <c r="O1542" s="1" t="s">
        <v>23</v>
      </c>
      <c r="P1542" s="1" t="s">
        <v>808</v>
      </c>
      <c r="Q1542" s="1">
        <v>1</v>
      </c>
    </row>
    <row r="1543" spans="3:17" x14ac:dyDescent="0.2">
      <c r="D1543" s="1" t="s">
        <v>444</v>
      </c>
      <c r="E1543" s="1">
        <v>1400015744</v>
      </c>
      <c r="G1543" s="1" t="s">
        <v>36</v>
      </c>
      <c r="I1543" s="1" t="s">
        <v>36</v>
      </c>
      <c r="K1543" s="2">
        <v>-1243300</v>
      </c>
      <c r="L1543" s="1" t="s">
        <v>23</v>
      </c>
      <c r="N1543" s="2">
        <v>-1243300</v>
      </c>
      <c r="O1543" s="1" t="s">
        <v>23</v>
      </c>
      <c r="P1543" s="1" t="s">
        <v>809</v>
      </c>
      <c r="Q1543" s="1">
        <v>1</v>
      </c>
    </row>
    <row r="1544" spans="3:17" x14ac:dyDescent="0.2">
      <c r="D1544" s="1" t="s">
        <v>444</v>
      </c>
      <c r="E1544" s="1">
        <v>1400015753</v>
      </c>
      <c r="G1544" s="1" t="s">
        <v>22</v>
      </c>
      <c r="I1544" s="1" t="s">
        <v>22</v>
      </c>
      <c r="K1544" s="2">
        <v>-2608672.2999999998</v>
      </c>
      <c r="L1544" s="1" t="s">
        <v>23</v>
      </c>
      <c r="N1544" s="2">
        <v>-2608672.2999999998</v>
      </c>
      <c r="O1544" s="1" t="s">
        <v>23</v>
      </c>
      <c r="P1544" s="1" t="s">
        <v>810</v>
      </c>
      <c r="Q1544" s="1">
        <v>1</v>
      </c>
    </row>
    <row r="1545" spans="3:17" x14ac:dyDescent="0.2">
      <c r="D1545" s="1" t="s">
        <v>444</v>
      </c>
      <c r="E1545" s="1">
        <v>1400015765</v>
      </c>
      <c r="G1545" s="1" t="s">
        <v>26</v>
      </c>
      <c r="I1545" s="1" t="s">
        <v>26</v>
      </c>
      <c r="K1545" s="2">
        <v>-23605.32</v>
      </c>
      <c r="L1545" s="1" t="s">
        <v>23</v>
      </c>
      <c r="N1545" s="2">
        <v>-23605.32</v>
      </c>
      <c r="O1545" s="1" t="s">
        <v>23</v>
      </c>
      <c r="P1545" s="1" t="s">
        <v>811</v>
      </c>
      <c r="Q1545" s="1">
        <v>1</v>
      </c>
    </row>
    <row r="1546" spans="3:17" x14ac:dyDescent="0.2">
      <c r="D1546" s="1" t="s">
        <v>444</v>
      </c>
      <c r="E1546" s="1">
        <v>1400015765</v>
      </c>
      <c r="G1546" s="1" t="s">
        <v>26</v>
      </c>
      <c r="I1546" s="1" t="s">
        <v>26</v>
      </c>
      <c r="K1546" s="2">
        <v>-2941327.7</v>
      </c>
      <c r="L1546" s="1" t="s">
        <v>23</v>
      </c>
      <c r="N1546" s="2">
        <v>-2941327.7</v>
      </c>
      <c r="O1546" s="1" t="s">
        <v>23</v>
      </c>
      <c r="P1546" s="1" t="s">
        <v>810</v>
      </c>
      <c r="Q1546" s="1">
        <v>1</v>
      </c>
    </row>
    <row r="1547" spans="3:17" x14ac:dyDescent="0.2">
      <c r="D1547" s="1" t="s">
        <v>444</v>
      </c>
      <c r="E1547" s="1">
        <v>1400015777</v>
      </c>
      <c r="G1547" s="1" t="s">
        <v>130</v>
      </c>
      <c r="I1547" s="1" t="s">
        <v>130</v>
      </c>
      <c r="K1547" s="2">
        <v>-1231994.68</v>
      </c>
      <c r="L1547" s="1" t="s">
        <v>23</v>
      </c>
      <c r="N1547" s="2">
        <v>-1231994.68</v>
      </c>
      <c r="O1547" s="1" t="s">
        <v>23</v>
      </c>
      <c r="P1547" s="1" t="s">
        <v>811</v>
      </c>
      <c r="Q1547" s="1">
        <v>1</v>
      </c>
    </row>
    <row r="1548" spans="3:17" x14ac:dyDescent="0.2">
      <c r="D1548" s="1" t="s">
        <v>444</v>
      </c>
      <c r="E1548" s="1">
        <v>1400015777</v>
      </c>
      <c r="G1548" s="1" t="s">
        <v>130</v>
      </c>
      <c r="I1548" s="1" t="s">
        <v>130</v>
      </c>
      <c r="K1548" s="2">
        <v>-599230</v>
      </c>
      <c r="L1548" s="1" t="s">
        <v>23</v>
      </c>
      <c r="N1548" s="2">
        <v>-599230</v>
      </c>
      <c r="O1548" s="1" t="s">
        <v>23</v>
      </c>
      <c r="P1548" s="1" t="s">
        <v>812</v>
      </c>
      <c r="Q1548" s="1">
        <v>1</v>
      </c>
    </row>
    <row r="1549" spans="3:17" x14ac:dyDescent="0.2">
      <c r="D1549" s="1" t="s">
        <v>444</v>
      </c>
      <c r="E1549" s="1">
        <v>1400015777</v>
      </c>
      <c r="G1549" s="1" t="s">
        <v>130</v>
      </c>
      <c r="I1549" s="1" t="s">
        <v>130</v>
      </c>
      <c r="K1549" s="2">
        <v>-960579.6</v>
      </c>
      <c r="L1549" s="1" t="s">
        <v>23</v>
      </c>
      <c r="N1549" s="2">
        <v>-960579.6</v>
      </c>
      <c r="O1549" s="1" t="s">
        <v>23</v>
      </c>
      <c r="P1549" s="1" t="s">
        <v>813</v>
      </c>
      <c r="Q1549" s="1">
        <v>1</v>
      </c>
    </row>
    <row r="1550" spans="3:17" x14ac:dyDescent="0.2">
      <c r="D1550" s="1" t="s">
        <v>444</v>
      </c>
      <c r="E1550" s="1">
        <v>1400015777</v>
      </c>
      <c r="G1550" s="1" t="s">
        <v>130</v>
      </c>
      <c r="I1550" s="1" t="s">
        <v>130</v>
      </c>
      <c r="K1550" s="2">
        <v>-5462.48</v>
      </c>
      <c r="L1550" s="1" t="s">
        <v>23</v>
      </c>
      <c r="N1550" s="2">
        <v>-5462.48</v>
      </c>
      <c r="O1550" s="1" t="s">
        <v>23</v>
      </c>
      <c r="P1550" s="1" t="s">
        <v>814</v>
      </c>
      <c r="Q1550" s="1">
        <v>1</v>
      </c>
    </row>
    <row r="1551" spans="3:17" x14ac:dyDescent="0.2">
      <c r="D1551" s="1" t="s">
        <v>444</v>
      </c>
      <c r="E1551" s="1">
        <v>1400015777</v>
      </c>
      <c r="G1551" s="1" t="s">
        <v>130</v>
      </c>
      <c r="I1551" s="1" t="s">
        <v>130</v>
      </c>
      <c r="K1551" s="2">
        <v>-880311</v>
      </c>
      <c r="L1551" s="1" t="s">
        <v>23</v>
      </c>
      <c r="N1551" s="2">
        <v>-880311</v>
      </c>
      <c r="O1551" s="1" t="s">
        <v>23</v>
      </c>
      <c r="P1551" s="1" t="s">
        <v>815</v>
      </c>
      <c r="Q1551" s="1">
        <v>1</v>
      </c>
    </row>
    <row r="1552" spans="3:17" x14ac:dyDescent="0.2">
      <c r="D1552" s="1" t="s">
        <v>444</v>
      </c>
      <c r="E1552" s="1">
        <v>1400015777</v>
      </c>
      <c r="G1552" s="1" t="s">
        <v>130</v>
      </c>
      <c r="I1552" s="1" t="s">
        <v>130</v>
      </c>
      <c r="K1552" s="2">
        <v>-1049733.8</v>
      </c>
      <c r="L1552" s="1" t="s">
        <v>23</v>
      </c>
      <c r="N1552" s="2">
        <v>-1049733.8</v>
      </c>
      <c r="O1552" s="1" t="s">
        <v>23</v>
      </c>
      <c r="P1552" s="1" t="s">
        <v>816</v>
      </c>
      <c r="Q1552" s="1">
        <v>1</v>
      </c>
    </row>
    <row r="1553" spans="1:17" x14ac:dyDescent="0.2">
      <c r="D1553" s="1" t="s">
        <v>444</v>
      </c>
      <c r="E1553" s="1">
        <v>1400015820</v>
      </c>
      <c r="G1553" s="1" t="s">
        <v>64</v>
      </c>
      <c r="I1553" s="1" t="s">
        <v>64</v>
      </c>
      <c r="K1553" s="2">
        <v>-2502537.52</v>
      </c>
      <c r="L1553" s="1" t="s">
        <v>23</v>
      </c>
      <c r="N1553" s="2">
        <v>-2502537.52</v>
      </c>
      <c r="O1553" s="1" t="s">
        <v>23</v>
      </c>
      <c r="P1553" s="1" t="s">
        <v>814</v>
      </c>
      <c r="Q1553" s="1">
        <v>1</v>
      </c>
    </row>
    <row r="1554" spans="1:17" x14ac:dyDescent="0.2">
      <c r="D1554" s="1" t="s">
        <v>444</v>
      </c>
      <c r="E1554" s="1">
        <v>1400015820</v>
      </c>
      <c r="G1554" s="1" t="s">
        <v>64</v>
      </c>
      <c r="I1554" s="1" t="s">
        <v>64</v>
      </c>
      <c r="K1554" s="2">
        <v>-304510.46999999997</v>
      </c>
      <c r="L1554" s="1" t="s">
        <v>23</v>
      </c>
      <c r="N1554" s="2">
        <v>-304510.46999999997</v>
      </c>
      <c r="O1554" s="1" t="s">
        <v>23</v>
      </c>
      <c r="P1554" s="1" t="s">
        <v>817</v>
      </c>
      <c r="Q1554" s="1">
        <v>1</v>
      </c>
    </row>
    <row r="1555" spans="1:17" x14ac:dyDescent="0.2">
      <c r="D1555" s="1" t="s">
        <v>444</v>
      </c>
      <c r="E1555" s="1">
        <v>1400015858</v>
      </c>
      <c r="G1555" s="1" t="s">
        <v>58</v>
      </c>
      <c r="I1555" s="1" t="s">
        <v>58</v>
      </c>
      <c r="K1555" s="2">
        <v>-1758224</v>
      </c>
      <c r="L1555" s="1" t="s">
        <v>23</v>
      </c>
      <c r="N1555" s="2">
        <v>-1758224</v>
      </c>
      <c r="O1555" s="1" t="s">
        <v>23</v>
      </c>
      <c r="P1555" s="1" t="s">
        <v>818</v>
      </c>
      <c r="Q1555" s="1">
        <v>1</v>
      </c>
    </row>
    <row r="1556" spans="1:17" x14ac:dyDescent="0.2">
      <c r="D1556" s="1" t="s">
        <v>444</v>
      </c>
      <c r="E1556" s="1">
        <v>1400015858</v>
      </c>
      <c r="G1556" s="1" t="s">
        <v>58</v>
      </c>
      <c r="I1556" s="1" t="s">
        <v>58</v>
      </c>
      <c r="K1556" s="2">
        <v>-2165050</v>
      </c>
      <c r="L1556" s="1" t="s">
        <v>23</v>
      </c>
      <c r="N1556" s="2">
        <v>-2165050</v>
      </c>
      <c r="O1556" s="1" t="s">
        <v>23</v>
      </c>
      <c r="P1556" s="1" t="s">
        <v>819</v>
      </c>
      <c r="Q1556" s="1">
        <v>1</v>
      </c>
    </row>
    <row r="1558" spans="1:17" x14ac:dyDescent="0.2">
      <c r="B1558" s="1" t="s">
        <v>32</v>
      </c>
      <c r="K1558" s="2">
        <v>-19063603.670000002</v>
      </c>
      <c r="L1558" s="1" t="s">
        <v>23</v>
      </c>
      <c r="N1558" s="2">
        <v>-19063603.670000002</v>
      </c>
      <c r="O1558" s="1" t="s">
        <v>23</v>
      </c>
    </row>
    <row r="1560" spans="1:17" x14ac:dyDescent="0.2">
      <c r="A1560" s="3"/>
      <c r="B1560" s="3" t="s">
        <v>33</v>
      </c>
      <c r="C1560" s="3" t="s">
        <v>309</v>
      </c>
      <c r="D1560" s="3"/>
      <c r="E1560" s="3"/>
      <c r="F1560" s="3"/>
      <c r="G1560" s="3"/>
      <c r="H1560" s="3"/>
      <c r="I1560" s="3"/>
      <c r="J1560" s="3"/>
      <c r="K1560" s="4">
        <v>-19063603.670000002</v>
      </c>
      <c r="L1560" s="3" t="s">
        <v>23</v>
      </c>
      <c r="M1560" s="3"/>
      <c r="N1560" s="4">
        <v>-19063603.670000002</v>
      </c>
      <c r="O1560" s="3" t="s">
        <v>23</v>
      </c>
      <c r="P1560" s="3"/>
      <c r="Q1560" s="3"/>
    </row>
    <row r="1562" spans="1:17" x14ac:dyDescent="0.2">
      <c r="A1562" s="1" t="s">
        <v>0</v>
      </c>
      <c r="F1562" s="1">
        <v>501293</v>
      </c>
    </row>
    <row r="1563" spans="1:17" x14ac:dyDescent="0.2">
      <c r="A1563" s="1" t="s">
        <v>1</v>
      </c>
      <c r="F1563" s="1" t="s">
        <v>2</v>
      </c>
    </row>
    <row r="1565" spans="1:17" x14ac:dyDescent="0.2">
      <c r="A1565" s="1" t="s">
        <v>3</v>
      </c>
      <c r="F1565" s="1" t="s">
        <v>310</v>
      </c>
    </row>
    <row r="1566" spans="1:17" x14ac:dyDescent="0.2">
      <c r="A1566" s="1" t="s">
        <v>5</v>
      </c>
      <c r="F1566" s="1" t="s">
        <v>55</v>
      </c>
    </row>
    <row r="1569" spans="1:17" x14ac:dyDescent="0.2">
      <c r="C1569" s="1" t="s">
        <v>7</v>
      </c>
      <c r="D1569" s="1" t="s">
        <v>8</v>
      </c>
      <c r="E1569" s="1" t="s">
        <v>9</v>
      </c>
      <c r="G1569" s="1" t="s">
        <v>10</v>
      </c>
      <c r="H1569" s="1" t="s">
        <v>11</v>
      </c>
      <c r="I1569" s="1" t="s">
        <v>12</v>
      </c>
      <c r="J1569" s="1" t="s">
        <v>13</v>
      </c>
      <c r="K1569" s="1" t="s">
        <v>14</v>
      </c>
      <c r="L1569" s="1" t="s">
        <v>15</v>
      </c>
      <c r="M1569" s="1" t="s">
        <v>16</v>
      </c>
      <c r="N1569" s="1" t="s">
        <v>17</v>
      </c>
      <c r="O1569" s="1" t="s">
        <v>18</v>
      </c>
      <c r="P1569" s="1" t="s">
        <v>19</v>
      </c>
      <c r="Q1569" s="1" t="s">
        <v>20</v>
      </c>
    </row>
    <row r="1571" spans="1:17" x14ac:dyDescent="0.2">
      <c r="D1571" s="1" t="s">
        <v>444</v>
      </c>
      <c r="E1571" s="1">
        <v>1400015871</v>
      </c>
      <c r="G1571" s="1" t="s">
        <v>36</v>
      </c>
      <c r="I1571" s="1" t="s">
        <v>36</v>
      </c>
      <c r="K1571" s="2">
        <v>-582164</v>
      </c>
      <c r="L1571" s="1" t="s">
        <v>23</v>
      </c>
      <c r="N1571" s="2">
        <v>-582164</v>
      </c>
      <c r="O1571" s="1" t="s">
        <v>23</v>
      </c>
      <c r="P1571" s="1" t="s">
        <v>820</v>
      </c>
      <c r="Q1571" s="1">
        <v>1</v>
      </c>
    </row>
    <row r="1572" spans="1:17" x14ac:dyDescent="0.2">
      <c r="D1572" s="1" t="s">
        <v>444</v>
      </c>
      <c r="E1572" s="1">
        <v>1400015878</v>
      </c>
      <c r="G1572" s="1" t="s">
        <v>42</v>
      </c>
      <c r="I1572" s="1" t="s">
        <v>42</v>
      </c>
      <c r="K1572" s="2">
        <v>-606444.31000000006</v>
      </c>
      <c r="L1572" s="1" t="s">
        <v>23</v>
      </c>
      <c r="N1572" s="2">
        <v>-606444.31000000006</v>
      </c>
      <c r="O1572" s="1" t="s">
        <v>23</v>
      </c>
      <c r="P1572" s="1" t="s">
        <v>821</v>
      </c>
      <c r="Q1572" s="1">
        <v>1</v>
      </c>
    </row>
    <row r="1573" spans="1:17" x14ac:dyDescent="0.2">
      <c r="D1573" s="1" t="s">
        <v>444</v>
      </c>
      <c r="E1573" s="1">
        <v>1400015887</v>
      </c>
      <c r="G1573" s="1" t="s">
        <v>46</v>
      </c>
      <c r="I1573" s="1" t="s">
        <v>46</v>
      </c>
      <c r="K1573" s="2">
        <v>-611650</v>
      </c>
      <c r="L1573" s="1" t="s">
        <v>23</v>
      </c>
      <c r="N1573" s="2">
        <v>-611650</v>
      </c>
      <c r="O1573" s="1" t="s">
        <v>23</v>
      </c>
      <c r="P1573" s="1" t="s">
        <v>822</v>
      </c>
      <c r="Q1573" s="1">
        <v>1</v>
      </c>
    </row>
    <row r="1574" spans="1:17" x14ac:dyDescent="0.2">
      <c r="D1574" s="1" t="s">
        <v>444</v>
      </c>
      <c r="E1574" s="1">
        <v>1400015936</v>
      </c>
      <c r="G1574" s="1" t="s">
        <v>64</v>
      </c>
      <c r="I1574" s="1" t="s">
        <v>64</v>
      </c>
      <c r="K1574" s="2">
        <v>-1305.69</v>
      </c>
      <c r="L1574" s="1" t="s">
        <v>23</v>
      </c>
      <c r="N1574" s="2">
        <v>-1305.69</v>
      </c>
      <c r="O1574" s="1" t="s">
        <v>23</v>
      </c>
      <c r="P1574" s="1" t="s">
        <v>821</v>
      </c>
      <c r="Q1574" s="1">
        <v>1</v>
      </c>
    </row>
    <row r="1576" spans="1:17" x14ac:dyDescent="0.2">
      <c r="B1576" s="1" t="s">
        <v>32</v>
      </c>
      <c r="K1576" s="2">
        <v>-1801564</v>
      </c>
      <c r="L1576" s="1" t="s">
        <v>23</v>
      </c>
      <c r="N1576" s="2">
        <v>-1801564</v>
      </c>
      <c r="O1576" s="1" t="s">
        <v>23</v>
      </c>
    </row>
    <row r="1578" spans="1:17" x14ac:dyDescent="0.2">
      <c r="A1578" s="3"/>
      <c r="B1578" s="3" t="s">
        <v>33</v>
      </c>
      <c r="C1578" s="3" t="s">
        <v>312</v>
      </c>
      <c r="D1578" s="3"/>
      <c r="E1578" s="3"/>
      <c r="F1578" s="3"/>
      <c r="G1578" s="3"/>
      <c r="H1578" s="3"/>
      <c r="I1578" s="3"/>
      <c r="J1578" s="3"/>
      <c r="K1578" s="4">
        <v>-1801564</v>
      </c>
      <c r="L1578" s="3" t="s">
        <v>23</v>
      </c>
      <c r="M1578" s="3"/>
      <c r="N1578" s="4">
        <v>-1801564</v>
      </c>
      <c r="O1578" s="3" t="s">
        <v>23</v>
      </c>
      <c r="P1578" s="3"/>
      <c r="Q1578" s="3"/>
    </row>
    <row r="1580" spans="1:17" x14ac:dyDescent="0.2">
      <c r="A1580" s="1" t="s">
        <v>0</v>
      </c>
      <c r="F1580" s="1">
        <v>501299</v>
      </c>
    </row>
    <row r="1581" spans="1:17" x14ac:dyDescent="0.2">
      <c r="A1581" s="1" t="s">
        <v>1</v>
      </c>
      <c r="F1581" s="1" t="s">
        <v>2</v>
      </c>
    </row>
    <row r="1583" spans="1:17" x14ac:dyDescent="0.2">
      <c r="A1583" s="1" t="s">
        <v>3</v>
      </c>
      <c r="F1583" s="1" t="s">
        <v>759</v>
      </c>
    </row>
    <row r="1584" spans="1:17" x14ac:dyDescent="0.2">
      <c r="A1584" s="1" t="s">
        <v>5</v>
      </c>
      <c r="F1584" s="1" t="s">
        <v>485</v>
      </c>
    </row>
    <row r="1587" spans="1:17" x14ac:dyDescent="0.2">
      <c r="C1587" s="1" t="s">
        <v>7</v>
      </c>
      <c r="D1587" s="1" t="s">
        <v>8</v>
      </c>
      <c r="E1587" s="1" t="s">
        <v>9</v>
      </c>
      <c r="G1587" s="1" t="s">
        <v>10</v>
      </c>
      <c r="H1587" s="1" t="s">
        <v>11</v>
      </c>
      <c r="I1587" s="1" t="s">
        <v>12</v>
      </c>
      <c r="J1587" s="1" t="s">
        <v>13</v>
      </c>
      <c r="K1587" s="1" t="s">
        <v>14</v>
      </c>
      <c r="L1587" s="1" t="s">
        <v>15</v>
      </c>
      <c r="M1587" s="1" t="s">
        <v>16</v>
      </c>
      <c r="N1587" s="1" t="s">
        <v>17</v>
      </c>
      <c r="O1587" s="1" t="s">
        <v>18</v>
      </c>
      <c r="P1587" s="1" t="s">
        <v>19</v>
      </c>
      <c r="Q1587" s="1" t="s">
        <v>20</v>
      </c>
    </row>
    <row r="1589" spans="1:17" x14ac:dyDescent="0.2">
      <c r="D1589" s="1" t="s">
        <v>444</v>
      </c>
      <c r="E1589" s="1">
        <v>103527505</v>
      </c>
      <c r="G1589" s="1" t="s">
        <v>58</v>
      </c>
      <c r="I1589" s="1" t="s">
        <v>58</v>
      </c>
      <c r="K1589" s="2">
        <v>-156469.56</v>
      </c>
      <c r="L1589" s="1" t="s">
        <v>23</v>
      </c>
      <c r="N1589" s="2">
        <v>-54130.48</v>
      </c>
      <c r="O1589" s="1" t="s">
        <v>603</v>
      </c>
      <c r="P1589" s="1" t="s">
        <v>823</v>
      </c>
      <c r="Q1589" s="1">
        <v>2.8906000000000001</v>
      </c>
    </row>
    <row r="1591" spans="1:17" x14ac:dyDescent="0.2">
      <c r="B1591" s="1" t="s">
        <v>32</v>
      </c>
      <c r="K1591" s="2">
        <v>-156469.56</v>
      </c>
      <c r="L1591" s="1" t="s">
        <v>23</v>
      </c>
      <c r="N1591" s="2">
        <v>-54130.48</v>
      </c>
      <c r="O1591" s="1" t="s">
        <v>603</v>
      </c>
    </row>
    <row r="1593" spans="1:17" x14ac:dyDescent="0.2">
      <c r="A1593" s="3"/>
      <c r="B1593" s="3" t="s">
        <v>33</v>
      </c>
      <c r="C1593" s="3" t="s">
        <v>824</v>
      </c>
      <c r="D1593" s="3"/>
      <c r="E1593" s="3"/>
      <c r="F1593" s="3"/>
      <c r="G1593" s="3"/>
      <c r="H1593" s="3"/>
      <c r="I1593" s="3"/>
      <c r="J1593" s="3"/>
      <c r="K1593" s="4">
        <v>-156469.56</v>
      </c>
      <c r="L1593" s="3" t="s">
        <v>23</v>
      </c>
      <c r="M1593" s="3"/>
      <c r="N1593" s="4">
        <v>-54130.48</v>
      </c>
      <c r="O1593" s="3" t="s">
        <v>603</v>
      </c>
      <c r="P1593" s="3"/>
      <c r="Q1593" s="3"/>
    </row>
    <row r="1595" spans="1:17" x14ac:dyDescent="0.2">
      <c r="A1595" s="1" t="s">
        <v>0</v>
      </c>
      <c r="F1595" s="1">
        <v>501307</v>
      </c>
    </row>
    <row r="1596" spans="1:17" x14ac:dyDescent="0.2">
      <c r="A1596" s="1" t="s">
        <v>1</v>
      </c>
      <c r="F1596" s="1" t="s">
        <v>2</v>
      </c>
    </row>
    <row r="1598" spans="1:17" x14ac:dyDescent="0.2">
      <c r="A1598" s="1" t="s">
        <v>3</v>
      </c>
      <c r="F1598" s="1" t="s">
        <v>825</v>
      </c>
    </row>
    <row r="1599" spans="1:17" x14ac:dyDescent="0.2">
      <c r="A1599" s="1" t="s">
        <v>5</v>
      </c>
      <c r="F1599" s="1" t="s">
        <v>648</v>
      </c>
    </row>
    <row r="1602" spans="1:17" x14ac:dyDescent="0.2">
      <c r="C1602" s="1" t="s">
        <v>7</v>
      </c>
      <c r="D1602" s="1" t="s">
        <v>8</v>
      </c>
      <c r="E1602" s="1" t="s">
        <v>9</v>
      </c>
      <c r="G1602" s="1" t="s">
        <v>10</v>
      </c>
      <c r="H1602" s="1" t="s">
        <v>11</v>
      </c>
      <c r="I1602" s="1" t="s">
        <v>12</v>
      </c>
      <c r="J1602" s="1" t="s">
        <v>13</v>
      </c>
      <c r="K1602" s="1" t="s">
        <v>14</v>
      </c>
      <c r="L1602" s="1" t="s">
        <v>15</v>
      </c>
      <c r="M1602" s="1" t="s">
        <v>16</v>
      </c>
      <c r="N1602" s="1" t="s">
        <v>17</v>
      </c>
      <c r="O1602" s="1" t="s">
        <v>18</v>
      </c>
      <c r="P1602" s="1" t="s">
        <v>19</v>
      </c>
      <c r="Q1602" s="1" t="s">
        <v>20</v>
      </c>
    </row>
    <row r="1604" spans="1:17" x14ac:dyDescent="0.2">
      <c r="D1604" s="1" t="s">
        <v>444</v>
      </c>
      <c r="E1604" s="1">
        <v>1400015908</v>
      </c>
      <c r="G1604" s="1" t="s">
        <v>665</v>
      </c>
      <c r="I1604" s="1" t="s">
        <v>665</v>
      </c>
      <c r="K1604" s="2">
        <v>-127110.95</v>
      </c>
      <c r="L1604" s="1" t="s">
        <v>23</v>
      </c>
      <c r="N1604" s="2">
        <v>-127110.95</v>
      </c>
      <c r="O1604" s="1" t="s">
        <v>23</v>
      </c>
      <c r="P1604" s="1" t="s">
        <v>826</v>
      </c>
      <c r="Q1604" s="1">
        <v>1</v>
      </c>
    </row>
    <row r="1606" spans="1:17" x14ac:dyDescent="0.2">
      <c r="B1606" s="1" t="s">
        <v>32</v>
      </c>
      <c r="K1606" s="2">
        <v>-127110.95</v>
      </c>
      <c r="L1606" s="1" t="s">
        <v>23</v>
      </c>
      <c r="N1606" s="2">
        <v>-127110.95</v>
      </c>
      <c r="O1606" s="1" t="s">
        <v>23</v>
      </c>
    </row>
    <row r="1608" spans="1:17" x14ac:dyDescent="0.2">
      <c r="A1608" s="3"/>
      <c r="B1608" s="3" t="s">
        <v>33</v>
      </c>
      <c r="C1608" s="3" t="s">
        <v>827</v>
      </c>
      <c r="D1608" s="3"/>
      <c r="E1608" s="3"/>
      <c r="F1608" s="3"/>
      <c r="G1608" s="3"/>
      <c r="H1608" s="3"/>
      <c r="I1608" s="3"/>
      <c r="J1608" s="3"/>
      <c r="K1608" s="4">
        <v>-127110.95</v>
      </c>
      <c r="L1608" s="3" t="s">
        <v>23</v>
      </c>
      <c r="M1608" s="3"/>
      <c r="N1608" s="4">
        <v>-127110.95</v>
      </c>
      <c r="O1608" s="3" t="s">
        <v>23</v>
      </c>
      <c r="P1608" s="3"/>
      <c r="Q1608" s="3"/>
    </row>
    <row r="1610" spans="1:17" x14ac:dyDescent="0.2">
      <c r="A1610" s="1" t="s">
        <v>0</v>
      </c>
      <c r="F1610" s="1">
        <v>501320</v>
      </c>
    </row>
    <row r="1611" spans="1:17" x14ac:dyDescent="0.2">
      <c r="A1611" s="1" t="s">
        <v>1</v>
      </c>
      <c r="F1611" s="1" t="s">
        <v>2</v>
      </c>
    </row>
    <row r="1613" spans="1:17" x14ac:dyDescent="0.2">
      <c r="A1613" s="1" t="s">
        <v>3</v>
      </c>
      <c r="F1613" s="1" t="s">
        <v>233</v>
      </c>
    </row>
    <row r="1614" spans="1:17" x14ac:dyDescent="0.2">
      <c r="A1614" s="1" t="s">
        <v>5</v>
      </c>
      <c r="F1614" s="1" t="s">
        <v>151</v>
      </c>
    </row>
    <row r="1617" spans="1:17" x14ac:dyDescent="0.2">
      <c r="C1617" s="1" t="s">
        <v>7</v>
      </c>
      <c r="D1617" s="1" t="s">
        <v>8</v>
      </c>
      <c r="E1617" s="1" t="s">
        <v>9</v>
      </c>
      <c r="G1617" s="1" t="s">
        <v>10</v>
      </c>
      <c r="H1617" s="1" t="s">
        <v>11</v>
      </c>
      <c r="I1617" s="1" t="s">
        <v>12</v>
      </c>
      <c r="J1617" s="1" t="s">
        <v>13</v>
      </c>
      <c r="K1617" s="1" t="s">
        <v>14</v>
      </c>
      <c r="L1617" s="1" t="s">
        <v>15</v>
      </c>
      <c r="M1617" s="1" t="s">
        <v>16</v>
      </c>
      <c r="N1617" s="1" t="s">
        <v>17</v>
      </c>
      <c r="O1617" s="1" t="s">
        <v>18</v>
      </c>
      <c r="P1617" s="1" t="s">
        <v>19</v>
      </c>
      <c r="Q1617" s="1" t="s">
        <v>20</v>
      </c>
    </row>
    <row r="1619" spans="1:17" x14ac:dyDescent="0.2">
      <c r="D1619" s="1" t="s">
        <v>444</v>
      </c>
      <c r="E1619" s="1">
        <v>1400015828</v>
      </c>
      <c r="G1619" s="1" t="s">
        <v>46</v>
      </c>
      <c r="I1619" s="1" t="s">
        <v>46</v>
      </c>
      <c r="K1619" s="2">
        <v>-843200</v>
      </c>
      <c r="L1619" s="1" t="s">
        <v>23</v>
      </c>
      <c r="N1619" s="2">
        <v>-843200</v>
      </c>
      <c r="O1619" s="1" t="s">
        <v>23</v>
      </c>
      <c r="P1619" s="1" t="s">
        <v>828</v>
      </c>
      <c r="Q1619" s="1">
        <v>1</v>
      </c>
    </row>
    <row r="1621" spans="1:17" x14ac:dyDescent="0.2">
      <c r="B1621" s="1" t="s">
        <v>32</v>
      </c>
      <c r="K1621" s="2">
        <v>-843200</v>
      </c>
      <c r="L1621" s="1" t="s">
        <v>23</v>
      </c>
      <c r="N1621" s="2">
        <v>-843200</v>
      </c>
      <c r="O1621" s="1" t="s">
        <v>23</v>
      </c>
    </row>
    <row r="1623" spans="1:17" x14ac:dyDescent="0.2">
      <c r="A1623" s="3"/>
      <c r="B1623" s="3" t="s">
        <v>33</v>
      </c>
      <c r="C1623" s="3" t="s">
        <v>322</v>
      </c>
      <c r="D1623" s="3"/>
      <c r="E1623" s="3"/>
      <c r="F1623" s="3"/>
      <c r="G1623" s="3"/>
      <c r="H1623" s="3"/>
      <c r="I1623" s="3"/>
      <c r="J1623" s="3"/>
      <c r="K1623" s="4">
        <v>-843200</v>
      </c>
      <c r="L1623" s="3" t="s">
        <v>23</v>
      </c>
      <c r="M1623" s="3"/>
      <c r="N1623" s="4">
        <v>-843200</v>
      </c>
      <c r="O1623" s="3" t="s">
        <v>23</v>
      </c>
      <c r="P1623" s="3"/>
      <c r="Q1623" s="3"/>
    </row>
    <row r="1625" spans="1:17" x14ac:dyDescent="0.2">
      <c r="A1625" s="1" t="s">
        <v>0</v>
      </c>
      <c r="F1625" s="1">
        <v>501325</v>
      </c>
    </row>
    <row r="1626" spans="1:17" x14ac:dyDescent="0.2">
      <c r="A1626" s="1" t="s">
        <v>1</v>
      </c>
      <c r="F1626" s="1" t="s">
        <v>2</v>
      </c>
    </row>
    <row r="1628" spans="1:17" x14ac:dyDescent="0.2">
      <c r="A1628" s="1" t="s">
        <v>3</v>
      </c>
      <c r="F1628" s="1" t="s">
        <v>328</v>
      </c>
    </row>
    <row r="1629" spans="1:17" x14ac:dyDescent="0.2">
      <c r="A1629" s="1" t="s">
        <v>5</v>
      </c>
      <c r="F1629" s="1" t="s">
        <v>151</v>
      </c>
    </row>
    <row r="1632" spans="1:17" x14ac:dyDescent="0.2">
      <c r="C1632" s="1" t="s">
        <v>7</v>
      </c>
      <c r="D1632" s="1" t="s">
        <v>8</v>
      </c>
      <c r="E1632" s="1" t="s">
        <v>9</v>
      </c>
      <c r="G1632" s="1" t="s">
        <v>10</v>
      </c>
      <c r="H1632" s="1" t="s">
        <v>11</v>
      </c>
      <c r="I1632" s="1" t="s">
        <v>12</v>
      </c>
      <c r="J1632" s="1" t="s">
        <v>13</v>
      </c>
      <c r="K1632" s="1" t="s">
        <v>14</v>
      </c>
      <c r="L1632" s="1" t="s">
        <v>15</v>
      </c>
      <c r="M1632" s="1" t="s">
        <v>16</v>
      </c>
      <c r="N1632" s="1" t="s">
        <v>17</v>
      </c>
      <c r="O1632" s="1" t="s">
        <v>18</v>
      </c>
      <c r="P1632" s="1" t="s">
        <v>19</v>
      </c>
      <c r="Q1632" s="1" t="s">
        <v>20</v>
      </c>
    </row>
    <row r="1634" spans="4:17" x14ac:dyDescent="0.2">
      <c r="D1634" s="1" t="s">
        <v>444</v>
      </c>
      <c r="E1634" s="1">
        <v>1400015711</v>
      </c>
      <c r="G1634" s="1" t="s">
        <v>164</v>
      </c>
      <c r="I1634" s="1" t="s">
        <v>164</v>
      </c>
      <c r="K1634" s="2">
        <v>-347985.7</v>
      </c>
      <c r="L1634" s="1" t="s">
        <v>23</v>
      </c>
      <c r="N1634" s="2">
        <v>-84988.57</v>
      </c>
      <c r="O1634" s="1" t="s">
        <v>24</v>
      </c>
      <c r="P1634" s="1" t="s">
        <v>829</v>
      </c>
      <c r="Q1634" s="1">
        <v>4.0945</v>
      </c>
    </row>
    <row r="1635" spans="4:17" x14ac:dyDescent="0.2">
      <c r="D1635" s="1" t="s">
        <v>444</v>
      </c>
      <c r="E1635" s="1">
        <v>1400015711</v>
      </c>
      <c r="G1635" s="1" t="s">
        <v>164</v>
      </c>
      <c r="I1635" s="1" t="s">
        <v>164</v>
      </c>
      <c r="K1635" s="2">
        <v>-348851.4</v>
      </c>
      <c r="L1635" s="1" t="s">
        <v>23</v>
      </c>
      <c r="N1635" s="2">
        <v>-85200</v>
      </c>
      <c r="O1635" s="1" t="s">
        <v>24</v>
      </c>
      <c r="P1635" s="1" t="s">
        <v>830</v>
      </c>
      <c r="Q1635" s="1">
        <v>4.0945</v>
      </c>
    </row>
    <row r="1636" spans="4:17" x14ac:dyDescent="0.2">
      <c r="D1636" s="1" t="s">
        <v>444</v>
      </c>
      <c r="E1636" s="1">
        <v>1400015711</v>
      </c>
      <c r="G1636" s="1" t="s">
        <v>164</v>
      </c>
      <c r="I1636" s="1" t="s">
        <v>164</v>
      </c>
      <c r="K1636" s="2">
        <v>-817712.6</v>
      </c>
      <c r="L1636" s="1" t="s">
        <v>23</v>
      </c>
      <c r="N1636" s="2">
        <v>-199710</v>
      </c>
      <c r="O1636" s="1" t="s">
        <v>24</v>
      </c>
      <c r="P1636" s="1" t="s">
        <v>831</v>
      </c>
      <c r="Q1636" s="1">
        <v>4.0945</v>
      </c>
    </row>
    <row r="1637" spans="4:17" x14ac:dyDescent="0.2">
      <c r="D1637" s="1" t="s">
        <v>444</v>
      </c>
      <c r="E1637" s="1">
        <v>1400015711</v>
      </c>
      <c r="G1637" s="1" t="s">
        <v>164</v>
      </c>
      <c r="I1637" s="1" t="s">
        <v>164</v>
      </c>
      <c r="K1637" s="2">
        <v>-872865.51</v>
      </c>
      <c r="L1637" s="1" t="s">
        <v>23</v>
      </c>
      <c r="N1637" s="2">
        <v>-213180</v>
      </c>
      <c r="O1637" s="1" t="s">
        <v>24</v>
      </c>
      <c r="P1637" s="1" t="s">
        <v>832</v>
      </c>
      <c r="Q1637" s="1">
        <v>4.0945</v>
      </c>
    </row>
    <row r="1638" spans="4:17" x14ac:dyDescent="0.2">
      <c r="D1638" s="1" t="s">
        <v>444</v>
      </c>
      <c r="E1638" s="1">
        <v>1400015711</v>
      </c>
      <c r="G1638" s="1" t="s">
        <v>164</v>
      </c>
      <c r="I1638" s="1" t="s">
        <v>164</v>
      </c>
      <c r="K1638" s="2">
        <v>-1221716.9099999999</v>
      </c>
      <c r="L1638" s="1" t="s">
        <v>23</v>
      </c>
      <c r="N1638" s="2">
        <v>-298380</v>
      </c>
      <c r="O1638" s="1" t="s">
        <v>24</v>
      </c>
      <c r="P1638" s="1" t="s">
        <v>833</v>
      </c>
      <c r="Q1638" s="1">
        <v>4.0945</v>
      </c>
    </row>
    <row r="1639" spans="4:17" x14ac:dyDescent="0.2">
      <c r="D1639" s="1" t="s">
        <v>444</v>
      </c>
      <c r="E1639" s="1">
        <v>1400015711</v>
      </c>
      <c r="G1639" s="1" t="s">
        <v>164</v>
      </c>
      <c r="I1639" s="1" t="s">
        <v>164</v>
      </c>
      <c r="K1639" s="2">
        <v>-409450</v>
      </c>
      <c r="L1639" s="1" t="s">
        <v>23</v>
      </c>
      <c r="N1639" s="2">
        <v>-100000</v>
      </c>
      <c r="O1639" s="1" t="s">
        <v>24</v>
      </c>
      <c r="P1639" s="1" t="s">
        <v>834</v>
      </c>
      <c r="Q1639" s="1">
        <v>4.0945</v>
      </c>
    </row>
    <row r="1640" spans="4:17" x14ac:dyDescent="0.2">
      <c r="D1640" s="1" t="s">
        <v>444</v>
      </c>
      <c r="E1640" s="1">
        <v>1400015711</v>
      </c>
      <c r="G1640" s="1" t="s">
        <v>164</v>
      </c>
      <c r="I1640" s="1" t="s">
        <v>164</v>
      </c>
      <c r="K1640" s="2">
        <v>-1046554.2</v>
      </c>
      <c r="L1640" s="1" t="s">
        <v>23</v>
      </c>
      <c r="N1640" s="2">
        <v>-255600</v>
      </c>
      <c r="O1640" s="1" t="s">
        <v>24</v>
      </c>
      <c r="P1640" s="1" t="s">
        <v>835</v>
      </c>
      <c r="Q1640" s="1">
        <v>4.0945</v>
      </c>
    </row>
    <row r="1641" spans="4:17" x14ac:dyDescent="0.2">
      <c r="D1641" s="1" t="s">
        <v>444</v>
      </c>
      <c r="E1641" s="1">
        <v>1400015711</v>
      </c>
      <c r="G1641" s="1" t="s">
        <v>164</v>
      </c>
      <c r="I1641" s="1" t="s">
        <v>164</v>
      </c>
      <c r="K1641" s="2">
        <v>-348851.4</v>
      </c>
      <c r="L1641" s="1" t="s">
        <v>23</v>
      </c>
      <c r="N1641" s="2">
        <v>-85200</v>
      </c>
      <c r="O1641" s="1" t="s">
        <v>24</v>
      </c>
      <c r="P1641" s="1" t="s">
        <v>836</v>
      </c>
      <c r="Q1641" s="1">
        <v>4.0945</v>
      </c>
    </row>
    <row r="1642" spans="4:17" x14ac:dyDescent="0.2">
      <c r="D1642" s="1" t="s">
        <v>444</v>
      </c>
      <c r="E1642" s="1">
        <v>1400015711</v>
      </c>
      <c r="G1642" s="1" t="s">
        <v>164</v>
      </c>
      <c r="I1642" s="1" t="s">
        <v>164</v>
      </c>
      <c r="K1642" s="2">
        <v>-2185.85</v>
      </c>
      <c r="L1642" s="1" t="s">
        <v>23</v>
      </c>
      <c r="N1642" s="1">
        <v>-533.85</v>
      </c>
      <c r="O1642" s="1" t="s">
        <v>24</v>
      </c>
      <c r="P1642" s="1" t="s">
        <v>837</v>
      </c>
      <c r="Q1642" s="1">
        <v>4.0945</v>
      </c>
    </row>
    <row r="1643" spans="4:17" x14ac:dyDescent="0.2">
      <c r="D1643" s="1" t="s">
        <v>444</v>
      </c>
      <c r="E1643" s="1">
        <v>1400015712</v>
      </c>
      <c r="G1643" s="1" t="s">
        <v>36</v>
      </c>
      <c r="I1643" s="1" t="s">
        <v>36</v>
      </c>
      <c r="K1643" s="2">
        <v>-347529.84</v>
      </c>
      <c r="L1643" s="1" t="s">
        <v>23</v>
      </c>
      <c r="N1643" s="2">
        <v>-84846.15</v>
      </c>
      <c r="O1643" s="1" t="s">
        <v>24</v>
      </c>
      <c r="P1643" s="1" t="s">
        <v>837</v>
      </c>
      <c r="Q1643" s="1">
        <v>4.0960000000000001</v>
      </c>
    </row>
    <row r="1644" spans="4:17" x14ac:dyDescent="0.2">
      <c r="D1644" s="1" t="s">
        <v>444</v>
      </c>
      <c r="E1644" s="1">
        <v>1400015712</v>
      </c>
      <c r="G1644" s="1" t="s">
        <v>36</v>
      </c>
      <c r="I1644" s="1" t="s">
        <v>36</v>
      </c>
      <c r="K1644" s="2">
        <v>-1570406.3999999999</v>
      </c>
      <c r="L1644" s="1" t="s">
        <v>23</v>
      </c>
      <c r="N1644" s="2">
        <v>-383400</v>
      </c>
      <c r="O1644" s="1" t="s">
        <v>24</v>
      </c>
      <c r="P1644" s="1" t="s">
        <v>838</v>
      </c>
      <c r="Q1644" s="1">
        <v>4.0960000000000001</v>
      </c>
    </row>
    <row r="1645" spans="4:17" x14ac:dyDescent="0.2">
      <c r="D1645" s="1" t="s">
        <v>444</v>
      </c>
      <c r="E1645" s="1">
        <v>1400015712</v>
      </c>
      <c r="G1645" s="1" t="s">
        <v>36</v>
      </c>
      <c r="I1645" s="1" t="s">
        <v>36</v>
      </c>
      <c r="K1645" s="2">
        <v>-2533.7399999999998</v>
      </c>
      <c r="L1645" s="1" t="s">
        <v>23</v>
      </c>
      <c r="N1645" s="1">
        <v>-618.59</v>
      </c>
      <c r="O1645" s="1" t="s">
        <v>24</v>
      </c>
      <c r="P1645" s="1" t="s">
        <v>839</v>
      </c>
      <c r="Q1645" s="1">
        <v>4.0959899999999996</v>
      </c>
    </row>
    <row r="1646" spans="4:17" x14ac:dyDescent="0.2">
      <c r="D1646" s="1" t="s">
        <v>444</v>
      </c>
      <c r="E1646" s="1">
        <v>1400015714</v>
      </c>
      <c r="G1646" s="1" t="s">
        <v>39</v>
      </c>
      <c r="I1646" s="1" t="s">
        <v>39</v>
      </c>
      <c r="K1646" s="2">
        <v>-869489.49</v>
      </c>
      <c r="L1646" s="1" t="s">
        <v>23</v>
      </c>
      <c r="N1646" s="2">
        <v>-212381.41</v>
      </c>
      <c r="O1646" s="1" t="s">
        <v>24</v>
      </c>
      <c r="P1646" s="1" t="s">
        <v>839</v>
      </c>
      <c r="Q1646" s="1">
        <v>4.0940000000000003</v>
      </c>
    </row>
    <row r="1647" spans="4:17" x14ac:dyDescent="0.2">
      <c r="D1647" s="1" t="s">
        <v>444</v>
      </c>
      <c r="E1647" s="1">
        <v>1400015717</v>
      </c>
      <c r="G1647" s="1" t="s">
        <v>26</v>
      </c>
      <c r="I1647" s="1" t="s">
        <v>26</v>
      </c>
      <c r="K1647" s="2">
        <v>-2037068.51</v>
      </c>
      <c r="L1647" s="1" t="s">
        <v>23</v>
      </c>
      <c r="N1647" s="2">
        <v>-497999.88</v>
      </c>
      <c r="O1647" s="1" t="s">
        <v>24</v>
      </c>
      <c r="P1647" s="1" t="s">
        <v>840</v>
      </c>
      <c r="Q1647" s="1">
        <v>4.0904999999999996</v>
      </c>
    </row>
    <row r="1648" spans="4:17" x14ac:dyDescent="0.2">
      <c r="D1648" s="1" t="s">
        <v>444</v>
      </c>
      <c r="E1648" s="1">
        <v>1400015717</v>
      </c>
      <c r="G1648" s="1" t="s">
        <v>26</v>
      </c>
      <c r="I1648" s="1" t="s">
        <v>26</v>
      </c>
      <c r="K1648" s="2">
        <v>-138674.09</v>
      </c>
      <c r="L1648" s="1" t="s">
        <v>23</v>
      </c>
      <c r="N1648" s="2">
        <v>-33901.5</v>
      </c>
      <c r="O1648" s="1" t="s">
        <v>24</v>
      </c>
      <c r="P1648" s="1" t="s">
        <v>841</v>
      </c>
      <c r="Q1648" s="1">
        <v>4.0904999999999996</v>
      </c>
    </row>
    <row r="1649" spans="1:17" x14ac:dyDescent="0.2">
      <c r="D1649" s="1" t="s">
        <v>444</v>
      </c>
      <c r="E1649" s="1">
        <v>1400015717</v>
      </c>
      <c r="G1649" s="1" t="s">
        <v>26</v>
      </c>
      <c r="I1649" s="1" t="s">
        <v>26</v>
      </c>
      <c r="K1649" s="2">
        <v>-348510.6</v>
      </c>
      <c r="L1649" s="1" t="s">
        <v>23</v>
      </c>
      <c r="N1649" s="2">
        <v>-85200</v>
      </c>
      <c r="O1649" s="1" t="s">
        <v>24</v>
      </c>
      <c r="P1649" s="1" t="s">
        <v>842</v>
      </c>
      <c r="Q1649" s="1">
        <v>4.0904999999999996</v>
      </c>
    </row>
    <row r="1650" spans="1:17" x14ac:dyDescent="0.2">
      <c r="D1650" s="1" t="s">
        <v>444</v>
      </c>
      <c r="E1650" s="1">
        <v>1400015717</v>
      </c>
      <c r="G1650" s="1" t="s">
        <v>26</v>
      </c>
      <c r="I1650" s="1" t="s">
        <v>26</v>
      </c>
      <c r="K1650" s="2">
        <v>-348510.6</v>
      </c>
      <c r="L1650" s="1" t="s">
        <v>23</v>
      </c>
      <c r="N1650" s="2">
        <v>-85200</v>
      </c>
      <c r="O1650" s="1" t="s">
        <v>24</v>
      </c>
      <c r="P1650" s="1" t="s">
        <v>843</v>
      </c>
      <c r="Q1650" s="1">
        <v>4.0904999999999996</v>
      </c>
    </row>
    <row r="1652" spans="1:17" x14ac:dyDescent="0.2">
      <c r="B1652" s="1" t="s">
        <v>32</v>
      </c>
      <c r="K1652" s="2">
        <v>-11078896.84</v>
      </c>
      <c r="L1652" s="1" t="s">
        <v>23</v>
      </c>
      <c r="N1652" s="2">
        <v>-2706339.95</v>
      </c>
      <c r="O1652" s="1" t="s">
        <v>24</v>
      </c>
    </row>
    <row r="1654" spans="1:17" x14ac:dyDescent="0.2">
      <c r="A1654" s="3"/>
      <c r="B1654" s="3" t="s">
        <v>33</v>
      </c>
      <c r="C1654" s="3" t="s">
        <v>345</v>
      </c>
      <c r="D1654" s="3"/>
      <c r="E1654" s="3"/>
      <c r="F1654" s="3"/>
      <c r="G1654" s="3"/>
      <c r="H1654" s="3"/>
      <c r="I1654" s="3"/>
      <c r="J1654" s="3"/>
      <c r="K1654" s="4">
        <v>-11078896.84</v>
      </c>
      <c r="L1654" s="3" t="s">
        <v>23</v>
      </c>
      <c r="M1654" s="3"/>
      <c r="N1654" s="4">
        <v>-2706339.95</v>
      </c>
      <c r="O1654" s="3" t="s">
        <v>24</v>
      </c>
      <c r="P1654" s="3"/>
      <c r="Q1654" s="3"/>
    </row>
    <row r="1656" spans="1:17" x14ac:dyDescent="0.2">
      <c r="A1656" s="1" t="s">
        <v>0</v>
      </c>
      <c r="F1656" s="1">
        <v>501330</v>
      </c>
    </row>
    <row r="1657" spans="1:17" x14ac:dyDescent="0.2">
      <c r="A1657" s="1" t="s">
        <v>1</v>
      </c>
      <c r="F1657" s="1" t="s">
        <v>2</v>
      </c>
    </row>
    <row r="1659" spans="1:17" x14ac:dyDescent="0.2">
      <c r="A1659" s="1" t="s">
        <v>3</v>
      </c>
      <c r="F1659" s="1" t="s">
        <v>328</v>
      </c>
    </row>
    <row r="1660" spans="1:17" x14ac:dyDescent="0.2">
      <c r="A1660" s="1" t="s">
        <v>5</v>
      </c>
      <c r="F1660" s="1" t="s">
        <v>228</v>
      </c>
    </row>
    <row r="1663" spans="1:17" x14ac:dyDescent="0.2">
      <c r="C1663" s="1" t="s">
        <v>7</v>
      </c>
      <c r="D1663" s="1" t="s">
        <v>8</v>
      </c>
      <c r="E1663" s="1" t="s">
        <v>9</v>
      </c>
      <c r="G1663" s="1" t="s">
        <v>10</v>
      </c>
      <c r="H1663" s="1" t="s">
        <v>11</v>
      </c>
      <c r="I1663" s="1" t="s">
        <v>12</v>
      </c>
      <c r="J1663" s="1" t="s">
        <v>13</v>
      </c>
      <c r="K1663" s="1" t="s">
        <v>14</v>
      </c>
      <c r="L1663" s="1" t="s">
        <v>15</v>
      </c>
      <c r="M1663" s="1" t="s">
        <v>16</v>
      </c>
      <c r="N1663" s="1" t="s">
        <v>17</v>
      </c>
      <c r="O1663" s="1" t="s">
        <v>18</v>
      </c>
      <c r="P1663" s="1" t="s">
        <v>19</v>
      </c>
      <c r="Q1663" s="1" t="s">
        <v>20</v>
      </c>
    </row>
    <row r="1665" spans="4:17" x14ac:dyDescent="0.2">
      <c r="D1665" s="1" t="s">
        <v>444</v>
      </c>
      <c r="E1665" s="1">
        <v>1400015717</v>
      </c>
      <c r="G1665" s="1" t="s">
        <v>26</v>
      </c>
      <c r="I1665" s="1" t="s">
        <v>26</v>
      </c>
      <c r="K1665" s="2">
        <v>-2024796.76</v>
      </c>
      <c r="L1665" s="1" t="s">
        <v>23</v>
      </c>
      <c r="N1665" s="2">
        <v>-494999.82</v>
      </c>
      <c r="O1665" s="1" t="s">
        <v>24</v>
      </c>
      <c r="P1665" s="1" t="s">
        <v>844</v>
      </c>
      <c r="Q1665" s="1">
        <v>4.0904999999999996</v>
      </c>
    </row>
    <row r="1666" spans="4:17" x14ac:dyDescent="0.2">
      <c r="D1666" s="1" t="s">
        <v>444</v>
      </c>
      <c r="E1666" s="1">
        <v>1400015717</v>
      </c>
      <c r="G1666" s="1" t="s">
        <v>26</v>
      </c>
      <c r="I1666" s="1" t="s">
        <v>26</v>
      </c>
      <c r="K1666" s="2">
        <v>-252196.51</v>
      </c>
      <c r="L1666" s="1" t="s">
        <v>23</v>
      </c>
      <c r="N1666" s="2">
        <v>-61654.2</v>
      </c>
      <c r="O1666" s="1" t="s">
        <v>24</v>
      </c>
      <c r="P1666" s="1" t="s">
        <v>845</v>
      </c>
      <c r="Q1666" s="1">
        <v>4.0904999999999996</v>
      </c>
    </row>
    <row r="1667" spans="4:17" x14ac:dyDescent="0.2">
      <c r="D1667" s="1" t="s">
        <v>444</v>
      </c>
      <c r="E1667" s="1">
        <v>1400015717</v>
      </c>
      <c r="G1667" s="1" t="s">
        <v>26</v>
      </c>
      <c r="I1667" s="1" t="s">
        <v>26</v>
      </c>
      <c r="K1667" s="2">
        <v>-246771.93</v>
      </c>
      <c r="L1667" s="1" t="s">
        <v>23</v>
      </c>
      <c r="N1667" s="2">
        <v>-60328.06</v>
      </c>
      <c r="O1667" s="1" t="s">
        <v>24</v>
      </c>
      <c r="P1667" s="1" t="s">
        <v>846</v>
      </c>
      <c r="Q1667" s="1">
        <v>4.0904999999999996</v>
      </c>
    </row>
    <row r="1668" spans="4:17" x14ac:dyDescent="0.2">
      <c r="D1668" s="1" t="s">
        <v>444</v>
      </c>
      <c r="E1668" s="1">
        <v>1400015723</v>
      </c>
      <c r="G1668" s="1" t="s">
        <v>42</v>
      </c>
      <c r="I1668" s="1" t="s">
        <v>42</v>
      </c>
      <c r="K1668" s="2">
        <v>-2039146.53</v>
      </c>
      <c r="L1668" s="1" t="s">
        <v>23</v>
      </c>
      <c r="N1668" s="2">
        <v>-498934.8</v>
      </c>
      <c r="O1668" s="1" t="s">
        <v>24</v>
      </c>
      <c r="P1668" s="1" t="s">
        <v>847</v>
      </c>
      <c r="Q1668" s="1">
        <v>4.0869999999999997</v>
      </c>
    </row>
    <row r="1669" spans="4:17" x14ac:dyDescent="0.2">
      <c r="D1669" s="1" t="s">
        <v>444</v>
      </c>
      <c r="E1669" s="1">
        <v>1400015723</v>
      </c>
      <c r="G1669" s="1" t="s">
        <v>42</v>
      </c>
      <c r="I1669" s="1" t="s">
        <v>42</v>
      </c>
      <c r="K1669" s="2">
        <v>-2043369.22</v>
      </c>
      <c r="L1669" s="1" t="s">
        <v>23</v>
      </c>
      <c r="N1669" s="2">
        <v>-499968</v>
      </c>
      <c r="O1669" s="1" t="s">
        <v>24</v>
      </c>
      <c r="P1669" s="1" t="s">
        <v>848</v>
      </c>
      <c r="Q1669" s="1">
        <v>4.0869999999999997</v>
      </c>
    </row>
    <row r="1670" spans="4:17" x14ac:dyDescent="0.2">
      <c r="D1670" s="1" t="s">
        <v>444</v>
      </c>
      <c r="E1670" s="1">
        <v>1400015723</v>
      </c>
      <c r="G1670" s="1" t="s">
        <v>42</v>
      </c>
      <c r="I1670" s="1" t="s">
        <v>42</v>
      </c>
      <c r="K1670" s="2">
        <v>-1654008.9</v>
      </c>
      <c r="L1670" s="1" t="s">
        <v>23</v>
      </c>
      <c r="N1670" s="2">
        <v>-404700</v>
      </c>
      <c r="O1670" s="1" t="s">
        <v>24</v>
      </c>
      <c r="P1670" s="1" t="s">
        <v>849</v>
      </c>
      <c r="Q1670" s="1">
        <v>4.0869999999999997</v>
      </c>
    </row>
    <row r="1671" spans="4:17" x14ac:dyDescent="0.2">
      <c r="D1671" s="1" t="s">
        <v>444</v>
      </c>
      <c r="E1671" s="1">
        <v>1400015723</v>
      </c>
      <c r="G1671" s="1" t="s">
        <v>42</v>
      </c>
      <c r="I1671" s="1" t="s">
        <v>42</v>
      </c>
      <c r="K1671" s="2">
        <v>-825249.78</v>
      </c>
      <c r="L1671" s="1" t="s">
        <v>23</v>
      </c>
      <c r="N1671" s="2">
        <v>-201920.67</v>
      </c>
      <c r="O1671" s="1" t="s">
        <v>24</v>
      </c>
      <c r="P1671" s="1" t="s">
        <v>850</v>
      </c>
      <c r="Q1671" s="1">
        <v>4.0869999999999997</v>
      </c>
    </row>
    <row r="1672" spans="4:17" x14ac:dyDescent="0.2">
      <c r="D1672" s="1" t="s">
        <v>444</v>
      </c>
      <c r="E1672" s="1">
        <v>1400015728</v>
      </c>
      <c r="G1672" s="1" t="s">
        <v>44</v>
      </c>
      <c r="I1672" s="1" t="s">
        <v>44</v>
      </c>
      <c r="K1672" s="2">
        <v>-482303.3</v>
      </c>
      <c r="L1672" s="1" t="s">
        <v>23</v>
      </c>
      <c r="N1672" s="2">
        <v>-118925.73</v>
      </c>
      <c r="O1672" s="1" t="s">
        <v>24</v>
      </c>
      <c r="P1672" s="1" t="s">
        <v>850</v>
      </c>
      <c r="Q1672" s="1">
        <v>4.0555000000000003</v>
      </c>
    </row>
    <row r="1673" spans="4:17" x14ac:dyDescent="0.2">
      <c r="D1673" s="1" t="s">
        <v>444</v>
      </c>
      <c r="E1673" s="1">
        <v>1400015728</v>
      </c>
      <c r="G1673" s="1" t="s">
        <v>44</v>
      </c>
      <c r="I1673" s="1" t="s">
        <v>44</v>
      </c>
      <c r="K1673" s="2">
        <v>-2432837.67</v>
      </c>
      <c r="L1673" s="1" t="s">
        <v>23</v>
      </c>
      <c r="N1673" s="2">
        <v>-599886</v>
      </c>
      <c r="O1673" s="1" t="s">
        <v>24</v>
      </c>
      <c r="P1673" s="1" t="s">
        <v>851</v>
      </c>
      <c r="Q1673" s="1">
        <v>4.0555000000000003</v>
      </c>
    </row>
    <row r="1674" spans="4:17" x14ac:dyDescent="0.2">
      <c r="D1674" s="1" t="s">
        <v>444</v>
      </c>
      <c r="E1674" s="1">
        <v>1400015728</v>
      </c>
      <c r="G1674" s="1" t="s">
        <v>44</v>
      </c>
      <c r="I1674" s="1" t="s">
        <v>44</v>
      </c>
      <c r="K1674" s="2">
        <v>-485796.91</v>
      </c>
      <c r="L1674" s="1" t="s">
        <v>23</v>
      </c>
      <c r="N1674" s="2">
        <v>-119787.18</v>
      </c>
      <c r="O1674" s="1" t="s">
        <v>24</v>
      </c>
      <c r="P1674" s="1" t="s">
        <v>852</v>
      </c>
      <c r="Q1674" s="1">
        <v>4.0555000000000003</v>
      </c>
    </row>
    <row r="1675" spans="4:17" x14ac:dyDescent="0.2">
      <c r="D1675" s="1" t="s">
        <v>444</v>
      </c>
      <c r="E1675" s="1">
        <v>1400015730</v>
      </c>
      <c r="G1675" s="1" t="s">
        <v>75</v>
      </c>
      <c r="I1675" s="1" t="s">
        <v>75</v>
      </c>
      <c r="K1675" s="2">
        <v>-1747519.68</v>
      </c>
      <c r="L1675" s="1" t="s">
        <v>23</v>
      </c>
      <c r="N1675" s="2">
        <v>-430211.64</v>
      </c>
      <c r="O1675" s="1" t="s">
        <v>24</v>
      </c>
      <c r="P1675" s="1" t="s">
        <v>852</v>
      </c>
      <c r="Q1675" s="1">
        <v>4.0620000000000003</v>
      </c>
    </row>
    <row r="1676" spans="4:17" x14ac:dyDescent="0.2">
      <c r="D1676" s="1" t="s">
        <v>444</v>
      </c>
      <c r="E1676" s="1">
        <v>1400015730</v>
      </c>
      <c r="G1676" s="1" t="s">
        <v>75</v>
      </c>
      <c r="I1676" s="1" t="s">
        <v>75</v>
      </c>
      <c r="K1676" s="2">
        <v>-699821.79</v>
      </c>
      <c r="L1676" s="1" t="s">
        <v>23</v>
      </c>
      <c r="N1676" s="2">
        <v>-172285.03</v>
      </c>
      <c r="O1676" s="1" t="s">
        <v>24</v>
      </c>
      <c r="P1676" s="1" t="s">
        <v>853</v>
      </c>
      <c r="Q1676" s="1">
        <v>4.0620000000000003</v>
      </c>
    </row>
    <row r="1677" spans="4:17" x14ac:dyDescent="0.2">
      <c r="D1677" s="1" t="s">
        <v>444</v>
      </c>
      <c r="E1677" s="1">
        <v>1400015731</v>
      </c>
      <c r="G1677" s="1" t="s">
        <v>28</v>
      </c>
      <c r="I1677" s="1" t="s">
        <v>28</v>
      </c>
      <c r="K1677" s="2">
        <v>-1443083.44</v>
      </c>
      <c r="L1677" s="1" t="s">
        <v>23</v>
      </c>
      <c r="N1677" s="2">
        <v>-356977.97</v>
      </c>
      <c r="O1677" s="1" t="s">
        <v>24</v>
      </c>
      <c r="P1677" s="1" t="s">
        <v>853</v>
      </c>
      <c r="Q1677" s="1">
        <v>4.0425000000000004</v>
      </c>
    </row>
    <row r="1678" spans="4:17" x14ac:dyDescent="0.2">
      <c r="D1678" s="1" t="s">
        <v>444</v>
      </c>
      <c r="E1678" s="1">
        <v>1400015731</v>
      </c>
      <c r="G1678" s="1" t="s">
        <v>28</v>
      </c>
      <c r="I1678" s="1" t="s">
        <v>28</v>
      </c>
      <c r="K1678" s="2">
        <v>-862243.66</v>
      </c>
      <c r="L1678" s="1" t="s">
        <v>23</v>
      </c>
      <c r="N1678" s="2">
        <v>-213294.66</v>
      </c>
      <c r="O1678" s="1" t="s">
        <v>24</v>
      </c>
      <c r="P1678" s="1" t="s">
        <v>854</v>
      </c>
      <c r="Q1678" s="1">
        <v>4.0425000000000004</v>
      </c>
    </row>
    <row r="1679" spans="4:17" x14ac:dyDescent="0.2">
      <c r="D1679" s="1" t="s">
        <v>444</v>
      </c>
      <c r="E1679" s="1">
        <v>1400015808</v>
      </c>
      <c r="G1679" s="1" t="s">
        <v>58</v>
      </c>
      <c r="I1679" s="1" t="s">
        <v>58</v>
      </c>
      <c r="K1679" s="2">
        <v>-2220809.85</v>
      </c>
      <c r="L1679" s="1" t="s">
        <v>23</v>
      </c>
      <c r="N1679" s="2">
        <v>-551754</v>
      </c>
      <c r="O1679" s="1" t="s">
        <v>24</v>
      </c>
      <c r="P1679" s="1" t="s">
        <v>855</v>
      </c>
      <c r="Q1679" s="1">
        <v>4.0250000000000004</v>
      </c>
    </row>
    <row r="1680" spans="4:17" x14ac:dyDescent="0.2">
      <c r="D1680" s="1" t="s">
        <v>444</v>
      </c>
      <c r="E1680" s="1">
        <v>1400015808</v>
      </c>
      <c r="G1680" s="1" t="s">
        <v>58</v>
      </c>
      <c r="I1680" s="1" t="s">
        <v>58</v>
      </c>
      <c r="K1680" s="2">
        <v>-1803425.4</v>
      </c>
      <c r="L1680" s="1" t="s">
        <v>23</v>
      </c>
      <c r="N1680" s="2">
        <v>-448056</v>
      </c>
      <c r="O1680" s="1" t="s">
        <v>24</v>
      </c>
      <c r="P1680" s="1" t="s">
        <v>856</v>
      </c>
      <c r="Q1680" s="1">
        <v>4.0250000000000004</v>
      </c>
    </row>
    <row r="1681" spans="4:17" x14ac:dyDescent="0.2">
      <c r="D1681" s="1" t="s">
        <v>444</v>
      </c>
      <c r="E1681" s="1">
        <v>1400015808</v>
      </c>
      <c r="G1681" s="1" t="s">
        <v>58</v>
      </c>
      <c r="I1681" s="1" t="s">
        <v>58</v>
      </c>
      <c r="K1681" s="2">
        <v>-1961782.99</v>
      </c>
      <c r="L1681" s="1" t="s">
        <v>23</v>
      </c>
      <c r="N1681" s="2">
        <v>-487399.5</v>
      </c>
      <c r="O1681" s="1" t="s">
        <v>24</v>
      </c>
      <c r="P1681" s="1" t="s">
        <v>857</v>
      </c>
      <c r="Q1681" s="1">
        <v>4.0250000000000004</v>
      </c>
    </row>
    <row r="1682" spans="4:17" x14ac:dyDescent="0.2">
      <c r="D1682" s="1" t="s">
        <v>444</v>
      </c>
      <c r="E1682" s="1">
        <v>1400015808</v>
      </c>
      <c r="G1682" s="1" t="s">
        <v>58</v>
      </c>
      <c r="I1682" s="1" t="s">
        <v>58</v>
      </c>
      <c r="K1682" s="2">
        <v>-1446587.94</v>
      </c>
      <c r="L1682" s="1" t="s">
        <v>23</v>
      </c>
      <c r="N1682" s="2">
        <v>-359400.73</v>
      </c>
      <c r="O1682" s="1" t="s">
        <v>24</v>
      </c>
      <c r="P1682" s="1" t="s">
        <v>858</v>
      </c>
      <c r="Q1682" s="1">
        <v>4.0250000000000004</v>
      </c>
    </row>
    <row r="1683" spans="4:17" x14ac:dyDescent="0.2">
      <c r="D1683" s="1" t="s">
        <v>444</v>
      </c>
      <c r="E1683" s="1">
        <v>1400015809</v>
      </c>
      <c r="G1683" s="1" t="s">
        <v>50</v>
      </c>
      <c r="I1683" s="1" t="s">
        <v>50</v>
      </c>
      <c r="K1683" s="2">
        <v>-617008.05000000005</v>
      </c>
      <c r="L1683" s="1" t="s">
        <v>23</v>
      </c>
      <c r="N1683" s="2">
        <v>-153198.76999999999</v>
      </c>
      <c r="O1683" s="1" t="s">
        <v>24</v>
      </c>
      <c r="P1683" s="1" t="s">
        <v>858</v>
      </c>
      <c r="Q1683" s="1">
        <v>4.0274999999999999</v>
      </c>
    </row>
    <row r="1684" spans="4:17" x14ac:dyDescent="0.2">
      <c r="D1684" s="1" t="s">
        <v>444</v>
      </c>
      <c r="E1684" s="1">
        <v>1400015809</v>
      </c>
      <c r="G1684" s="1" t="s">
        <v>50</v>
      </c>
      <c r="I1684" s="1" t="s">
        <v>50</v>
      </c>
      <c r="K1684" s="2">
        <v>-1115214.75</v>
      </c>
      <c r="L1684" s="1" t="s">
        <v>23</v>
      </c>
      <c r="N1684" s="2">
        <v>-276900</v>
      </c>
      <c r="O1684" s="1" t="s">
        <v>24</v>
      </c>
      <c r="P1684" s="1" t="s">
        <v>859</v>
      </c>
      <c r="Q1684" s="1">
        <v>4.0274999999999999</v>
      </c>
    </row>
    <row r="1685" spans="4:17" x14ac:dyDescent="0.2">
      <c r="D1685" s="1" t="s">
        <v>444</v>
      </c>
      <c r="E1685" s="1">
        <v>1400015809</v>
      </c>
      <c r="G1685" s="1" t="s">
        <v>50</v>
      </c>
      <c r="I1685" s="1" t="s">
        <v>50</v>
      </c>
      <c r="K1685" s="2">
        <v>-637685.23</v>
      </c>
      <c r="L1685" s="1" t="s">
        <v>23</v>
      </c>
      <c r="N1685" s="2">
        <v>-158332.76999999999</v>
      </c>
      <c r="O1685" s="1" t="s">
        <v>24</v>
      </c>
      <c r="P1685" s="1" t="s">
        <v>860</v>
      </c>
      <c r="Q1685" s="1">
        <v>4.0274999999999999</v>
      </c>
    </row>
    <row r="1686" spans="4:17" x14ac:dyDescent="0.2">
      <c r="D1686" s="1" t="s">
        <v>444</v>
      </c>
      <c r="E1686" s="1">
        <v>1400015809</v>
      </c>
      <c r="G1686" s="1" t="s">
        <v>50</v>
      </c>
      <c r="I1686" s="1" t="s">
        <v>50</v>
      </c>
      <c r="K1686" s="2">
        <v>-262021.1</v>
      </c>
      <c r="L1686" s="1" t="s">
        <v>23</v>
      </c>
      <c r="N1686" s="2">
        <v>-65058</v>
      </c>
      <c r="O1686" s="1" t="s">
        <v>24</v>
      </c>
      <c r="P1686" s="1" t="s">
        <v>861</v>
      </c>
      <c r="Q1686" s="1">
        <v>4.0274999999999999</v>
      </c>
    </row>
    <row r="1687" spans="4:17" x14ac:dyDescent="0.2">
      <c r="D1687" s="1" t="s">
        <v>444</v>
      </c>
      <c r="E1687" s="1">
        <v>1400015809</v>
      </c>
      <c r="G1687" s="1" t="s">
        <v>50</v>
      </c>
      <c r="I1687" s="1" t="s">
        <v>50</v>
      </c>
      <c r="K1687" s="2">
        <v>-257357.25</v>
      </c>
      <c r="L1687" s="1" t="s">
        <v>23</v>
      </c>
      <c r="N1687" s="2">
        <v>-63900</v>
      </c>
      <c r="O1687" s="1" t="s">
        <v>24</v>
      </c>
      <c r="P1687" s="1" t="s">
        <v>862</v>
      </c>
      <c r="Q1687" s="1">
        <v>4.0274999999999999</v>
      </c>
    </row>
    <row r="1688" spans="4:17" x14ac:dyDescent="0.2">
      <c r="D1688" s="1" t="s">
        <v>444</v>
      </c>
      <c r="E1688" s="1">
        <v>1400015809</v>
      </c>
      <c r="G1688" s="1" t="s">
        <v>50</v>
      </c>
      <c r="I1688" s="1" t="s">
        <v>50</v>
      </c>
      <c r="K1688" s="2">
        <v>-2123994.7599999998</v>
      </c>
      <c r="L1688" s="1" t="s">
        <v>23</v>
      </c>
      <c r="N1688" s="2">
        <v>-527373</v>
      </c>
      <c r="O1688" s="1" t="s">
        <v>24</v>
      </c>
      <c r="P1688" s="1" t="s">
        <v>863</v>
      </c>
      <c r="Q1688" s="1">
        <v>4.0274999999999999</v>
      </c>
    </row>
    <row r="1689" spans="4:17" x14ac:dyDescent="0.2">
      <c r="D1689" s="1" t="s">
        <v>444</v>
      </c>
      <c r="E1689" s="1">
        <v>1400015809</v>
      </c>
      <c r="G1689" s="1" t="s">
        <v>50</v>
      </c>
      <c r="I1689" s="1" t="s">
        <v>50</v>
      </c>
      <c r="K1689" s="2">
        <v>-1250393.76</v>
      </c>
      <c r="L1689" s="1" t="s">
        <v>23</v>
      </c>
      <c r="N1689" s="2">
        <v>-310464</v>
      </c>
      <c r="O1689" s="1" t="s">
        <v>24</v>
      </c>
      <c r="P1689" s="1" t="s">
        <v>864</v>
      </c>
      <c r="Q1689" s="1">
        <v>4.0274999999999999</v>
      </c>
    </row>
    <row r="1690" spans="4:17" x14ac:dyDescent="0.2">
      <c r="D1690" s="1" t="s">
        <v>444</v>
      </c>
      <c r="E1690" s="1">
        <v>1400015809</v>
      </c>
      <c r="G1690" s="1" t="s">
        <v>50</v>
      </c>
      <c r="I1690" s="1" t="s">
        <v>50</v>
      </c>
      <c r="K1690" s="2">
        <v>-2264055.1</v>
      </c>
      <c r="L1690" s="1" t="s">
        <v>23</v>
      </c>
      <c r="N1690" s="2">
        <v>-562149</v>
      </c>
      <c r="O1690" s="1" t="s">
        <v>24</v>
      </c>
      <c r="P1690" s="1" t="s">
        <v>865</v>
      </c>
      <c r="Q1690" s="1">
        <v>4.0274999999999999</v>
      </c>
    </row>
    <row r="1691" spans="4:17" x14ac:dyDescent="0.2">
      <c r="D1691" s="1" t="s">
        <v>444</v>
      </c>
      <c r="E1691" s="1">
        <v>1400015809</v>
      </c>
      <c r="G1691" s="1" t="s">
        <v>50</v>
      </c>
      <c r="I1691" s="1" t="s">
        <v>50</v>
      </c>
      <c r="K1691" s="2">
        <v>-2416548.33</v>
      </c>
      <c r="L1691" s="1" t="s">
        <v>23</v>
      </c>
      <c r="N1691" s="2">
        <v>-600012</v>
      </c>
      <c r="O1691" s="1" t="s">
        <v>24</v>
      </c>
      <c r="P1691" s="1" t="s">
        <v>866</v>
      </c>
      <c r="Q1691" s="1">
        <v>4.0274999999999999</v>
      </c>
    </row>
    <row r="1692" spans="4:17" x14ac:dyDescent="0.2">
      <c r="D1692" s="1" t="s">
        <v>444</v>
      </c>
      <c r="E1692" s="1">
        <v>1400015809</v>
      </c>
      <c r="G1692" s="1" t="s">
        <v>50</v>
      </c>
      <c r="I1692" s="1" t="s">
        <v>50</v>
      </c>
      <c r="K1692" s="2">
        <v>-147636.10999999999</v>
      </c>
      <c r="L1692" s="1" t="s">
        <v>23</v>
      </c>
      <c r="N1692" s="2">
        <v>-36657.01</v>
      </c>
      <c r="O1692" s="1" t="s">
        <v>24</v>
      </c>
      <c r="P1692" s="1" t="s">
        <v>867</v>
      </c>
      <c r="Q1692" s="1">
        <v>4.0274999999999999</v>
      </c>
    </row>
    <row r="1693" spans="4:17" x14ac:dyDescent="0.2">
      <c r="D1693" s="1" t="s">
        <v>444</v>
      </c>
      <c r="E1693" s="1">
        <v>1400015925</v>
      </c>
      <c r="G1693" s="1" t="s">
        <v>30</v>
      </c>
      <c r="I1693" s="1" t="s">
        <v>30</v>
      </c>
      <c r="K1693" s="2">
        <v>-1261885.24</v>
      </c>
      <c r="L1693" s="1" t="s">
        <v>23</v>
      </c>
      <c r="N1693" s="2">
        <v>-313433.99</v>
      </c>
      <c r="O1693" s="1" t="s">
        <v>24</v>
      </c>
      <c r="P1693" s="1" t="s">
        <v>867</v>
      </c>
      <c r="Q1693" s="1">
        <v>4.0259999999999998</v>
      </c>
    </row>
    <row r="1694" spans="4:17" x14ac:dyDescent="0.2">
      <c r="D1694" s="1" t="s">
        <v>444</v>
      </c>
      <c r="E1694" s="1">
        <v>1400015925</v>
      </c>
      <c r="G1694" s="1" t="s">
        <v>30</v>
      </c>
      <c r="I1694" s="1" t="s">
        <v>30</v>
      </c>
      <c r="K1694" s="2">
        <v>-2616529.61</v>
      </c>
      <c r="L1694" s="1" t="s">
        <v>23</v>
      </c>
      <c r="N1694" s="2">
        <v>-649908</v>
      </c>
      <c r="O1694" s="1" t="s">
        <v>24</v>
      </c>
      <c r="P1694" s="1" t="s">
        <v>868</v>
      </c>
      <c r="Q1694" s="1">
        <v>4.0259999999999998</v>
      </c>
    </row>
    <row r="1695" spans="4:17" x14ac:dyDescent="0.2">
      <c r="D1695" s="1" t="s">
        <v>444</v>
      </c>
      <c r="E1695" s="1">
        <v>1400015925</v>
      </c>
      <c r="G1695" s="1" t="s">
        <v>30</v>
      </c>
      <c r="I1695" s="1" t="s">
        <v>30</v>
      </c>
      <c r="K1695" s="2">
        <v>-156655.73000000001</v>
      </c>
      <c r="L1695" s="1" t="s">
        <v>23</v>
      </c>
      <c r="N1695" s="2">
        <v>-38911.01</v>
      </c>
      <c r="O1695" s="1" t="s">
        <v>24</v>
      </c>
      <c r="P1695" s="1" t="s">
        <v>869</v>
      </c>
      <c r="Q1695" s="1">
        <v>4.0259999999999998</v>
      </c>
    </row>
    <row r="1697" spans="1:17" x14ac:dyDescent="0.2">
      <c r="B1697" s="1" t="s">
        <v>32</v>
      </c>
      <c r="K1697" s="2">
        <v>-39798737.280000001</v>
      </c>
      <c r="L1697" s="1" t="s">
        <v>23</v>
      </c>
      <c r="N1697" s="2">
        <v>-9836781.5399999991</v>
      </c>
      <c r="O1697" s="1" t="s">
        <v>24</v>
      </c>
    </row>
    <row r="1699" spans="1:17" x14ac:dyDescent="0.2">
      <c r="A1699" s="3"/>
      <c r="B1699" s="3" t="s">
        <v>33</v>
      </c>
      <c r="C1699" s="3" t="s">
        <v>369</v>
      </c>
      <c r="D1699" s="3"/>
      <c r="E1699" s="3"/>
      <c r="F1699" s="3"/>
      <c r="G1699" s="3"/>
      <c r="H1699" s="3"/>
      <c r="I1699" s="3"/>
      <c r="J1699" s="3"/>
      <c r="K1699" s="4">
        <v>-39798737.280000001</v>
      </c>
      <c r="L1699" s="3" t="s">
        <v>23</v>
      </c>
      <c r="M1699" s="3"/>
      <c r="N1699" s="4">
        <v>-9836781.5399999991</v>
      </c>
      <c r="O1699" s="3" t="s">
        <v>24</v>
      </c>
      <c r="P1699" s="3"/>
      <c r="Q1699" s="3"/>
    </row>
    <row r="1701" spans="1:17" x14ac:dyDescent="0.2">
      <c r="A1701" s="1" t="s">
        <v>0</v>
      </c>
      <c r="F1701" s="1">
        <v>501331</v>
      </c>
    </row>
    <row r="1702" spans="1:17" x14ac:dyDescent="0.2">
      <c r="A1702" s="1" t="s">
        <v>1</v>
      </c>
      <c r="F1702" s="1" t="s">
        <v>2</v>
      </c>
    </row>
    <row r="1704" spans="1:17" x14ac:dyDescent="0.2">
      <c r="A1704" s="1" t="s">
        <v>3</v>
      </c>
      <c r="F1704" s="1" t="s">
        <v>163</v>
      </c>
    </row>
    <row r="1705" spans="1:17" x14ac:dyDescent="0.2">
      <c r="A1705" s="1" t="s">
        <v>5</v>
      </c>
      <c r="F1705" s="1" t="s">
        <v>228</v>
      </c>
    </row>
    <row r="1708" spans="1:17" x14ac:dyDescent="0.2">
      <c r="C1708" s="1" t="s">
        <v>7</v>
      </c>
      <c r="D1708" s="1" t="s">
        <v>8</v>
      </c>
      <c r="E1708" s="1" t="s">
        <v>9</v>
      </c>
      <c r="G1708" s="1" t="s">
        <v>10</v>
      </c>
      <c r="H1708" s="1" t="s">
        <v>11</v>
      </c>
      <c r="I1708" s="1" t="s">
        <v>12</v>
      </c>
      <c r="J1708" s="1" t="s">
        <v>13</v>
      </c>
      <c r="K1708" s="1" t="s">
        <v>14</v>
      </c>
      <c r="L1708" s="1" t="s">
        <v>15</v>
      </c>
      <c r="M1708" s="1" t="s">
        <v>16</v>
      </c>
      <c r="N1708" s="1" t="s">
        <v>17</v>
      </c>
      <c r="O1708" s="1" t="s">
        <v>18</v>
      </c>
      <c r="P1708" s="1" t="s">
        <v>19</v>
      </c>
      <c r="Q1708" s="1" t="s">
        <v>20</v>
      </c>
    </row>
    <row r="1710" spans="1:17" x14ac:dyDescent="0.2">
      <c r="D1710" s="1" t="s">
        <v>444</v>
      </c>
      <c r="E1710" s="1">
        <v>1400015813</v>
      </c>
      <c r="G1710" s="1" t="s">
        <v>42</v>
      </c>
      <c r="I1710" s="1" t="s">
        <v>42</v>
      </c>
      <c r="K1710" s="2">
        <v>-374457.39</v>
      </c>
      <c r="L1710" s="1" t="s">
        <v>23</v>
      </c>
      <c r="N1710" s="2">
        <v>-374457.39</v>
      </c>
      <c r="O1710" s="1" t="s">
        <v>23</v>
      </c>
      <c r="P1710" s="1" t="s">
        <v>870</v>
      </c>
      <c r="Q1710" s="1">
        <v>1</v>
      </c>
    </row>
    <row r="1711" spans="1:17" x14ac:dyDescent="0.2">
      <c r="D1711" s="1" t="s">
        <v>444</v>
      </c>
      <c r="E1711" s="1">
        <v>1400015826</v>
      </c>
      <c r="G1711" s="1" t="s">
        <v>44</v>
      </c>
      <c r="I1711" s="1" t="s">
        <v>44</v>
      </c>
      <c r="K1711" s="2">
        <v>-6306836.6299999999</v>
      </c>
      <c r="L1711" s="1" t="s">
        <v>23</v>
      </c>
      <c r="N1711" s="2">
        <v>-6306836.6299999999</v>
      </c>
      <c r="O1711" s="1" t="s">
        <v>23</v>
      </c>
      <c r="P1711" s="1" t="s">
        <v>871</v>
      </c>
      <c r="Q1711" s="1">
        <v>1</v>
      </c>
    </row>
    <row r="1712" spans="1:17" x14ac:dyDescent="0.2">
      <c r="D1712" s="1" t="s">
        <v>444</v>
      </c>
      <c r="E1712" s="1">
        <v>1400015848</v>
      </c>
      <c r="G1712" s="1" t="s">
        <v>48</v>
      </c>
      <c r="I1712" s="1" t="s">
        <v>48</v>
      </c>
      <c r="K1712" s="2">
        <v>-267774.77</v>
      </c>
      <c r="L1712" s="1" t="s">
        <v>23</v>
      </c>
      <c r="N1712" s="2">
        <v>-267774.77</v>
      </c>
      <c r="O1712" s="1" t="s">
        <v>23</v>
      </c>
      <c r="P1712" s="1" t="s">
        <v>872</v>
      </c>
      <c r="Q1712" s="1">
        <v>1</v>
      </c>
    </row>
    <row r="1713" spans="1:17" x14ac:dyDescent="0.2">
      <c r="D1713" s="1" t="s">
        <v>444</v>
      </c>
      <c r="E1713" s="1">
        <v>1400015910</v>
      </c>
      <c r="G1713" s="1" t="s">
        <v>30</v>
      </c>
      <c r="I1713" s="1" t="s">
        <v>30</v>
      </c>
      <c r="K1713" s="2">
        <v>-279420</v>
      </c>
      <c r="L1713" s="1" t="s">
        <v>23</v>
      </c>
      <c r="N1713" s="2">
        <v>-279420</v>
      </c>
      <c r="O1713" s="1" t="s">
        <v>23</v>
      </c>
      <c r="P1713" s="1" t="s">
        <v>873</v>
      </c>
      <c r="Q1713" s="1">
        <v>1</v>
      </c>
    </row>
    <row r="1715" spans="1:17" x14ac:dyDescent="0.2">
      <c r="B1715" s="1" t="s">
        <v>32</v>
      </c>
      <c r="K1715" s="2">
        <v>-7228488.79</v>
      </c>
      <c r="L1715" s="1" t="s">
        <v>23</v>
      </c>
      <c r="N1715" s="2">
        <v>-7228488.79</v>
      </c>
      <c r="O1715" s="1" t="s">
        <v>23</v>
      </c>
    </row>
    <row r="1717" spans="1:17" x14ac:dyDescent="0.2">
      <c r="A1717" s="3"/>
      <c r="B1717" s="3" t="s">
        <v>33</v>
      </c>
      <c r="C1717" s="3" t="s">
        <v>388</v>
      </c>
      <c r="D1717" s="3"/>
      <c r="E1717" s="3"/>
      <c r="F1717" s="3"/>
      <c r="G1717" s="3"/>
      <c r="H1717" s="3"/>
      <c r="I1717" s="3"/>
      <c r="J1717" s="3"/>
      <c r="K1717" s="4">
        <v>-7228488.79</v>
      </c>
      <c r="L1717" s="3" t="s">
        <v>23</v>
      </c>
      <c r="M1717" s="3"/>
      <c r="N1717" s="4">
        <v>-7228488.79</v>
      </c>
      <c r="O1717" s="3" t="s">
        <v>23</v>
      </c>
      <c r="P1717" s="3"/>
      <c r="Q1717" s="3"/>
    </row>
    <row r="1719" spans="1:17" x14ac:dyDescent="0.2">
      <c r="A1719" s="1" t="s">
        <v>0</v>
      </c>
      <c r="F1719" s="1">
        <v>501332</v>
      </c>
    </row>
    <row r="1720" spans="1:17" x14ac:dyDescent="0.2">
      <c r="A1720" s="1" t="s">
        <v>1</v>
      </c>
      <c r="F1720" s="1" t="s">
        <v>2</v>
      </c>
    </row>
    <row r="1722" spans="1:17" x14ac:dyDescent="0.2">
      <c r="A1722" s="1" t="s">
        <v>3</v>
      </c>
      <c r="F1722" s="1" t="s">
        <v>389</v>
      </c>
    </row>
    <row r="1723" spans="1:17" x14ac:dyDescent="0.2">
      <c r="A1723" s="1" t="s">
        <v>5</v>
      </c>
      <c r="F1723" s="1" t="s">
        <v>151</v>
      </c>
    </row>
    <row r="1726" spans="1:17" x14ac:dyDescent="0.2">
      <c r="C1726" s="1" t="s">
        <v>7</v>
      </c>
      <c r="D1726" s="1" t="s">
        <v>8</v>
      </c>
      <c r="E1726" s="1" t="s">
        <v>9</v>
      </c>
      <c r="G1726" s="1" t="s">
        <v>10</v>
      </c>
      <c r="H1726" s="1" t="s">
        <v>11</v>
      </c>
      <c r="I1726" s="1" t="s">
        <v>12</v>
      </c>
      <c r="J1726" s="1" t="s">
        <v>13</v>
      </c>
      <c r="K1726" s="1" t="s">
        <v>14</v>
      </c>
      <c r="L1726" s="1" t="s">
        <v>15</v>
      </c>
      <c r="M1726" s="1" t="s">
        <v>16</v>
      </c>
      <c r="N1726" s="1" t="s">
        <v>17</v>
      </c>
      <c r="O1726" s="1" t="s">
        <v>18</v>
      </c>
      <c r="P1726" s="1" t="s">
        <v>19</v>
      </c>
      <c r="Q1726" s="1" t="s">
        <v>20</v>
      </c>
    </row>
    <row r="1728" spans="1:17" x14ac:dyDescent="0.2">
      <c r="D1728" s="1" t="s">
        <v>444</v>
      </c>
      <c r="E1728" s="1">
        <v>1400015719</v>
      </c>
      <c r="G1728" s="1" t="s">
        <v>26</v>
      </c>
      <c r="I1728" s="1" t="s">
        <v>26</v>
      </c>
      <c r="K1728" s="2">
        <v>-835483.4</v>
      </c>
      <c r="L1728" s="1" t="s">
        <v>23</v>
      </c>
      <c r="N1728" s="2">
        <v>-204249.7</v>
      </c>
      <c r="O1728" s="1" t="s">
        <v>24</v>
      </c>
      <c r="P1728" s="1" t="s">
        <v>874</v>
      </c>
      <c r="Q1728" s="1">
        <v>4.0904999999999996</v>
      </c>
    </row>
    <row r="1729" spans="1:17" x14ac:dyDescent="0.2">
      <c r="D1729" s="1" t="s">
        <v>444</v>
      </c>
      <c r="E1729" s="1">
        <v>1400015719</v>
      </c>
      <c r="G1729" s="1" t="s">
        <v>26</v>
      </c>
      <c r="I1729" s="1" t="s">
        <v>26</v>
      </c>
      <c r="K1729" s="2">
        <v>-882525.38</v>
      </c>
      <c r="L1729" s="1" t="s">
        <v>23</v>
      </c>
      <c r="N1729" s="2">
        <v>-215750</v>
      </c>
      <c r="O1729" s="1" t="s">
        <v>24</v>
      </c>
      <c r="P1729" s="1" t="s">
        <v>875</v>
      </c>
      <c r="Q1729" s="1">
        <v>4.0904999999999996</v>
      </c>
    </row>
    <row r="1730" spans="1:17" x14ac:dyDescent="0.2">
      <c r="D1730" s="1" t="s">
        <v>444</v>
      </c>
      <c r="E1730" s="1">
        <v>1400015732</v>
      </c>
      <c r="G1730" s="1" t="s">
        <v>28</v>
      </c>
      <c r="I1730" s="1" t="s">
        <v>28</v>
      </c>
      <c r="K1730" s="2">
        <v>-2351906.89</v>
      </c>
      <c r="L1730" s="1" t="s">
        <v>23</v>
      </c>
      <c r="N1730" s="2">
        <v>-581795.15</v>
      </c>
      <c r="O1730" s="1" t="s">
        <v>24</v>
      </c>
      <c r="P1730" s="1" t="s">
        <v>876</v>
      </c>
      <c r="Q1730" s="1">
        <v>4.0425000000000004</v>
      </c>
    </row>
    <row r="1732" spans="1:17" x14ac:dyDescent="0.2">
      <c r="B1732" s="1" t="s">
        <v>32</v>
      </c>
      <c r="K1732" s="2">
        <v>-4069915.67</v>
      </c>
      <c r="L1732" s="1" t="s">
        <v>23</v>
      </c>
      <c r="N1732" s="2">
        <v>-1001794.85</v>
      </c>
      <c r="O1732" s="1" t="s">
        <v>24</v>
      </c>
    </row>
    <row r="1734" spans="1:17" x14ac:dyDescent="0.2">
      <c r="A1734" s="3"/>
      <c r="B1734" s="3" t="s">
        <v>33</v>
      </c>
      <c r="C1734" s="3" t="s">
        <v>394</v>
      </c>
      <c r="D1734" s="3"/>
      <c r="E1734" s="3"/>
      <c r="F1734" s="3"/>
      <c r="G1734" s="3"/>
      <c r="H1734" s="3"/>
      <c r="I1734" s="3"/>
      <c r="J1734" s="3"/>
      <c r="K1734" s="4">
        <v>-4069915.67</v>
      </c>
      <c r="L1734" s="3" t="s">
        <v>23</v>
      </c>
      <c r="M1734" s="3"/>
      <c r="N1734" s="4">
        <v>-1001794.85</v>
      </c>
      <c r="O1734" s="3" t="s">
        <v>24</v>
      </c>
      <c r="P1734" s="3"/>
      <c r="Q1734" s="3"/>
    </row>
    <row r="1736" spans="1:17" x14ac:dyDescent="0.2">
      <c r="A1736" s="1" t="s">
        <v>0</v>
      </c>
      <c r="F1736" s="1">
        <v>501336</v>
      </c>
    </row>
    <row r="1737" spans="1:17" x14ac:dyDescent="0.2">
      <c r="A1737" s="1" t="s">
        <v>1</v>
      </c>
      <c r="F1737" s="1" t="s">
        <v>2</v>
      </c>
    </row>
    <row r="1739" spans="1:17" x14ac:dyDescent="0.2">
      <c r="A1739" s="1" t="s">
        <v>3</v>
      </c>
      <c r="F1739" s="1" t="s">
        <v>877</v>
      </c>
    </row>
    <row r="1740" spans="1:17" x14ac:dyDescent="0.2">
      <c r="A1740" s="1" t="s">
        <v>5</v>
      </c>
      <c r="F1740" s="1" t="s">
        <v>514</v>
      </c>
    </row>
    <row r="1743" spans="1:17" x14ac:dyDescent="0.2">
      <c r="C1743" s="1" t="s">
        <v>7</v>
      </c>
      <c r="D1743" s="1" t="s">
        <v>8</v>
      </c>
      <c r="E1743" s="1" t="s">
        <v>9</v>
      </c>
      <c r="G1743" s="1" t="s">
        <v>10</v>
      </c>
      <c r="H1743" s="1" t="s">
        <v>11</v>
      </c>
      <c r="I1743" s="1" t="s">
        <v>12</v>
      </c>
      <c r="J1743" s="1" t="s">
        <v>13</v>
      </c>
      <c r="K1743" s="1" t="s">
        <v>14</v>
      </c>
      <c r="L1743" s="1" t="s">
        <v>15</v>
      </c>
      <c r="M1743" s="1" t="s">
        <v>16</v>
      </c>
      <c r="N1743" s="1" t="s">
        <v>17</v>
      </c>
      <c r="O1743" s="1" t="s">
        <v>18</v>
      </c>
      <c r="P1743" s="1" t="s">
        <v>19</v>
      </c>
      <c r="Q1743" s="1" t="s">
        <v>20</v>
      </c>
    </row>
    <row r="1745" spans="1:17" x14ac:dyDescent="0.2">
      <c r="D1745" s="1" t="s">
        <v>444</v>
      </c>
      <c r="E1745" s="1">
        <v>1400015906</v>
      </c>
      <c r="G1745" s="1" t="s">
        <v>30</v>
      </c>
      <c r="I1745" s="1" t="s">
        <v>30</v>
      </c>
      <c r="K1745" s="2">
        <v>-38045.410000000003</v>
      </c>
      <c r="L1745" s="1" t="s">
        <v>23</v>
      </c>
      <c r="N1745" s="2">
        <v>-38045.410000000003</v>
      </c>
      <c r="O1745" s="1" t="s">
        <v>23</v>
      </c>
      <c r="P1745" s="1" t="s">
        <v>878</v>
      </c>
      <c r="Q1745" s="1">
        <v>1</v>
      </c>
    </row>
    <row r="1747" spans="1:17" x14ac:dyDescent="0.2">
      <c r="B1747" s="1" t="s">
        <v>32</v>
      </c>
      <c r="K1747" s="2">
        <v>-38045.410000000003</v>
      </c>
      <c r="L1747" s="1" t="s">
        <v>23</v>
      </c>
      <c r="N1747" s="2">
        <v>-38045.410000000003</v>
      </c>
      <c r="O1747" s="1" t="s">
        <v>23</v>
      </c>
    </row>
    <row r="1749" spans="1:17" x14ac:dyDescent="0.2">
      <c r="A1749" s="3"/>
      <c r="B1749" s="3" t="s">
        <v>33</v>
      </c>
      <c r="C1749" s="3" t="s">
        <v>879</v>
      </c>
      <c r="D1749" s="3"/>
      <c r="E1749" s="3"/>
      <c r="F1749" s="3"/>
      <c r="G1749" s="3"/>
      <c r="H1749" s="3"/>
      <c r="I1749" s="3"/>
      <c r="J1749" s="3"/>
      <c r="K1749" s="4">
        <v>-38045.410000000003</v>
      </c>
      <c r="L1749" s="3" t="s">
        <v>23</v>
      </c>
      <c r="M1749" s="3"/>
      <c r="N1749" s="4">
        <v>-38045.410000000003</v>
      </c>
      <c r="O1749" s="3" t="s">
        <v>23</v>
      </c>
      <c r="P1749" s="3"/>
      <c r="Q1749" s="3"/>
    </row>
    <row r="1751" spans="1:17" x14ac:dyDescent="0.2">
      <c r="A1751" s="1" t="s">
        <v>0</v>
      </c>
      <c r="F1751" s="1">
        <v>501341</v>
      </c>
    </row>
    <row r="1752" spans="1:17" x14ac:dyDescent="0.2">
      <c r="A1752" s="1" t="s">
        <v>1</v>
      </c>
      <c r="F1752" s="1" t="s">
        <v>2</v>
      </c>
    </row>
    <row r="1754" spans="1:17" x14ac:dyDescent="0.2">
      <c r="A1754" s="1" t="s">
        <v>3</v>
      </c>
      <c r="F1754" s="1" t="s">
        <v>395</v>
      </c>
    </row>
    <row r="1755" spans="1:17" x14ac:dyDescent="0.2">
      <c r="A1755" s="1" t="s">
        <v>5</v>
      </c>
      <c r="F1755" s="1" t="s">
        <v>221</v>
      </c>
    </row>
    <row r="1758" spans="1:17" x14ac:dyDescent="0.2">
      <c r="C1758" s="1" t="s">
        <v>7</v>
      </c>
      <c r="D1758" s="1" t="s">
        <v>8</v>
      </c>
      <c r="E1758" s="1" t="s">
        <v>9</v>
      </c>
      <c r="G1758" s="1" t="s">
        <v>10</v>
      </c>
      <c r="H1758" s="1" t="s">
        <v>11</v>
      </c>
      <c r="I1758" s="1" t="s">
        <v>12</v>
      </c>
      <c r="J1758" s="1" t="s">
        <v>13</v>
      </c>
      <c r="K1758" s="1" t="s">
        <v>14</v>
      </c>
      <c r="L1758" s="1" t="s">
        <v>15</v>
      </c>
      <c r="M1758" s="1" t="s">
        <v>16</v>
      </c>
      <c r="N1758" s="1" t="s">
        <v>17</v>
      </c>
      <c r="O1758" s="1" t="s">
        <v>18</v>
      </c>
      <c r="P1758" s="1" t="s">
        <v>19</v>
      </c>
      <c r="Q1758" s="1" t="s">
        <v>20</v>
      </c>
    </row>
    <row r="1760" spans="1:17" x14ac:dyDescent="0.2">
      <c r="D1760" s="1" t="s">
        <v>444</v>
      </c>
      <c r="E1760" s="1">
        <v>103527266</v>
      </c>
      <c r="G1760" s="1" t="s">
        <v>75</v>
      </c>
      <c r="I1760" s="1" t="s">
        <v>75</v>
      </c>
      <c r="K1760" s="2">
        <v>-3424755.88</v>
      </c>
      <c r="L1760" s="1" t="s">
        <v>23</v>
      </c>
      <c r="N1760" s="2">
        <v>-843120.6</v>
      </c>
      <c r="O1760" s="1" t="s">
        <v>24</v>
      </c>
      <c r="P1760" s="1" t="s">
        <v>880</v>
      </c>
      <c r="Q1760" s="1">
        <v>4.0620000000000003</v>
      </c>
    </row>
    <row r="1762" spans="1:17" x14ac:dyDescent="0.2">
      <c r="B1762" s="1" t="s">
        <v>32</v>
      </c>
      <c r="K1762" s="2">
        <v>-3424755.88</v>
      </c>
      <c r="L1762" s="1" t="s">
        <v>23</v>
      </c>
      <c r="N1762" s="2">
        <v>-843120.6</v>
      </c>
      <c r="O1762" s="1" t="s">
        <v>24</v>
      </c>
    </row>
    <row r="1764" spans="1:17" x14ac:dyDescent="0.2">
      <c r="A1764" s="3"/>
      <c r="B1764" s="3" t="s">
        <v>33</v>
      </c>
      <c r="C1764" s="3" t="s">
        <v>398</v>
      </c>
      <c r="D1764" s="3"/>
      <c r="E1764" s="3"/>
      <c r="F1764" s="3"/>
      <c r="G1764" s="3"/>
      <c r="H1764" s="3"/>
      <c r="I1764" s="3"/>
      <c r="J1764" s="3"/>
      <c r="K1764" s="4">
        <v>-3424755.88</v>
      </c>
      <c r="L1764" s="3" t="s">
        <v>23</v>
      </c>
      <c r="M1764" s="3"/>
      <c r="N1764" s="4">
        <v>-843120.6</v>
      </c>
      <c r="O1764" s="3" t="s">
        <v>24</v>
      </c>
      <c r="P1764" s="3"/>
      <c r="Q1764" s="3"/>
    </row>
    <row r="1766" spans="1:17" x14ac:dyDescent="0.2">
      <c r="A1766" s="1" t="s">
        <v>0</v>
      </c>
      <c r="F1766" s="1">
        <v>501342</v>
      </c>
    </row>
    <row r="1767" spans="1:17" x14ac:dyDescent="0.2">
      <c r="A1767" s="1" t="s">
        <v>1</v>
      </c>
      <c r="F1767" s="1" t="s">
        <v>2</v>
      </c>
    </row>
    <row r="1769" spans="1:17" x14ac:dyDescent="0.2">
      <c r="A1769" s="1" t="s">
        <v>3</v>
      </c>
      <c r="F1769" s="1" t="s">
        <v>389</v>
      </c>
    </row>
    <row r="1770" spans="1:17" x14ac:dyDescent="0.2">
      <c r="A1770" s="1" t="s">
        <v>5</v>
      </c>
      <c r="F1770" s="1" t="s">
        <v>228</v>
      </c>
    </row>
    <row r="1773" spans="1:17" x14ac:dyDescent="0.2">
      <c r="C1773" s="1" t="s">
        <v>7</v>
      </c>
      <c r="D1773" s="1" t="s">
        <v>8</v>
      </c>
      <c r="E1773" s="1" t="s">
        <v>9</v>
      </c>
      <c r="G1773" s="1" t="s">
        <v>10</v>
      </c>
      <c r="H1773" s="1" t="s">
        <v>11</v>
      </c>
      <c r="I1773" s="1" t="s">
        <v>12</v>
      </c>
      <c r="J1773" s="1" t="s">
        <v>13</v>
      </c>
      <c r="K1773" s="1" t="s">
        <v>14</v>
      </c>
      <c r="L1773" s="1" t="s">
        <v>15</v>
      </c>
      <c r="M1773" s="1" t="s">
        <v>16</v>
      </c>
      <c r="N1773" s="1" t="s">
        <v>17</v>
      </c>
      <c r="O1773" s="1" t="s">
        <v>18</v>
      </c>
      <c r="P1773" s="1" t="s">
        <v>19</v>
      </c>
      <c r="Q1773" s="1" t="s">
        <v>20</v>
      </c>
    </row>
    <row r="1775" spans="1:17" x14ac:dyDescent="0.2">
      <c r="D1775" s="1" t="s">
        <v>444</v>
      </c>
      <c r="E1775" s="1">
        <v>1400015732</v>
      </c>
      <c r="G1775" s="1" t="s">
        <v>28</v>
      </c>
      <c r="I1775" s="1" t="s">
        <v>28</v>
      </c>
      <c r="K1775" s="2">
        <v>-319829.90999999997</v>
      </c>
      <c r="L1775" s="1" t="s">
        <v>23</v>
      </c>
      <c r="N1775" s="2">
        <v>-79116.86</v>
      </c>
      <c r="O1775" s="1" t="s">
        <v>24</v>
      </c>
      <c r="P1775" s="1" t="s">
        <v>881</v>
      </c>
      <c r="Q1775" s="1">
        <v>4.0425000000000004</v>
      </c>
    </row>
    <row r="1776" spans="1:17" x14ac:dyDescent="0.2">
      <c r="D1776" s="1" t="s">
        <v>444</v>
      </c>
      <c r="E1776" s="1">
        <v>1400015778</v>
      </c>
      <c r="G1776" s="1" t="s">
        <v>67</v>
      </c>
      <c r="I1776" s="1" t="s">
        <v>67</v>
      </c>
      <c r="K1776" s="2">
        <v>-1196257.5</v>
      </c>
      <c r="L1776" s="1" t="s">
        <v>23</v>
      </c>
      <c r="N1776" s="2">
        <v>-296250</v>
      </c>
      <c r="O1776" s="1" t="s">
        <v>24</v>
      </c>
      <c r="P1776" s="1" t="s">
        <v>882</v>
      </c>
      <c r="Q1776" s="1">
        <v>4.0380000000000003</v>
      </c>
    </row>
    <row r="1777" spans="1:17" x14ac:dyDescent="0.2">
      <c r="D1777" s="1" t="s">
        <v>444</v>
      </c>
      <c r="E1777" s="1">
        <v>1400015918</v>
      </c>
      <c r="G1777" s="1" t="s">
        <v>30</v>
      </c>
      <c r="I1777" s="1" t="s">
        <v>30</v>
      </c>
      <c r="K1777" s="2">
        <v>-1708682.71</v>
      </c>
      <c r="L1777" s="1" t="s">
        <v>23</v>
      </c>
      <c r="N1777" s="2">
        <v>-424412</v>
      </c>
      <c r="O1777" s="1" t="s">
        <v>24</v>
      </c>
      <c r="P1777" s="1" t="s">
        <v>883</v>
      </c>
      <c r="Q1777" s="1">
        <v>4.0259999999999998</v>
      </c>
    </row>
    <row r="1778" spans="1:17" x14ac:dyDescent="0.2">
      <c r="D1778" s="1" t="s">
        <v>444</v>
      </c>
      <c r="E1778" s="1">
        <v>1400015918</v>
      </c>
      <c r="G1778" s="1" t="s">
        <v>30</v>
      </c>
      <c r="I1778" s="1" t="s">
        <v>30</v>
      </c>
      <c r="K1778" s="2">
        <v>-306137.03999999998</v>
      </c>
      <c r="L1778" s="1" t="s">
        <v>23</v>
      </c>
      <c r="N1778" s="2">
        <v>-76040</v>
      </c>
      <c r="O1778" s="1" t="s">
        <v>24</v>
      </c>
      <c r="P1778" s="1" t="s">
        <v>884</v>
      </c>
      <c r="Q1778" s="1">
        <v>4.0259999999999998</v>
      </c>
    </row>
    <row r="1780" spans="1:17" x14ac:dyDescent="0.2">
      <c r="B1780" s="1" t="s">
        <v>32</v>
      </c>
      <c r="K1780" s="2">
        <v>-3530907.16</v>
      </c>
      <c r="L1780" s="1" t="s">
        <v>23</v>
      </c>
      <c r="N1780" s="2">
        <v>-875818.86</v>
      </c>
      <c r="O1780" s="1" t="s">
        <v>24</v>
      </c>
    </row>
    <row r="1782" spans="1:17" x14ac:dyDescent="0.2">
      <c r="A1782" s="3"/>
      <c r="B1782" s="3" t="s">
        <v>33</v>
      </c>
      <c r="C1782" s="3" t="s">
        <v>402</v>
      </c>
      <c r="D1782" s="3"/>
      <c r="E1782" s="3"/>
      <c r="F1782" s="3"/>
      <c r="G1782" s="3"/>
      <c r="H1782" s="3"/>
      <c r="I1782" s="3"/>
      <c r="J1782" s="3"/>
      <c r="K1782" s="4">
        <v>-3530907.16</v>
      </c>
      <c r="L1782" s="3" t="s">
        <v>23</v>
      </c>
      <c r="M1782" s="3"/>
      <c r="N1782" s="4">
        <v>-875818.86</v>
      </c>
      <c r="O1782" s="3" t="s">
        <v>24</v>
      </c>
      <c r="P1782" s="3"/>
      <c r="Q1782" s="3"/>
    </row>
    <row r="1784" spans="1:17" x14ac:dyDescent="0.2">
      <c r="A1784" s="1" t="s">
        <v>0</v>
      </c>
      <c r="F1784" s="1">
        <v>501343</v>
      </c>
    </row>
    <row r="1785" spans="1:17" x14ac:dyDescent="0.2">
      <c r="A1785" s="1" t="s">
        <v>1</v>
      </c>
      <c r="F1785" s="1" t="s">
        <v>2</v>
      </c>
    </row>
    <row r="1787" spans="1:17" x14ac:dyDescent="0.2">
      <c r="A1787" s="1" t="s">
        <v>3</v>
      </c>
      <c r="F1787" s="1" t="s">
        <v>403</v>
      </c>
    </row>
    <row r="1788" spans="1:17" x14ac:dyDescent="0.2">
      <c r="A1788" s="1" t="s">
        <v>5</v>
      </c>
      <c r="F1788" s="1" t="s">
        <v>404</v>
      </c>
    </row>
    <row r="1791" spans="1:17" x14ac:dyDescent="0.2">
      <c r="C1791" s="1" t="s">
        <v>7</v>
      </c>
      <c r="D1791" s="1" t="s">
        <v>8</v>
      </c>
      <c r="E1791" s="1" t="s">
        <v>9</v>
      </c>
      <c r="G1791" s="1" t="s">
        <v>10</v>
      </c>
      <c r="H1791" s="1" t="s">
        <v>11</v>
      </c>
      <c r="I1791" s="1" t="s">
        <v>12</v>
      </c>
      <c r="J1791" s="1" t="s">
        <v>13</v>
      </c>
      <c r="K1791" s="1" t="s">
        <v>14</v>
      </c>
      <c r="L1791" s="1" t="s">
        <v>15</v>
      </c>
      <c r="M1791" s="1" t="s">
        <v>16</v>
      </c>
      <c r="N1791" s="1" t="s">
        <v>17</v>
      </c>
      <c r="O1791" s="1" t="s">
        <v>18</v>
      </c>
      <c r="P1791" s="1" t="s">
        <v>19</v>
      </c>
      <c r="Q1791" s="1" t="s">
        <v>20</v>
      </c>
    </row>
    <row r="1793" spans="1:17" x14ac:dyDescent="0.2">
      <c r="D1793" s="1" t="s">
        <v>444</v>
      </c>
      <c r="E1793" s="1">
        <v>1400015857</v>
      </c>
      <c r="G1793" s="1" t="s">
        <v>22</v>
      </c>
      <c r="I1793" s="1" t="s">
        <v>22</v>
      </c>
      <c r="K1793" s="2">
        <v>-14630460.460000001</v>
      </c>
      <c r="L1793" s="1" t="s">
        <v>23</v>
      </c>
      <c r="N1793" s="2">
        <v>-14630460.460000001</v>
      </c>
      <c r="O1793" s="1" t="s">
        <v>23</v>
      </c>
      <c r="P1793" s="1" t="s">
        <v>885</v>
      </c>
      <c r="Q1793" s="1">
        <v>1</v>
      </c>
    </row>
    <row r="1794" spans="1:17" x14ac:dyDescent="0.2">
      <c r="D1794" s="1" t="s">
        <v>444</v>
      </c>
      <c r="E1794" s="1">
        <v>1400015857</v>
      </c>
      <c r="G1794" s="1" t="s">
        <v>22</v>
      </c>
      <c r="I1794" s="1" t="s">
        <v>22</v>
      </c>
      <c r="K1794" s="2">
        <v>-46112.01</v>
      </c>
      <c r="L1794" s="1" t="s">
        <v>23</v>
      </c>
      <c r="N1794" s="2">
        <v>-46112.01</v>
      </c>
      <c r="O1794" s="1" t="s">
        <v>23</v>
      </c>
      <c r="P1794" s="1" t="s">
        <v>885</v>
      </c>
      <c r="Q1794" s="1">
        <v>1</v>
      </c>
    </row>
    <row r="1796" spans="1:17" x14ac:dyDescent="0.2">
      <c r="B1796" s="1" t="s">
        <v>32</v>
      </c>
      <c r="K1796" s="2">
        <v>-14676572.470000001</v>
      </c>
      <c r="L1796" s="1" t="s">
        <v>23</v>
      </c>
      <c r="N1796" s="2">
        <v>-14676572.470000001</v>
      </c>
      <c r="O1796" s="1" t="s">
        <v>23</v>
      </c>
    </row>
    <row r="1798" spans="1:17" x14ac:dyDescent="0.2">
      <c r="A1798" s="3"/>
      <c r="B1798" s="3" t="s">
        <v>33</v>
      </c>
      <c r="C1798" s="3" t="s">
        <v>407</v>
      </c>
      <c r="D1798" s="3"/>
      <c r="E1798" s="3"/>
      <c r="F1798" s="3"/>
      <c r="G1798" s="3"/>
      <c r="H1798" s="3"/>
      <c r="I1798" s="3"/>
      <c r="J1798" s="3"/>
      <c r="K1798" s="4">
        <v>-14676572.470000001</v>
      </c>
      <c r="L1798" s="3" t="s">
        <v>23</v>
      </c>
      <c r="M1798" s="3"/>
      <c r="N1798" s="4">
        <v>-14676572.470000001</v>
      </c>
      <c r="O1798" s="3" t="s">
        <v>23</v>
      </c>
      <c r="P1798" s="3"/>
      <c r="Q1798" s="3"/>
    </row>
    <row r="1800" spans="1:17" x14ac:dyDescent="0.2">
      <c r="A1800" s="1" t="s">
        <v>0</v>
      </c>
      <c r="F1800" s="1">
        <v>501347</v>
      </c>
    </row>
    <row r="1801" spans="1:17" x14ac:dyDescent="0.2">
      <c r="A1801" s="1" t="s">
        <v>1</v>
      </c>
      <c r="F1801" s="1" t="s">
        <v>2</v>
      </c>
    </row>
    <row r="1803" spans="1:17" x14ac:dyDescent="0.2">
      <c r="A1803" s="1" t="s">
        <v>3</v>
      </c>
      <c r="F1803" s="1" t="s">
        <v>886</v>
      </c>
    </row>
    <row r="1804" spans="1:17" x14ac:dyDescent="0.2">
      <c r="A1804" s="1" t="s">
        <v>5</v>
      </c>
      <c r="F1804" s="1" t="s">
        <v>228</v>
      </c>
    </row>
    <row r="1807" spans="1:17" x14ac:dyDescent="0.2">
      <c r="C1807" s="1" t="s">
        <v>7</v>
      </c>
      <c r="D1807" s="1" t="s">
        <v>8</v>
      </c>
      <c r="E1807" s="1" t="s">
        <v>9</v>
      </c>
      <c r="G1807" s="1" t="s">
        <v>10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 t="s">
        <v>15</v>
      </c>
      <c r="M1807" s="1" t="s">
        <v>16</v>
      </c>
      <c r="N1807" s="1" t="s">
        <v>17</v>
      </c>
      <c r="O1807" s="1" t="s">
        <v>18</v>
      </c>
      <c r="P1807" s="1" t="s">
        <v>19</v>
      </c>
      <c r="Q1807" s="1" t="s">
        <v>20</v>
      </c>
    </row>
    <row r="1809" spans="1:17" x14ac:dyDescent="0.2">
      <c r="D1809" s="1" t="s">
        <v>444</v>
      </c>
      <c r="E1809" s="1">
        <v>1400015741</v>
      </c>
      <c r="G1809" s="1" t="s">
        <v>36</v>
      </c>
      <c r="I1809" s="1" t="s">
        <v>36</v>
      </c>
      <c r="K1809" s="2">
        <v>-164544.35</v>
      </c>
      <c r="L1809" s="1" t="s">
        <v>23</v>
      </c>
      <c r="N1809" s="2">
        <v>-164544.35</v>
      </c>
      <c r="O1809" s="1" t="s">
        <v>23</v>
      </c>
      <c r="P1809" s="1" t="s">
        <v>887</v>
      </c>
      <c r="Q1809" s="1">
        <v>1</v>
      </c>
    </row>
    <row r="1810" spans="1:17" x14ac:dyDescent="0.2">
      <c r="D1810" s="1" t="s">
        <v>444</v>
      </c>
      <c r="E1810" s="1">
        <v>1400015764</v>
      </c>
      <c r="G1810" s="1" t="s">
        <v>26</v>
      </c>
      <c r="I1810" s="1" t="s">
        <v>26</v>
      </c>
      <c r="K1810" s="2">
        <v>-1191748.43</v>
      </c>
      <c r="L1810" s="1" t="s">
        <v>23</v>
      </c>
      <c r="N1810" s="2">
        <v>-1191748.43</v>
      </c>
      <c r="O1810" s="1" t="s">
        <v>23</v>
      </c>
      <c r="P1810" s="1" t="s">
        <v>888</v>
      </c>
      <c r="Q1810" s="1">
        <v>1</v>
      </c>
    </row>
    <row r="1811" spans="1:17" x14ac:dyDescent="0.2">
      <c r="D1811" s="1" t="s">
        <v>444</v>
      </c>
      <c r="E1811" s="1">
        <v>1400015863</v>
      </c>
      <c r="G1811" s="1" t="s">
        <v>30</v>
      </c>
      <c r="I1811" s="1" t="s">
        <v>30</v>
      </c>
      <c r="K1811" s="2">
        <v>-255103.69</v>
      </c>
      <c r="L1811" s="1" t="s">
        <v>23</v>
      </c>
      <c r="N1811" s="2">
        <v>-255103.69</v>
      </c>
      <c r="O1811" s="1" t="s">
        <v>23</v>
      </c>
      <c r="P1811" s="1" t="s">
        <v>889</v>
      </c>
      <c r="Q1811" s="1">
        <v>1</v>
      </c>
    </row>
    <row r="1813" spans="1:17" x14ac:dyDescent="0.2">
      <c r="B1813" s="1" t="s">
        <v>32</v>
      </c>
      <c r="K1813" s="2">
        <v>-1611396.47</v>
      </c>
      <c r="L1813" s="1" t="s">
        <v>23</v>
      </c>
      <c r="N1813" s="2">
        <v>-1611396.47</v>
      </c>
      <c r="O1813" s="1" t="s">
        <v>23</v>
      </c>
    </row>
    <row r="1815" spans="1:17" x14ac:dyDescent="0.2">
      <c r="A1815" s="3"/>
      <c r="B1815" s="3" t="s">
        <v>33</v>
      </c>
      <c r="C1815" s="3" t="s">
        <v>890</v>
      </c>
      <c r="D1815" s="3"/>
      <c r="E1815" s="3"/>
      <c r="F1815" s="3"/>
      <c r="G1815" s="3"/>
      <c r="H1815" s="3"/>
      <c r="I1815" s="3"/>
      <c r="J1815" s="3"/>
      <c r="K1815" s="4">
        <v>-1611396.47</v>
      </c>
      <c r="L1815" s="3" t="s">
        <v>23</v>
      </c>
      <c r="M1815" s="3"/>
      <c r="N1815" s="4">
        <v>-1611396.47</v>
      </c>
      <c r="O1815" s="3" t="s">
        <v>23</v>
      </c>
      <c r="P1815" s="3"/>
      <c r="Q1815" s="3"/>
    </row>
    <row r="1817" spans="1:17" x14ac:dyDescent="0.2">
      <c r="A1817" s="1" t="s">
        <v>0</v>
      </c>
      <c r="F1817" s="1" t="s">
        <v>32</v>
      </c>
    </row>
    <row r="1818" spans="1:17" x14ac:dyDescent="0.2">
      <c r="A1818" s="1" t="s">
        <v>1</v>
      </c>
      <c r="F1818" s="1" t="s">
        <v>32</v>
      </c>
    </row>
    <row r="1820" spans="1:17" x14ac:dyDescent="0.2">
      <c r="A1820" s="1" t="s">
        <v>3</v>
      </c>
      <c r="F1820" s="1" t="s">
        <v>32</v>
      </c>
    </row>
    <row r="1821" spans="1:17" x14ac:dyDescent="0.2">
      <c r="A1821" s="1" t="s">
        <v>5</v>
      </c>
      <c r="F1821" s="1" t="s">
        <v>32</v>
      </c>
    </row>
    <row r="1824" spans="1:17" x14ac:dyDescent="0.2">
      <c r="C1824" s="1" t="s">
        <v>7</v>
      </c>
      <c r="D1824" s="1" t="s">
        <v>8</v>
      </c>
      <c r="E1824" s="1" t="s">
        <v>9</v>
      </c>
      <c r="G1824" s="1" t="s">
        <v>10</v>
      </c>
      <c r="H1824" s="1" t="s">
        <v>11</v>
      </c>
      <c r="I1824" s="1" t="s">
        <v>12</v>
      </c>
      <c r="J1824" s="1" t="s">
        <v>13</v>
      </c>
      <c r="K1824" s="1" t="s">
        <v>14</v>
      </c>
      <c r="L1824" s="1" t="s">
        <v>15</v>
      </c>
      <c r="M1824" s="1" t="s">
        <v>16</v>
      </c>
      <c r="N1824" s="1" t="s">
        <v>17</v>
      </c>
      <c r="O1824" s="1" t="s">
        <v>18</v>
      </c>
      <c r="P1824" s="1" t="s">
        <v>19</v>
      </c>
      <c r="Q1824" s="1" t="s">
        <v>20</v>
      </c>
    </row>
    <row r="1826" spans="2:15" x14ac:dyDescent="0.2">
      <c r="B1826" s="1" t="s">
        <v>443</v>
      </c>
      <c r="K1826" s="2">
        <v>-381582951.25999999</v>
      </c>
      <c r="L1826" s="1" t="s">
        <v>23</v>
      </c>
      <c r="N1826" s="2">
        <v>-197230.22</v>
      </c>
      <c r="O1826" s="1" t="s">
        <v>603</v>
      </c>
    </row>
    <row r="1827" spans="2:15" x14ac:dyDescent="0.2">
      <c r="N1827" s="2">
        <v>-240229029.81999999</v>
      </c>
      <c r="O1827" s="1" t="s">
        <v>23</v>
      </c>
    </row>
    <row r="1828" spans="2:15" x14ac:dyDescent="0.2">
      <c r="N1828" s="2">
        <v>-34648315.130000003</v>
      </c>
      <c r="O1828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7801-776C-48EB-A485-FFF1D9476A0E}">
  <dimension ref="A2:Q11"/>
  <sheetViews>
    <sheetView workbookViewId="0"/>
  </sheetViews>
  <sheetFormatPr defaultRowHeight="11.4" x14ac:dyDescent="0.2"/>
  <cols>
    <col min="1" max="1" width="13" style="1" bestFit="1" customWidth="1"/>
    <col min="2" max="2" width="23.33203125" style="1" bestFit="1" customWidth="1"/>
    <col min="3" max="3" width="2.33203125" style="1" bestFit="1" customWidth="1"/>
    <col min="4" max="4" width="9.21875" style="1" bestFit="1" customWidth="1"/>
    <col min="5" max="5" width="10.5546875" style="1" bestFit="1" customWidth="1"/>
    <col min="6" max="6" width="1.5546875" style="1" bestFit="1" customWidth="1"/>
    <col min="7" max="7" width="8" style="1" bestFit="1" customWidth="1"/>
    <col min="8" max="8" width="1.77734375" style="1" bestFit="1" customWidth="1"/>
    <col min="9" max="9" width="8.88671875" style="1"/>
    <col min="10" max="10" width="3" style="1" bestFit="1" customWidth="1"/>
    <col min="11" max="11" width="12.5546875" style="1" bestFit="1" customWidth="1"/>
    <col min="12" max="12" width="4.77734375" style="1" bestFit="1" customWidth="1"/>
    <col min="13" max="13" width="8.33203125" style="1" bestFit="1" customWidth="1"/>
    <col min="14" max="14" width="13.6640625" style="1" bestFit="1" customWidth="1"/>
    <col min="15" max="15" width="4.33203125" style="1" bestFit="1" customWidth="1"/>
    <col min="16" max="16" width="4" style="1" bestFit="1" customWidth="1"/>
    <col min="17" max="17" width="8.6640625" style="1" bestFit="1" customWidth="1"/>
    <col min="18" max="16384" width="8.88671875" style="1"/>
  </cols>
  <sheetData>
    <row r="2" spans="1:17" x14ac:dyDescent="0.2">
      <c r="A2" s="1" t="s">
        <v>0</v>
      </c>
      <c r="F2" s="1" t="s">
        <v>32</v>
      </c>
    </row>
    <row r="3" spans="1:17" x14ac:dyDescent="0.2">
      <c r="A3" s="1" t="s">
        <v>1</v>
      </c>
      <c r="F3" s="1" t="s">
        <v>32</v>
      </c>
    </row>
    <row r="5" spans="1:17" x14ac:dyDescent="0.2">
      <c r="A5" s="1" t="s">
        <v>3</v>
      </c>
      <c r="F5" s="1" t="s">
        <v>32</v>
      </c>
    </row>
    <row r="6" spans="1:17" x14ac:dyDescent="0.2">
      <c r="A6" s="1" t="s">
        <v>5</v>
      </c>
      <c r="F6" s="1" t="s">
        <v>32</v>
      </c>
    </row>
    <row r="9" spans="1:17" x14ac:dyDescent="0.2">
      <c r="C9" s="1" t="s">
        <v>7</v>
      </c>
      <c r="D9" s="1" t="s">
        <v>8</v>
      </c>
      <c r="E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</row>
    <row r="11" spans="1:17" x14ac:dyDescent="0.2">
      <c r="B11" s="1" t="s">
        <v>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45FB-0C65-4F65-85E1-D963BE64DFDA}">
  <dimension ref="A2:Q72"/>
  <sheetViews>
    <sheetView tabSelected="1" workbookViewId="0"/>
  </sheetViews>
  <sheetFormatPr defaultRowHeight="11.4" x14ac:dyDescent="0.2"/>
  <cols>
    <col min="1" max="1" width="13" style="1" bestFit="1" customWidth="1"/>
    <col min="2" max="2" width="3.109375" style="1" bestFit="1" customWidth="1"/>
    <col min="3" max="3" width="12.44140625" style="1" bestFit="1" customWidth="1"/>
    <col min="4" max="4" width="9.33203125" style="1" bestFit="1" customWidth="1"/>
    <col min="5" max="5" width="10.5546875" style="1" bestFit="1" customWidth="1"/>
    <col min="6" max="6" width="24.6640625" style="1" bestFit="1" customWidth="1"/>
    <col min="7" max="7" width="8.77734375" style="1" bestFit="1" customWidth="1"/>
    <col min="8" max="8" width="1.77734375" style="1" bestFit="1" customWidth="1"/>
    <col min="9" max="9" width="8.88671875" style="1"/>
    <col min="10" max="10" width="3" style="1" bestFit="1" customWidth="1"/>
    <col min="11" max="11" width="12.5546875" style="1" bestFit="1" customWidth="1"/>
    <col min="12" max="12" width="4.77734375" style="1" bestFit="1" customWidth="1"/>
    <col min="13" max="13" width="8.33203125" style="1" bestFit="1" customWidth="1"/>
    <col min="14" max="14" width="13.6640625" style="1" bestFit="1" customWidth="1"/>
    <col min="15" max="15" width="4.33203125" style="1" bestFit="1" customWidth="1"/>
    <col min="16" max="16" width="30.5546875" style="1" bestFit="1" customWidth="1"/>
    <col min="17" max="17" width="8.6640625" style="1" bestFit="1" customWidth="1"/>
    <col min="18" max="16384" width="8.88671875" style="1"/>
  </cols>
  <sheetData>
    <row r="2" spans="1:17" x14ac:dyDescent="0.2">
      <c r="A2" s="1" t="s">
        <v>0</v>
      </c>
      <c r="F2" s="1">
        <v>500937</v>
      </c>
    </row>
    <row r="3" spans="1:17" x14ac:dyDescent="0.2">
      <c r="A3" s="1" t="s">
        <v>1</v>
      </c>
      <c r="F3" s="1" t="s">
        <v>892</v>
      </c>
    </row>
    <row r="5" spans="1:17" x14ac:dyDescent="0.2">
      <c r="A5" s="1" t="s">
        <v>3</v>
      </c>
      <c r="F5" s="1" t="s">
        <v>893</v>
      </c>
    </row>
    <row r="6" spans="1:17" x14ac:dyDescent="0.2">
      <c r="A6" s="1" t="s">
        <v>5</v>
      </c>
    </row>
    <row r="9" spans="1:17" x14ac:dyDescent="0.2">
      <c r="C9" s="1" t="s">
        <v>7</v>
      </c>
      <c r="D9" s="1" t="s">
        <v>8</v>
      </c>
      <c r="E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</row>
    <row r="11" spans="1:17" x14ac:dyDescent="0.2">
      <c r="D11" s="1" t="s">
        <v>444</v>
      </c>
      <c r="E11" s="1">
        <v>1400034138</v>
      </c>
      <c r="G11" s="1" t="s">
        <v>86</v>
      </c>
      <c r="I11" s="1" t="s">
        <v>86</v>
      </c>
      <c r="K11" s="2">
        <v>-7163625</v>
      </c>
      <c r="L11" s="1" t="s">
        <v>23</v>
      </c>
      <c r="N11" s="2">
        <v>-1750000</v>
      </c>
      <c r="O11" s="1" t="s">
        <v>24</v>
      </c>
      <c r="P11" s="1" t="s">
        <v>894</v>
      </c>
      <c r="Q11" s="1">
        <v>4.0934999999999997</v>
      </c>
    </row>
    <row r="13" spans="1:17" x14ac:dyDescent="0.2">
      <c r="B13" s="1" t="s">
        <v>32</v>
      </c>
      <c r="K13" s="2">
        <v>-7163625</v>
      </c>
      <c r="L13" s="1" t="s">
        <v>23</v>
      </c>
      <c r="N13" s="2">
        <v>-1750000</v>
      </c>
      <c r="O13" s="1" t="s">
        <v>24</v>
      </c>
    </row>
    <row r="15" spans="1:17" s="5" customFormat="1" x14ac:dyDescent="0.2">
      <c r="A15" s="3"/>
      <c r="B15" s="3" t="s">
        <v>33</v>
      </c>
      <c r="C15" s="3" t="s">
        <v>895</v>
      </c>
      <c r="D15" s="3"/>
      <c r="E15" s="3"/>
      <c r="F15" s="3"/>
      <c r="G15" s="3"/>
      <c r="H15" s="3"/>
      <c r="I15" s="3"/>
      <c r="J15" s="3"/>
      <c r="K15" s="4">
        <v>-7163625</v>
      </c>
      <c r="L15" s="3" t="s">
        <v>23</v>
      </c>
      <c r="M15" s="3"/>
      <c r="N15" s="4">
        <v>-1750000</v>
      </c>
      <c r="O15" s="3" t="s">
        <v>24</v>
      </c>
      <c r="P15" s="3"/>
      <c r="Q15" s="3"/>
    </row>
    <row r="17" spans="1:17" x14ac:dyDescent="0.2">
      <c r="A17" s="1" t="s">
        <v>0</v>
      </c>
      <c r="F17" s="1">
        <v>501072</v>
      </c>
    </row>
    <row r="18" spans="1:17" x14ac:dyDescent="0.2">
      <c r="A18" s="1" t="s">
        <v>1</v>
      </c>
      <c r="F18" s="1" t="s">
        <v>892</v>
      </c>
    </row>
    <row r="20" spans="1:17" x14ac:dyDescent="0.2">
      <c r="A20" s="1" t="s">
        <v>3</v>
      </c>
      <c r="F20" s="1" t="s">
        <v>896</v>
      </c>
    </row>
    <row r="21" spans="1:17" x14ac:dyDescent="0.2">
      <c r="A21" s="1" t="s">
        <v>5</v>
      </c>
    </row>
    <row r="24" spans="1:17" x14ac:dyDescent="0.2">
      <c r="C24" s="1" t="s">
        <v>7</v>
      </c>
      <c r="D24" s="1" t="s">
        <v>8</v>
      </c>
      <c r="E24" s="1" t="s">
        <v>9</v>
      </c>
      <c r="G24" s="1" t="s">
        <v>10</v>
      </c>
      <c r="H24" s="1" t="s">
        <v>11</v>
      </c>
      <c r="I24" s="1" t="s">
        <v>12</v>
      </c>
      <c r="J24" s="1" t="s">
        <v>13</v>
      </c>
      <c r="K24" s="1" t="s">
        <v>14</v>
      </c>
      <c r="L24" s="1" t="s">
        <v>15</v>
      </c>
      <c r="M24" s="1" t="s">
        <v>16</v>
      </c>
      <c r="N24" s="1" t="s">
        <v>17</v>
      </c>
      <c r="O24" s="1" t="s">
        <v>18</v>
      </c>
      <c r="P24" s="1" t="s">
        <v>19</v>
      </c>
      <c r="Q24" s="1" t="s">
        <v>20</v>
      </c>
    </row>
    <row r="26" spans="1:17" x14ac:dyDescent="0.2">
      <c r="D26" s="1" t="s">
        <v>444</v>
      </c>
      <c r="E26" s="1">
        <v>1400034150</v>
      </c>
      <c r="G26" s="1" t="s">
        <v>46</v>
      </c>
      <c r="I26" s="1" t="s">
        <v>46</v>
      </c>
      <c r="K26" s="2">
        <v>-606084.23</v>
      </c>
      <c r="L26" s="1" t="s">
        <v>23</v>
      </c>
      <c r="N26" s="2">
        <v>-149373.81</v>
      </c>
      <c r="O26" s="1" t="s">
        <v>24</v>
      </c>
      <c r="P26" s="1" t="s">
        <v>897</v>
      </c>
      <c r="Q26" s="1">
        <v>4.0575000000000001</v>
      </c>
    </row>
    <row r="28" spans="1:17" x14ac:dyDescent="0.2">
      <c r="B28" s="1" t="s">
        <v>32</v>
      </c>
      <c r="K28" s="2">
        <v>-606084.23</v>
      </c>
      <c r="L28" s="1" t="s">
        <v>23</v>
      </c>
      <c r="N28" s="2">
        <v>-149373.81</v>
      </c>
      <c r="O28" s="1" t="s">
        <v>24</v>
      </c>
    </row>
    <row r="30" spans="1:17" s="5" customFormat="1" x14ac:dyDescent="0.2">
      <c r="A30" s="3"/>
      <c r="B30" s="3" t="s">
        <v>33</v>
      </c>
      <c r="C30" s="3" t="s">
        <v>898</v>
      </c>
      <c r="D30" s="3"/>
      <c r="E30" s="3"/>
      <c r="F30" s="3"/>
      <c r="G30" s="3"/>
      <c r="H30" s="3"/>
      <c r="I30" s="3"/>
      <c r="J30" s="3"/>
      <c r="K30" s="4">
        <v>-606084.23</v>
      </c>
      <c r="L30" s="3" t="s">
        <v>23</v>
      </c>
      <c r="M30" s="3"/>
      <c r="N30" s="4">
        <v>-149373.81</v>
      </c>
      <c r="O30" s="3" t="s">
        <v>24</v>
      </c>
      <c r="P30" s="3"/>
      <c r="Q30" s="3"/>
    </row>
    <row r="32" spans="1:17" x14ac:dyDescent="0.2">
      <c r="A32" s="1" t="s">
        <v>0</v>
      </c>
      <c r="F32" s="1">
        <v>501073</v>
      </c>
    </row>
    <row r="33" spans="1:17" x14ac:dyDescent="0.2">
      <c r="A33" s="1" t="s">
        <v>1</v>
      </c>
      <c r="F33" s="1" t="s">
        <v>892</v>
      </c>
    </row>
    <row r="35" spans="1:17" x14ac:dyDescent="0.2">
      <c r="A35" s="1" t="s">
        <v>3</v>
      </c>
      <c r="F35" s="1" t="s">
        <v>899</v>
      </c>
    </row>
    <row r="36" spans="1:17" x14ac:dyDescent="0.2">
      <c r="A36" s="1" t="s">
        <v>5</v>
      </c>
    </row>
    <row r="39" spans="1:17" x14ac:dyDescent="0.2">
      <c r="C39" s="1" t="s">
        <v>7</v>
      </c>
      <c r="D39" s="1" t="s">
        <v>8</v>
      </c>
      <c r="E39" s="1" t="s">
        <v>9</v>
      </c>
      <c r="G39" s="1" t="s">
        <v>10</v>
      </c>
      <c r="H39" s="1" t="s">
        <v>11</v>
      </c>
      <c r="I39" s="1" t="s">
        <v>12</v>
      </c>
      <c r="J39" s="1" t="s">
        <v>13</v>
      </c>
      <c r="K39" s="1" t="s">
        <v>14</v>
      </c>
      <c r="L39" s="1" t="s">
        <v>15</v>
      </c>
      <c r="M39" s="1" t="s">
        <v>16</v>
      </c>
      <c r="N39" s="1" t="s">
        <v>17</v>
      </c>
      <c r="O39" s="1" t="s">
        <v>18</v>
      </c>
      <c r="P39" s="1" t="s">
        <v>19</v>
      </c>
      <c r="Q39" s="1" t="s">
        <v>20</v>
      </c>
    </row>
    <row r="41" spans="1:17" x14ac:dyDescent="0.2">
      <c r="D41" s="1" t="s">
        <v>444</v>
      </c>
      <c r="E41" s="1">
        <v>1400034150</v>
      </c>
      <c r="G41" s="1" t="s">
        <v>46</v>
      </c>
      <c r="I41" s="1" t="s">
        <v>46</v>
      </c>
      <c r="K41" s="2">
        <v>-606084.23</v>
      </c>
      <c r="L41" s="1" t="s">
        <v>23</v>
      </c>
      <c r="N41" s="2">
        <v>-149373.81</v>
      </c>
      <c r="O41" s="1" t="s">
        <v>24</v>
      </c>
      <c r="P41" s="1" t="s">
        <v>900</v>
      </c>
      <c r="Q41" s="1">
        <v>4.0575000000000001</v>
      </c>
    </row>
    <row r="43" spans="1:17" x14ac:dyDescent="0.2">
      <c r="B43" s="1" t="s">
        <v>32</v>
      </c>
      <c r="K43" s="2">
        <v>-606084.23</v>
      </c>
      <c r="L43" s="1" t="s">
        <v>23</v>
      </c>
      <c r="N43" s="2">
        <v>-149373.81</v>
      </c>
      <c r="O43" s="1" t="s">
        <v>24</v>
      </c>
    </row>
    <row r="45" spans="1:17" s="5" customFormat="1" x14ac:dyDescent="0.2">
      <c r="A45" s="3"/>
      <c r="B45" s="3" t="s">
        <v>33</v>
      </c>
      <c r="C45" s="3" t="s">
        <v>901</v>
      </c>
      <c r="D45" s="3"/>
      <c r="E45" s="3"/>
      <c r="F45" s="3"/>
      <c r="G45" s="3"/>
      <c r="H45" s="3"/>
      <c r="I45" s="3"/>
      <c r="J45" s="3"/>
      <c r="K45" s="4">
        <v>-606084.23</v>
      </c>
      <c r="L45" s="3" t="s">
        <v>23</v>
      </c>
      <c r="M45" s="3"/>
      <c r="N45" s="4">
        <v>-149373.81</v>
      </c>
      <c r="O45" s="3" t="s">
        <v>24</v>
      </c>
      <c r="P45" s="3"/>
      <c r="Q45" s="3"/>
    </row>
    <row r="47" spans="1:17" x14ac:dyDescent="0.2">
      <c r="A47" s="1" t="s">
        <v>0</v>
      </c>
      <c r="F47" s="1">
        <v>501308</v>
      </c>
    </row>
    <row r="48" spans="1:17" x14ac:dyDescent="0.2">
      <c r="A48" s="1" t="s">
        <v>1</v>
      </c>
      <c r="F48" s="1" t="s">
        <v>892</v>
      </c>
    </row>
    <row r="50" spans="1:17" x14ac:dyDescent="0.2">
      <c r="A50" s="1" t="s">
        <v>3</v>
      </c>
      <c r="F50" s="1" t="s">
        <v>902</v>
      </c>
    </row>
    <row r="51" spans="1:17" x14ac:dyDescent="0.2">
      <c r="A51" s="1" t="s">
        <v>5</v>
      </c>
      <c r="F51" s="1" t="s">
        <v>903</v>
      </c>
    </row>
    <row r="54" spans="1:17" x14ac:dyDescent="0.2">
      <c r="C54" s="1" t="s">
        <v>7</v>
      </c>
      <c r="D54" s="1" t="s">
        <v>8</v>
      </c>
      <c r="E54" s="1" t="s">
        <v>9</v>
      </c>
      <c r="G54" s="1" t="s">
        <v>10</v>
      </c>
      <c r="H54" s="1" t="s">
        <v>11</v>
      </c>
      <c r="I54" s="1" t="s">
        <v>12</v>
      </c>
      <c r="J54" s="1" t="s">
        <v>13</v>
      </c>
      <c r="K54" s="1" t="s">
        <v>14</v>
      </c>
      <c r="L54" s="1" t="s">
        <v>15</v>
      </c>
      <c r="M54" s="1" t="s">
        <v>16</v>
      </c>
      <c r="N54" s="1" t="s">
        <v>17</v>
      </c>
      <c r="O54" s="1" t="s">
        <v>18</v>
      </c>
      <c r="P54" s="1" t="s">
        <v>19</v>
      </c>
      <c r="Q54" s="1" t="s">
        <v>20</v>
      </c>
    </row>
    <row r="56" spans="1:17" x14ac:dyDescent="0.2">
      <c r="D56" s="1" t="s">
        <v>444</v>
      </c>
      <c r="E56" s="1">
        <v>1400034158</v>
      </c>
      <c r="G56" s="1" t="s">
        <v>67</v>
      </c>
      <c r="I56" s="1" t="s">
        <v>67</v>
      </c>
      <c r="K56" s="2">
        <v>-185751.92</v>
      </c>
      <c r="L56" s="1" t="s">
        <v>23</v>
      </c>
      <c r="N56" s="2">
        <v>-46000.97</v>
      </c>
      <c r="O56" s="1" t="s">
        <v>24</v>
      </c>
      <c r="P56" s="1" t="s">
        <v>904</v>
      </c>
      <c r="Q56" s="1">
        <v>4.0380000000000003</v>
      </c>
    </row>
    <row r="57" spans="1:17" x14ac:dyDescent="0.2">
      <c r="D57" s="1" t="s">
        <v>444</v>
      </c>
      <c r="E57" s="1">
        <v>1400034159</v>
      </c>
      <c r="G57" s="1" t="s">
        <v>48</v>
      </c>
      <c r="I57" s="1" t="s">
        <v>48</v>
      </c>
      <c r="K57" s="1">
        <v>-215.63</v>
      </c>
      <c r="L57" s="1" t="s">
        <v>23</v>
      </c>
      <c r="N57" s="1">
        <v>-53.34</v>
      </c>
      <c r="O57" s="1" t="s">
        <v>24</v>
      </c>
      <c r="P57" s="1" t="s">
        <v>904</v>
      </c>
      <c r="Q57" s="1">
        <v>4.0425599999999999</v>
      </c>
    </row>
    <row r="59" spans="1:17" x14ac:dyDescent="0.2">
      <c r="B59" s="1" t="s">
        <v>32</v>
      </c>
      <c r="K59" s="2">
        <v>-185967.55</v>
      </c>
      <c r="L59" s="1" t="s">
        <v>23</v>
      </c>
      <c r="N59" s="2">
        <v>-46054.31</v>
      </c>
      <c r="O59" s="1" t="s">
        <v>24</v>
      </c>
    </row>
    <row r="61" spans="1:17" s="5" customFormat="1" x14ac:dyDescent="0.2">
      <c r="A61" s="3"/>
      <c r="B61" s="3" t="s">
        <v>33</v>
      </c>
      <c r="C61" s="3" t="s">
        <v>905</v>
      </c>
      <c r="D61" s="3"/>
      <c r="E61" s="3"/>
      <c r="F61" s="3"/>
      <c r="G61" s="3"/>
      <c r="H61" s="3"/>
      <c r="I61" s="3"/>
      <c r="J61" s="3"/>
      <c r="K61" s="4">
        <v>-185967.55</v>
      </c>
      <c r="L61" s="3" t="s">
        <v>23</v>
      </c>
      <c r="M61" s="3"/>
      <c r="N61" s="4">
        <v>-46054.31</v>
      </c>
      <c r="O61" s="3" t="s">
        <v>24</v>
      </c>
      <c r="P61" s="3"/>
      <c r="Q61" s="3"/>
    </row>
    <row r="63" spans="1:17" x14ac:dyDescent="0.2">
      <c r="A63" s="1" t="s">
        <v>0</v>
      </c>
      <c r="F63" s="1" t="s">
        <v>32</v>
      </c>
    </row>
    <row r="64" spans="1:17" x14ac:dyDescent="0.2">
      <c r="A64" s="1" t="s">
        <v>1</v>
      </c>
      <c r="F64" s="1" t="s">
        <v>32</v>
      </c>
    </row>
    <row r="66" spans="1:17" x14ac:dyDescent="0.2">
      <c r="A66" s="1" t="s">
        <v>3</v>
      </c>
      <c r="F66" s="1" t="s">
        <v>32</v>
      </c>
    </row>
    <row r="67" spans="1:17" x14ac:dyDescent="0.2">
      <c r="A67" s="1" t="s">
        <v>5</v>
      </c>
      <c r="F67" s="1" t="s">
        <v>32</v>
      </c>
    </row>
    <row r="70" spans="1:17" x14ac:dyDescent="0.2">
      <c r="C70" s="1" t="s">
        <v>7</v>
      </c>
      <c r="D70" s="1" t="s">
        <v>8</v>
      </c>
      <c r="E70" s="1" t="s">
        <v>9</v>
      </c>
      <c r="G70" s="1" t="s">
        <v>10</v>
      </c>
      <c r="H70" s="1" t="s">
        <v>11</v>
      </c>
      <c r="I70" s="1" t="s">
        <v>12</v>
      </c>
      <c r="J70" s="1" t="s">
        <v>13</v>
      </c>
      <c r="K70" s="1" t="s">
        <v>14</v>
      </c>
      <c r="L70" s="1" t="s">
        <v>15</v>
      </c>
      <c r="M70" s="1" t="s">
        <v>16</v>
      </c>
      <c r="N70" s="1" t="s">
        <v>17</v>
      </c>
      <c r="O70" s="1" t="s">
        <v>18</v>
      </c>
      <c r="P70" s="1" t="s">
        <v>19</v>
      </c>
      <c r="Q70" s="1" t="s">
        <v>20</v>
      </c>
    </row>
    <row r="72" spans="1:17" x14ac:dyDescent="0.2">
      <c r="B72" s="1" t="s">
        <v>443</v>
      </c>
      <c r="K72" s="2">
        <v>-8561761.0099999998</v>
      </c>
      <c r="L72" s="1" t="s">
        <v>23</v>
      </c>
      <c r="N72" s="2">
        <v>-2094801.93</v>
      </c>
      <c r="O72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2B76-BC65-4A06-BE72-8131E17FFD9A}">
  <dimension ref="B2:C88"/>
  <sheetViews>
    <sheetView workbookViewId="0">
      <selection activeCell="C10" sqref="C10"/>
    </sheetView>
  </sheetViews>
  <sheetFormatPr defaultRowHeight="14.4" x14ac:dyDescent="0.3"/>
  <cols>
    <col min="2" max="2" width="40.77734375" bestFit="1" customWidth="1"/>
    <col min="3" max="3" width="15.109375" style="6" bestFit="1" customWidth="1"/>
  </cols>
  <sheetData>
    <row r="2" spans="2:3" x14ac:dyDescent="0.3">
      <c r="B2" t="s">
        <v>926</v>
      </c>
    </row>
    <row r="3" spans="2:3" x14ac:dyDescent="0.3">
      <c r="B3" t="s">
        <v>907</v>
      </c>
      <c r="C3" s="6">
        <f>'Disbursement Islamic'!K1146</f>
        <v>356275674.73000002</v>
      </c>
    </row>
    <row r="4" spans="2:3" x14ac:dyDescent="0.3">
      <c r="B4" t="s">
        <v>908</v>
      </c>
      <c r="C4" s="6">
        <f>'Repayment Islamic'!K1826</f>
        <v>-381582951.25999999</v>
      </c>
    </row>
    <row r="5" spans="2:3" x14ac:dyDescent="0.3">
      <c r="B5" t="s">
        <v>909</v>
      </c>
      <c r="C5" s="6">
        <v>0</v>
      </c>
    </row>
    <row r="6" spans="2:3" x14ac:dyDescent="0.3">
      <c r="B6" t="s">
        <v>910</v>
      </c>
      <c r="C6" s="6">
        <f>'Repayment Conventional'!K72</f>
        <v>-8561761.0099999998</v>
      </c>
    </row>
    <row r="8" spans="2:3" x14ac:dyDescent="0.3">
      <c r="B8" t="s">
        <v>929</v>
      </c>
      <c r="C8" s="6">
        <f>C3</f>
        <v>356275674.73000002</v>
      </c>
    </row>
    <row r="9" spans="2:3" x14ac:dyDescent="0.3">
      <c r="B9" t="s">
        <v>930</v>
      </c>
      <c r="C9" s="6">
        <f>C4+C6</f>
        <v>-390144712.26999998</v>
      </c>
    </row>
    <row r="10" spans="2:3" x14ac:dyDescent="0.3">
      <c r="C10" s="6">
        <f>SUM(C8:C9)</f>
        <v>-33869037.539999962</v>
      </c>
    </row>
    <row r="13" spans="2:3" x14ac:dyDescent="0.3">
      <c r="B13" t="s">
        <v>906</v>
      </c>
    </row>
    <row r="14" spans="2:3" x14ac:dyDescent="0.3">
      <c r="B14" t="s">
        <v>907</v>
      </c>
      <c r="C14" s="6">
        <v>448562301.19999999</v>
      </c>
    </row>
    <row r="15" spans="2:3" x14ac:dyDescent="0.3">
      <c r="B15" t="s">
        <v>908</v>
      </c>
      <c r="C15" s="6">
        <v>-303047053.33999997</v>
      </c>
    </row>
    <row r="16" spans="2:3" x14ac:dyDescent="0.3">
      <c r="B16" t="s">
        <v>909</v>
      </c>
      <c r="C16" s="6">
        <v>0</v>
      </c>
    </row>
    <row r="17" spans="2:3" x14ac:dyDescent="0.3">
      <c r="B17" t="s">
        <v>910</v>
      </c>
      <c r="C17" s="6">
        <v>-3944872.62</v>
      </c>
    </row>
    <row r="19" spans="2:3" x14ac:dyDescent="0.3">
      <c r="B19" t="s">
        <v>927</v>
      </c>
      <c r="C19" s="6">
        <v>448562301.19999999</v>
      </c>
    </row>
    <row r="20" spans="2:3" x14ac:dyDescent="0.3">
      <c r="B20" t="s">
        <v>928</v>
      </c>
      <c r="C20" s="6">
        <v>-306991925.95999998</v>
      </c>
    </row>
    <row r="21" spans="2:3" x14ac:dyDescent="0.3">
      <c r="C21" s="6">
        <v>141570375.24000001</v>
      </c>
    </row>
    <row r="23" spans="2:3" x14ac:dyDescent="0.3">
      <c r="B23" t="s">
        <v>913</v>
      </c>
    </row>
    <row r="24" spans="2:3" x14ac:dyDescent="0.3">
      <c r="B24" t="s">
        <v>907</v>
      </c>
      <c r="C24" s="6">
        <v>379158041.22000003</v>
      </c>
    </row>
    <row r="25" spans="2:3" x14ac:dyDescent="0.3">
      <c r="B25" t="s">
        <v>908</v>
      </c>
      <c r="C25" s="6">
        <v>-222078781.16</v>
      </c>
    </row>
    <row r="26" spans="2:3" x14ac:dyDescent="0.3">
      <c r="B26" t="s">
        <v>909</v>
      </c>
      <c r="C26" s="6">
        <v>0</v>
      </c>
    </row>
    <row r="27" spans="2:3" x14ac:dyDescent="0.3">
      <c r="B27" t="s">
        <v>910</v>
      </c>
      <c r="C27" s="6">
        <v>-9144210.5999999996</v>
      </c>
    </row>
    <row r="29" spans="2:3" x14ac:dyDescent="0.3">
      <c r="B29" t="s">
        <v>911</v>
      </c>
      <c r="C29" s="6">
        <v>379158041.22000003</v>
      </c>
    </row>
    <row r="30" spans="2:3" x14ac:dyDescent="0.3">
      <c r="B30" t="s">
        <v>912</v>
      </c>
      <c r="C30" s="6">
        <v>-231222991.75999999</v>
      </c>
    </row>
    <row r="33" spans="2:3" x14ac:dyDescent="0.3">
      <c r="B33" t="s">
        <v>914</v>
      </c>
    </row>
    <row r="34" spans="2:3" x14ac:dyDescent="0.3">
      <c r="B34" t="s">
        <v>915</v>
      </c>
      <c r="C34" s="6">
        <v>347282799.13</v>
      </c>
    </row>
    <row r="35" spans="2:3" x14ac:dyDescent="0.3">
      <c r="B35" t="s">
        <v>916</v>
      </c>
      <c r="C35" s="6">
        <v>-214203546.00999999</v>
      </c>
    </row>
    <row r="37" spans="2:3" x14ac:dyDescent="0.3">
      <c r="B37" t="s">
        <v>917</v>
      </c>
      <c r="C37" s="6">
        <v>0</v>
      </c>
    </row>
    <row r="38" spans="2:3" x14ac:dyDescent="0.3">
      <c r="B38" t="s">
        <v>918</v>
      </c>
      <c r="C38" s="6">
        <v>-7966024.3399999999</v>
      </c>
    </row>
    <row r="40" spans="2:3" x14ac:dyDescent="0.3">
      <c r="B40" t="s">
        <v>919</v>
      </c>
      <c r="C40" s="6">
        <v>347282799.13</v>
      </c>
    </row>
    <row r="41" spans="2:3" x14ac:dyDescent="0.3">
      <c r="B41" t="s">
        <v>920</v>
      </c>
      <c r="C41" s="6">
        <v>-222169570.34999999</v>
      </c>
    </row>
    <row r="42" spans="2:3" x14ac:dyDescent="0.3">
      <c r="C42" s="6">
        <v>125113228.78</v>
      </c>
    </row>
    <row r="44" spans="2:3" x14ac:dyDescent="0.3">
      <c r="B44" t="s">
        <v>921</v>
      </c>
    </row>
    <row r="45" spans="2:3" x14ac:dyDescent="0.3">
      <c r="B45" t="s">
        <v>915</v>
      </c>
      <c r="C45" s="6">
        <v>338791211.30000001</v>
      </c>
    </row>
    <row r="46" spans="2:3" x14ac:dyDescent="0.3">
      <c r="B46" t="s">
        <v>916</v>
      </c>
      <c r="C46" s="6">
        <v>-271518475.69</v>
      </c>
    </row>
    <row r="48" spans="2:3" x14ac:dyDescent="0.3">
      <c r="B48" t="s">
        <v>917</v>
      </c>
      <c r="C48" s="6" t="s">
        <v>922</v>
      </c>
    </row>
    <row r="49" spans="2:3" x14ac:dyDescent="0.3">
      <c r="B49" t="s">
        <v>918</v>
      </c>
      <c r="C49" s="6">
        <v>-1675659.22</v>
      </c>
    </row>
    <row r="51" spans="2:3" x14ac:dyDescent="0.3">
      <c r="B51" t="s">
        <v>919</v>
      </c>
      <c r="C51" s="6">
        <v>338791211.30000001</v>
      </c>
    </row>
    <row r="52" spans="2:3" x14ac:dyDescent="0.3">
      <c r="B52" t="s">
        <v>920</v>
      </c>
      <c r="C52" s="6">
        <v>-273194134.91000003</v>
      </c>
    </row>
    <row r="53" spans="2:3" x14ac:dyDescent="0.3">
      <c r="C53" s="6">
        <v>65597076.389999986</v>
      </c>
    </row>
    <row r="55" spans="2:3" x14ac:dyDescent="0.3">
      <c r="B55" t="s">
        <v>923</v>
      </c>
    </row>
    <row r="56" spans="2:3" x14ac:dyDescent="0.3">
      <c r="B56" t="s">
        <v>915</v>
      </c>
      <c r="C56" s="6">
        <v>124160</v>
      </c>
    </row>
    <row r="57" spans="2:3" x14ac:dyDescent="0.3">
      <c r="B57" t="s">
        <v>916</v>
      </c>
      <c r="C57" s="6">
        <v>-1710000</v>
      </c>
    </row>
    <row r="59" spans="2:3" x14ac:dyDescent="0.3">
      <c r="B59" t="s">
        <v>917</v>
      </c>
      <c r="C59" s="6">
        <v>0</v>
      </c>
    </row>
    <row r="60" spans="2:3" x14ac:dyDescent="0.3">
      <c r="B60" t="s">
        <v>918</v>
      </c>
      <c r="C60" s="6">
        <v>-772208.83</v>
      </c>
    </row>
    <row r="62" spans="2:3" x14ac:dyDescent="0.3">
      <c r="B62" t="s">
        <v>919</v>
      </c>
      <c r="C62" s="6">
        <v>124160</v>
      </c>
    </row>
    <row r="63" spans="2:3" x14ac:dyDescent="0.3">
      <c r="B63" t="s">
        <v>920</v>
      </c>
      <c r="C63" s="6">
        <v>-2482208.83</v>
      </c>
    </row>
    <row r="64" spans="2:3" x14ac:dyDescent="0.3">
      <c r="C64" s="6">
        <v>-2358048.83</v>
      </c>
    </row>
    <row r="67" spans="2:3" x14ac:dyDescent="0.3">
      <c r="B67" t="s">
        <v>924</v>
      </c>
    </row>
    <row r="68" spans="2:3" x14ac:dyDescent="0.3">
      <c r="B68" t="s">
        <v>915</v>
      </c>
      <c r="C68" s="6">
        <v>337661755.31999999</v>
      </c>
    </row>
    <row r="69" spans="2:3" x14ac:dyDescent="0.3">
      <c r="B69" t="s">
        <v>916</v>
      </c>
      <c r="C69" s="6">
        <v>-259216070.25999999</v>
      </c>
    </row>
    <row r="71" spans="2:3" x14ac:dyDescent="0.3">
      <c r="B71" t="s">
        <v>917</v>
      </c>
      <c r="C71" s="6">
        <v>0</v>
      </c>
    </row>
    <row r="72" spans="2:3" x14ac:dyDescent="0.3">
      <c r="B72" t="s">
        <v>918</v>
      </c>
      <c r="C72" s="6">
        <v>-7680184.9500000002</v>
      </c>
    </row>
    <row r="74" spans="2:3" x14ac:dyDescent="0.3">
      <c r="B74" t="s">
        <v>919</v>
      </c>
      <c r="C74" s="6">
        <v>337661755.31999999</v>
      </c>
    </row>
    <row r="75" spans="2:3" x14ac:dyDescent="0.3">
      <c r="B75" t="s">
        <v>920</v>
      </c>
      <c r="C75" s="6">
        <v>-266896255.20999998</v>
      </c>
    </row>
    <row r="76" spans="2:3" x14ac:dyDescent="0.3">
      <c r="C76" s="6">
        <v>70765500.110000014</v>
      </c>
    </row>
    <row r="79" spans="2:3" x14ac:dyDescent="0.3">
      <c r="B79" t="s">
        <v>925</v>
      </c>
    </row>
    <row r="80" spans="2:3" x14ac:dyDescent="0.3">
      <c r="B80" t="s">
        <v>915</v>
      </c>
      <c r="C80" s="6">
        <v>379761651.87</v>
      </c>
    </row>
    <row r="81" spans="2:3" x14ac:dyDescent="0.3">
      <c r="B81" t="s">
        <v>916</v>
      </c>
      <c r="C81" s="6">
        <v>-382175270.63999999</v>
      </c>
    </row>
    <row r="83" spans="2:3" x14ac:dyDescent="0.3">
      <c r="B83" t="s">
        <v>917</v>
      </c>
      <c r="C83" s="6">
        <v>0</v>
      </c>
    </row>
    <row r="84" spans="2:3" x14ac:dyDescent="0.3">
      <c r="B84" t="s">
        <v>918</v>
      </c>
      <c r="C84" s="6">
        <v>-20237800.780000001</v>
      </c>
    </row>
    <row r="86" spans="2:3" x14ac:dyDescent="0.3">
      <c r="B86" t="s">
        <v>919</v>
      </c>
      <c r="C86" s="6">
        <v>379761651.87</v>
      </c>
    </row>
    <row r="87" spans="2:3" x14ac:dyDescent="0.3">
      <c r="B87" t="s">
        <v>920</v>
      </c>
      <c r="C87" s="6">
        <v>-402413071.41999996</v>
      </c>
    </row>
    <row r="88" spans="2:3" x14ac:dyDescent="0.3">
      <c r="C88" s="6">
        <v>-22651419.549999952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Disbursement Islamic</vt:lpstr>
      <vt:lpstr>Repayment Islamic</vt:lpstr>
      <vt:lpstr>Disbursement Conventional</vt:lpstr>
      <vt:lpstr>Repayment Conventional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Eidil Eidham Razali</dc:creator>
  <cp:lastModifiedBy>Mohd Eidil Eidham Razali</cp:lastModifiedBy>
  <dcterms:created xsi:type="dcterms:W3CDTF">2026-09-03T01:56:03Z</dcterms:created>
  <dcterms:modified xsi:type="dcterms:W3CDTF">2026-09-03T02:04:57Z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2026-09-03T01:56:03Z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80ddf325-1dd5-4d68-b618-fd764d02afbb</vt:lpwstr>
  </property>
  <property fmtid="{D5CDD505-2E9C-101B-9397-08002B2CF9AE}" pid="8" name="MSIP_Label_de3e0bd1-8a42-4fca-bd15-c152a08a9459_ContentBits">
    <vt:lpwstr>0</vt:lpwstr>
  </property>
</Properties>
</file>