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mexim.sharepoint.com/sites/Division-SpecialProject/Shared Documents/Dept - Asset Rehabilitation and Recovery/000 Data to CCRIS/01(12). DATA 2026/"/>
    </mc:Choice>
  </mc:AlternateContent>
  <xr:revisionPtr revIDLastSave="1297" documentId="13_ncr:1_{E7533ECE-2814-4D56-AAFE-CF9A98F64131}" xr6:coauthVersionLast="47" xr6:coauthVersionMax="47" xr10:uidLastSave="{E7DA8FD9-BAB6-4DE5-AE55-40352C0B5DEC}"/>
  <bookViews>
    <workbookView xWindow="-108" yWindow="-108" windowWidth="23256" windowHeight="12456" tabRatio="1000" activeTab="1" xr2:uid="{00000000-000D-0000-FFFF-FFFF00000000}"/>
  </bookViews>
  <sheets>
    <sheet name="ARRD" sheetId="8" r:id="rId1"/>
    <sheet name="autoupload_MIS" sheetId="5" r:id="rId2"/>
    <sheet name="Sheet1" sheetId="9" r:id="rId3"/>
  </sheets>
  <externalReferences>
    <externalReference r:id="rId4"/>
  </externalReferences>
  <definedNames>
    <definedName name="_xlnm._FilterDatabase" localSheetId="0" hidden="1">ARRD!$A$8:$AU$99</definedName>
    <definedName name="_xlnm._FilterDatabase" localSheetId="1" hidden="1">autoupload_MIS!#REF!</definedName>
    <definedName name="Exportadora" localSheetId="0">ARRD!#REF!</definedName>
    <definedName name="Exportadora" localSheetId="1">autoupload_MIS!#REF!</definedName>
    <definedName name="Exportadora">#REF!</definedName>
    <definedName name="Exportadora3" localSheetId="0">ARRD!#REF!</definedName>
    <definedName name="Exportadora3" localSheetId="1">autoupload_MIS!#REF!</definedName>
    <definedName name="Exportadora3">#REF!</definedName>
    <definedName name="ExportadoraIII" localSheetId="0">ARRD!#REF!</definedName>
    <definedName name="ExportadoraIII" localSheetId="1">autoupload_MIS!#REF!</definedName>
    <definedName name="ExportadoraIII">#REF!</definedName>
    <definedName name="_xlnm.Print_Area" localSheetId="0">ARRD!$A$1:$AG$99</definedName>
    <definedName name="_xlnm.Print_Area" localSheetId="1">autoupload_MIS!$B$1:$J$62</definedName>
    <definedName name="_xlnm.Print_Area" localSheetId="2">Sheet1!$E$1:$R$51</definedName>
    <definedName name="_xlnm.Print_Titles" localSheetId="0">ARRD!$7:$8</definedName>
    <definedName name="_xlnm.Print_Titles" localSheetId="1">autoupload_MIS!$3:$4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4" i="5" l="1"/>
  <c r="H94" i="5"/>
  <c r="G94" i="5"/>
  <c r="F94" i="5"/>
  <c r="I93" i="5"/>
  <c r="H93" i="5"/>
  <c r="G93" i="5"/>
  <c r="F93" i="5"/>
  <c r="I92" i="5"/>
  <c r="H92" i="5"/>
  <c r="G92" i="5"/>
  <c r="F92" i="5"/>
  <c r="I91" i="5"/>
  <c r="H91" i="5"/>
  <c r="G91" i="5"/>
  <c r="F91" i="5"/>
  <c r="I90" i="5"/>
  <c r="H90" i="5"/>
  <c r="G90" i="5"/>
  <c r="F90" i="5"/>
  <c r="I89" i="5"/>
  <c r="H89" i="5"/>
  <c r="G89" i="5"/>
  <c r="F89" i="5"/>
  <c r="I88" i="5"/>
  <c r="H88" i="5"/>
  <c r="G88" i="5"/>
  <c r="F88" i="5"/>
  <c r="I87" i="5"/>
  <c r="H87" i="5"/>
  <c r="G87" i="5"/>
  <c r="F87" i="5"/>
  <c r="I86" i="5"/>
  <c r="H86" i="5"/>
  <c r="G86" i="5"/>
  <c r="F86" i="5"/>
  <c r="I85" i="5"/>
  <c r="H85" i="5"/>
  <c r="G85" i="5"/>
  <c r="F85" i="5"/>
  <c r="I84" i="5"/>
  <c r="H84" i="5"/>
  <c r="G84" i="5"/>
  <c r="F84" i="5"/>
  <c r="I83" i="5"/>
  <c r="H83" i="5"/>
  <c r="G83" i="5"/>
  <c r="F83" i="5"/>
  <c r="I82" i="5"/>
  <c r="H82" i="5"/>
  <c r="G82" i="5"/>
  <c r="F82" i="5"/>
  <c r="I81" i="5"/>
  <c r="H81" i="5"/>
  <c r="G81" i="5"/>
  <c r="F81" i="5"/>
  <c r="I80" i="5"/>
  <c r="H80" i="5"/>
  <c r="G80" i="5"/>
  <c r="F80" i="5"/>
  <c r="I79" i="5"/>
  <c r="H79" i="5"/>
  <c r="G79" i="5"/>
  <c r="F79" i="5"/>
  <c r="I78" i="5"/>
  <c r="H78" i="5"/>
  <c r="G78" i="5"/>
  <c r="F78" i="5"/>
  <c r="I77" i="5"/>
  <c r="H77" i="5"/>
  <c r="G77" i="5"/>
  <c r="F77" i="5"/>
  <c r="I76" i="5"/>
  <c r="H76" i="5"/>
  <c r="G76" i="5"/>
  <c r="F76" i="5"/>
  <c r="I75" i="5"/>
  <c r="H75" i="5"/>
  <c r="G75" i="5"/>
  <c r="F75" i="5"/>
  <c r="I74" i="5"/>
  <c r="H74" i="5"/>
  <c r="G74" i="5"/>
  <c r="F74" i="5"/>
  <c r="I73" i="5"/>
  <c r="H73" i="5"/>
  <c r="G73" i="5"/>
  <c r="F73" i="5"/>
  <c r="I72" i="5"/>
  <c r="H72" i="5"/>
  <c r="G72" i="5"/>
  <c r="F72" i="5"/>
  <c r="I71" i="5"/>
  <c r="H71" i="5"/>
  <c r="G71" i="5"/>
  <c r="F71" i="5"/>
  <c r="I70" i="5"/>
  <c r="H70" i="5"/>
  <c r="G70" i="5"/>
  <c r="F70" i="5"/>
  <c r="I69" i="5"/>
  <c r="H69" i="5"/>
  <c r="G69" i="5"/>
  <c r="F69" i="5"/>
  <c r="I68" i="5"/>
  <c r="H68" i="5"/>
  <c r="G68" i="5"/>
  <c r="F68" i="5"/>
  <c r="I67" i="5"/>
  <c r="H67" i="5"/>
  <c r="G67" i="5"/>
  <c r="F67" i="5"/>
  <c r="I66" i="5"/>
  <c r="H66" i="5"/>
  <c r="G66" i="5"/>
  <c r="F66" i="5"/>
  <c r="I65" i="5"/>
  <c r="H65" i="5"/>
  <c r="G65" i="5"/>
  <c r="F65" i="5"/>
  <c r="I64" i="5"/>
  <c r="H64" i="5"/>
  <c r="G64" i="5"/>
  <c r="F64" i="5"/>
  <c r="I63" i="5"/>
  <c r="H63" i="5"/>
  <c r="G63" i="5"/>
  <c r="F63" i="5"/>
  <c r="K53" i="8"/>
  <c r="K51" i="8"/>
  <c r="K49" i="8"/>
  <c r="K14" i="8"/>
  <c r="K13" i="8"/>
  <c r="K12" i="8"/>
  <c r="F21" i="5" l="1"/>
  <c r="G21" i="5"/>
  <c r="F18" i="5"/>
  <c r="G18" i="5"/>
  <c r="F11" i="5"/>
  <c r="G11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Zorba Mohd Yusof</author>
  </authors>
  <commentList>
    <comment ref="K8" authorId="0" shapeId="0" xr:uid="{876A6EA1-A55C-4903-A794-35F012B8D44D}">
      <text>
        <r>
          <rPr>
            <b/>
            <sz val="9"/>
            <color indexed="81"/>
            <rFont val="Tahoma"/>
            <family val="2"/>
          </rPr>
          <t>Zorba Mohd Yusof:</t>
        </r>
        <r>
          <rPr>
            <sz val="9"/>
            <color indexed="81"/>
            <rFont val="Tahoma"/>
            <family val="2"/>
          </rPr>
          <t xml:space="preserve">
Total Outstanding = Principal Outstanding + Interest Outstanding
+ Other Charges</t>
        </r>
      </text>
    </comment>
  </commentList>
</comments>
</file>

<file path=xl/sharedStrings.xml><?xml version="1.0" encoding="utf-8"?>
<sst xmlns="http://schemas.openxmlformats.org/spreadsheetml/2006/main" count="744" uniqueCount="315">
  <si>
    <t>Report Name:</t>
  </si>
  <si>
    <t>CCRIS Month End Balances and Provisions</t>
  </si>
  <si>
    <t>Unit/Department:</t>
  </si>
  <si>
    <t>Asset Rehab &amp; Recovery</t>
  </si>
  <si>
    <t>Name of Reporting Institution:</t>
  </si>
  <si>
    <t>Export-Import Bank of Malaysia Bhd</t>
  </si>
  <si>
    <t>Reporting Year:</t>
  </si>
  <si>
    <t>Reporting Month:</t>
  </si>
  <si>
    <t>FI Code:</t>
  </si>
  <si>
    <t>No</t>
  </si>
  <si>
    <t>Customer Name</t>
  </si>
  <si>
    <t>Customer Number</t>
  </si>
  <si>
    <t>Application System Code</t>
  </si>
  <si>
    <t>Master Account Number</t>
  </si>
  <si>
    <t>Sub Account Number</t>
  </si>
  <si>
    <t>Position Date</t>
  </si>
  <si>
    <t>Months in arrears</t>
  </si>
  <si>
    <t>Number of instalment in arrears</t>
  </si>
  <si>
    <t>3 PLUS 1 ADD2                    - 002</t>
  </si>
  <si>
    <t>CBD</t>
  </si>
  <si>
    <t>3 PLUS 1 ADD2</t>
  </si>
  <si>
    <t>AERIAL POWER LINES SDN BHD</t>
  </si>
  <si>
    <t>AERIALPOWER1</t>
  </si>
  <si>
    <t>AERIALPOWER01</t>
  </si>
  <si>
    <t>AL MANARA WATER COMPANY LTD</t>
  </si>
  <si>
    <t>ALMANARA</t>
  </si>
  <si>
    <t>ALAMI VEGETABLE OIL PRODUCTS SDN BHD</t>
  </si>
  <si>
    <t>EFD</t>
  </si>
  <si>
    <t>ALAMI</t>
  </si>
  <si>
    <t>AWAN BARA SDN BHD</t>
  </si>
  <si>
    <t>AWAN BARA 1</t>
  </si>
  <si>
    <t>BINAPURI HOLDING BERHAD (BG)</t>
  </si>
  <si>
    <t>BINAPURI REVOLVING BOND</t>
  </si>
  <si>
    <t>EXIM/BPURI/BG/06/02</t>
  </si>
  <si>
    <t>EXIM/BPURI/ADVBG/07/24</t>
  </si>
  <si>
    <t>EXIM/BPURI/ADVBG/07/25</t>
  </si>
  <si>
    <t>BRAHIM OVERSEAS VENTURE (TL)</t>
  </si>
  <si>
    <t>BRAHIMS TL</t>
  </si>
  <si>
    <t>DAYA MARITIME LIMITED (TF-i) - 003</t>
  </si>
  <si>
    <t>DAYA MARITIME TF-I</t>
  </si>
  <si>
    <t>EAGLEXPRESS AIR CHARTER SDN BHD</t>
  </si>
  <si>
    <t>EAGLEXPRESS 2</t>
  </si>
  <si>
    <t>FACILIPACK IND. (NON TRADE)</t>
  </si>
  <si>
    <t>FACILIPACK TF-1</t>
  </si>
  <si>
    <t>FACILIPACK TF-I</t>
  </si>
  <si>
    <t>FACILIPACK IND. (TRADE)</t>
  </si>
  <si>
    <t>FACILIPACK01 LC-I/TR-I/BG-I</t>
  </si>
  <si>
    <t>FACILIPACK TR-I</t>
  </si>
  <si>
    <t>FRESH BOWL FOODS LIMITED</t>
  </si>
  <si>
    <t>FRESH BOWL</t>
  </si>
  <si>
    <t>GOLD RAIN RESOURCES SDN BHD</t>
  </si>
  <si>
    <t>GOLD RAIN</t>
  </si>
  <si>
    <t>HARTAMANIS (S) PTE LTD</t>
  </si>
  <si>
    <t>HARTAMANIS-TL</t>
  </si>
  <si>
    <t>HCD-PRBSB CO. LTD</t>
  </si>
  <si>
    <t>HCD-PRBSB OPF-I</t>
  </si>
  <si>
    <t>HONDAAFUSHI INVESTMENT PRIVATE LIMITED</t>
  </si>
  <si>
    <t>HIPL 0001</t>
  </si>
  <si>
    <t>HUMMINGBIRD ENERGY (L) INC</t>
  </si>
  <si>
    <t>HUMMING - OIF</t>
  </si>
  <si>
    <t>HUMMING - OPF</t>
  </si>
  <si>
    <t>IHME LLC</t>
  </si>
  <si>
    <t>IHME01</t>
  </si>
  <si>
    <t>IHME001</t>
  </si>
  <si>
    <t>ILEAVES (UK) LTD</t>
  </si>
  <si>
    <t>ILEAVES</t>
  </si>
  <si>
    <t>INNO-WANGSA OILS &amp; FATS SDN BHD</t>
  </si>
  <si>
    <t>INNO WANGSA TF-I (2)</t>
  </si>
  <si>
    <t>KOTA LAKSAMANA 101 LIMITED</t>
  </si>
  <si>
    <t>KOTA LAKSAMANA</t>
  </si>
  <si>
    <t>KOTA LAKSAMANA CB 3</t>
  </si>
  <si>
    <t>MACAMB TECH CO. LTD</t>
  </si>
  <si>
    <t>MACAMB TECH</t>
  </si>
  <si>
    <t>MALAYSIAN DELICACIES PTY LTD 2</t>
  </si>
  <si>
    <t>MSIAN DELICACIES 2</t>
  </si>
  <si>
    <t>MARMORE ENERGY (LABUAN) LIMITED</t>
  </si>
  <si>
    <t>MARKMORE(II)</t>
  </si>
  <si>
    <t xml:space="preserve">MARMORE ENERGY (LABUAN) LIMITED </t>
  </si>
  <si>
    <t>MARKMORE(I)</t>
  </si>
  <si>
    <t xml:space="preserve">NEE ASSETS SDN BHD </t>
  </si>
  <si>
    <t>NEE ASSETS MKFF (1)</t>
  </si>
  <si>
    <t>NEE ASSETS SDN BHD  1</t>
  </si>
  <si>
    <t>NEE ASSETS MKFF (2)</t>
  </si>
  <si>
    <t>NIRMALA VILLAS RESTAURANT SDN BHD</t>
  </si>
  <si>
    <t>NIRMALA</t>
  </si>
  <si>
    <t>NUTRAFOOD RESOURCES SDN BHD</t>
  </si>
  <si>
    <t>NUTRAFOOD MKFF</t>
  </si>
  <si>
    <t>P.T BUMI INTERNATIONAL TANKERS</t>
  </si>
  <si>
    <t>BIT   0001</t>
  </si>
  <si>
    <t>P.T. LAYAR SENTOSA SHIPPING CORPORATION</t>
  </si>
  <si>
    <t>LARSEN0001</t>
  </si>
  <si>
    <t>PT AIR BORN INDONESIA (OIF-2)</t>
  </si>
  <si>
    <t>PT AIRBORN OIF-I 2</t>
  </si>
  <si>
    <t>PT EDEN CAPITAL, INDONESIA</t>
  </si>
  <si>
    <t>EDEN 001</t>
  </si>
  <si>
    <t>EDEN 0001</t>
  </si>
  <si>
    <t>PT GREAT COLOUR ENERGY</t>
  </si>
  <si>
    <t>PT GREAT COLOUR - OPF-I</t>
  </si>
  <si>
    <t>PT MAHAKARYA INTI BUANA</t>
  </si>
  <si>
    <t>MIB001</t>
  </si>
  <si>
    <t>MIB0001</t>
  </si>
  <si>
    <t>PT SARI INDAH LESTARI</t>
  </si>
  <si>
    <t>PTSIL02</t>
  </si>
  <si>
    <t>PTSIL002</t>
  </si>
  <si>
    <t>PT SRIWIJAYA AIR-BCF 1</t>
  </si>
  <si>
    <t>PT SRIWIJAYA AIR BCF1</t>
  </si>
  <si>
    <t>PT SRIWIJAYA AIR BCF1-USD16M</t>
  </si>
  <si>
    <t>PT SRIWIJAYA AIR-BCF 2</t>
  </si>
  <si>
    <t>PT SRIWIJAYA AIR BCF2</t>
  </si>
  <si>
    <t>QUANTUM ORIENT HOLDINGS SDN BHD</t>
  </si>
  <si>
    <t>QUANTUM ORIENT TF-I</t>
  </si>
  <si>
    <t>UPL LAO CO., LTD</t>
  </si>
  <si>
    <t>UPL LAO-OPF1 USD5M</t>
  </si>
  <si>
    <t>UPL LAO-OPF2 USD9M</t>
  </si>
  <si>
    <t>VEERAM STONES PRIVATE LTD</t>
  </si>
  <si>
    <t>VEERAM OPF</t>
  </si>
  <si>
    <t>VIRTUAL PEAK GROUP SDN BHD</t>
  </si>
  <si>
    <t>VIRTUAL</t>
  </si>
  <si>
    <t>VIRTUAL 01</t>
  </si>
  <si>
    <t>PENANG CIVIL STORAGE COMPANY SDN BHD</t>
  </si>
  <si>
    <t>PENANG CIVIL SCF-I</t>
  </si>
  <si>
    <t>SUPERBOOM PROJECTS SDN BHD- OPF</t>
  </si>
  <si>
    <t>SUPERBOOM-OPF 1 (TRANCHE 1)</t>
  </si>
  <si>
    <t xml:space="preserve">IMPIANA UBUD (LABUAN) CO. LTD. </t>
  </si>
  <si>
    <t>IMPIANA INVESTMENT OPF</t>
  </si>
  <si>
    <t>IMPIANA SEMINYAK (LABUAN) CO. LTD</t>
  </si>
  <si>
    <t>IMPIANA SEMINYAK OIF-I 1</t>
  </si>
  <si>
    <t>EVERSENDAI CORPORATION BERHAD</t>
  </si>
  <si>
    <t>EVERSENDAI TF-I</t>
  </si>
  <si>
    <t>MIR VALVE SDN BHD</t>
  </si>
  <si>
    <t>MIR VALVE</t>
  </si>
  <si>
    <t>MIR VALVE SC</t>
  </si>
  <si>
    <t>MIR VALVE LC DISB</t>
  </si>
  <si>
    <t>NUPON TECHNOLOGY SDN BHD</t>
  </si>
  <si>
    <t>NUPON TECHNOLOGY LC-I/TR-I</t>
  </si>
  <si>
    <t>NUPON TECHNOLOGY TR-I</t>
  </si>
  <si>
    <t>NUPON TECHNOLOGY LC-I</t>
  </si>
  <si>
    <t>NUPON TECHNOLOGY LC-I/TR-I (2)</t>
  </si>
  <si>
    <t>NUPON TECHNOLOGY TR-I (2)</t>
  </si>
  <si>
    <t>NUPON TECHNOLOGY LC-I (2)</t>
  </si>
  <si>
    <t>ARMSTRONG COATING SDN BHD</t>
  </si>
  <si>
    <t>ARMSTRONG COATING LC-I/TR-I</t>
  </si>
  <si>
    <t>ARMSTRONG COATING TR-I</t>
  </si>
  <si>
    <t>ASIA PLATFORM SDN BHD</t>
  </si>
  <si>
    <t>ASIA 0001</t>
  </si>
  <si>
    <t>BLACKGOLD OIL &amp; GAS SDN BHD</t>
  </si>
  <si>
    <t>CB4-BLACKGOLDIFF1</t>
  </si>
  <si>
    <t>BLACKGOLDIFF1</t>
  </si>
  <si>
    <t>HOT-CAN SDN BHD</t>
  </si>
  <si>
    <t>SPF-HOTCAN01</t>
  </si>
  <si>
    <t>HOTCAN02</t>
  </si>
  <si>
    <t>JPK (HANOI) CO. LTD</t>
  </si>
  <si>
    <t>JPK 0001</t>
  </si>
  <si>
    <t>MALAYSIA AIRLINE BERHAD 002</t>
  </si>
  <si>
    <t>MALAYSIANAIRLINE01</t>
  </si>
  <si>
    <t>MALAYSIANAIRLINE</t>
  </si>
  <si>
    <t>NADA BUDAYA LTD</t>
  </si>
  <si>
    <t>NADA BUDAYA 01</t>
  </si>
  <si>
    <t>NADA BUDAYA 02</t>
  </si>
  <si>
    <t>SAAG CONSOLIDATED (M) SDN BHD</t>
  </si>
  <si>
    <t>SAAG</t>
  </si>
  <si>
    <t>SPICY T-CAFE SDN BHD</t>
  </si>
  <si>
    <t>VEHENG GLOBAL TRADERS SDN BHD</t>
  </si>
  <si>
    <t>VEHENG</t>
  </si>
  <si>
    <t>I &amp; C EATING NETWORK INT S/B</t>
  </si>
  <si>
    <t>I &amp; C EATING</t>
  </si>
  <si>
    <t>ZS ARMIN SDN BHD</t>
  </si>
  <si>
    <t>ZS ARMIN</t>
  </si>
  <si>
    <t>ZS ARMIN LC-I/TR-I</t>
  </si>
  <si>
    <t>ZS ARMIN TR-I</t>
  </si>
  <si>
    <t>FARLIN TRADING</t>
  </si>
  <si>
    <t>FARLIN TRADING SF-I</t>
  </si>
  <si>
    <t>INTRA ASIA (MALAYSIA) PTE LTD</t>
  </si>
  <si>
    <t>INTRA ASIA SF-I</t>
  </si>
  <si>
    <t>PANNAH RESOURCES PTY LTD</t>
  </si>
  <si>
    <t>PANNAH</t>
  </si>
  <si>
    <t>PHOENIX SURGE SDN BHD</t>
  </si>
  <si>
    <t>PS 0003</t>
  </si>
  <si>
    <t>SCOMI TRANSIT (SBLC)BG</t>
  </si>
  <si>
    <t>SCOMI - TL</t>
  </si>
  <si>
    <t>SCOMI TRANSIT PROJECTS BRAZIL (SAO PAULO) SDN BHD</t>
  </si>
  <si>
    <t>SCOMI OCF</t>
  </si>
  <si>
    <t>SCOMI</t>
  </si>
  <si>
    <t>Prepared by:</t>
  </si>
  <si>
    <t>Name:</t>
  </si>
  <si>
    <t>NAZIMAH IBRAHIM</t>
  </si>
  <si>
    <t>Designation:</t>
  </si>
  <si>
    <t>EXECUTIVE</t>
  </si>
  <si>
    <t>Reviewed by:</t>
  </si>
  <si>
    <t>HISHAM BAHARI</t>
  </si>
  <si>
    <t>Endorsed by:</t>
  </si>
  <si>
    <t>TFT DISPLAY (M) SDN BHD</t>
  </si>
  <si>
    <t>TFT DISPLAY TL</t>
  </si>
  <si>
    <t>FUCIPHAGUS AGRITECH S/B</t>
  </si>
  <si>
    <t>HEAD OF ARRD</t>
  </si>
  <si>
    <t>AWAN BARA</t>
  </si>
  <si>
    <t>UPL LAO-OPF</t>
  </si>
  <si>
    <t>GAIA PLAS TF-I (3)</t>
  </si>
  <si>
    <t xml:space="preserve">GAIA PLAS SDN BHD </t>
  </si>
  <si>
    <t>GAIA PLAS SDN BHD</t>
  </si>
  <si>
    <t>GAIA PLAS SF-I</t>
  </si>
  <si>
    <t>MACAMB TECH -  OPF-I</t>
  </si>
  <si>
    <t>SPICY T-CAFE</t>
  </si>
  <si>
    <t>SRI KAYU MAJU SDN BHD</t>
  </si>
  <si>
    <t>SRI KAYU SF-I</t>
  </si>
  <si>
    <t>ASIA CARGO NETWORK SDN BHD-TF-i</t>
  </si>
  <si>
    <t>ASIA CARGO NETWORK SDN BHD-RC-i</t>
  </si>
  <si>
    <t>NIKMAT MUJUR SDN BHD-SF-I</t>
  </si>
  <si>
    <t>NIKMAT MUJUR SDN BHD-RC-I</t>
  </si>
  <si>
    <t>SRI DAYAA MANUFACTURING SDN BHD-TFi (BNM-HTG)</t>
  </si>
  <si>
    <t>SRI DAYAA MANUFACTURING SDN BHD-TFi-2</t>
  </si>
  <si>
    <t>ASIA CARGO NETWORK TF-I</t>
  </si>
  <si>
    <t>ASIA CARGO NETWORK RC-I</t>
  </si>
  <si>
    <t>FUCIPHAGUS AGRITECH TF-I</t>
  </si>
  <si>
    <t>NIKMAT MUJUR SF-I</t>
  </si>
  <si>
    <t>NIKMAT MUJUR RC-I</t>
  </si>
  <si>
    <t>SAP number</t>
  </si>
  <si>
    <t>Effective cost of borrowings</t>
  </si>
  <si>
    <t>Interest Margin</t>
  </si>
  <si>
    <t>Profit/Interest Rate</t>
  </si>
  <si>
    <t>Penalty Rate</t>
  </si>
  <si>
    <t>FIXED</t>
  </si>
  <si>
    <t>3M LIBOR</t>
  </si>
  <si>
    <t>1M LIBOR</t>
  </si>
  <si>
    <t>1MKLIBOR</t>
  </si>
  <si>
    <t>1MLIBOR</t>
  </si>
  <si>
    <t>JUDGEMENT</t>
  </si>
  <si>
    <t>(Blank)</t>
  </si>
  <si>
    <t>COF-i</t>
  </si>
  <si>
    <t>COF-i+3.00%</t>
  </si>
  <si>
    <t>MIS</t>
  </si>
  <si>
    <t>November</t>
  </si>
  <si>
    <t>VANTRIS ENERGY BERHAD-OIF-1</t>
  </si>
  <si>
    <t>VANTRIS ENERGY BERHAD-OIF-2</t>
  </si>
  <si>
    <t>VANTRIS ENERGY BERHAD-OIF-3</t>
  </si>
  <si>
    <t>OUTSTANDING</t>
  </si>
  <si>
    <t>P</t>
  </si>
  <si>
    <t>OUTSTANDING FROM CALL OF GUARANTEE/STANDBY LC</t>
  </si>
  <si>
    <t>SETTLED</t>
  </si>
  <si>
    <t>COF</t>
  </si>
  <si>
    <t>Data source from User</t>
  </si>
  <si>
    <t>Data source from Loan DB</t>
  </si>
  <si>
    <t>SDIS 8</t>
  </si>
  <si>
    <t>SDIS 7</t>
  </si>
  <si>
    <t>SDIS 7B</t>
  </si>
  <si>
    <t>SDIS 7C</t>
  </si>
  <si>
    <t>Principal Outstanding
(RM)</t>
  </si>
  <si>
    <t xml:space="preserve">Interest / Income Outstanding (RM) </t>
  </si>
  <si>
    <t>Other Charges (RM)</t>
  </si>
  <si>
    <t>Total Outstanding (RM)</t>
  </si>
  <si>
    <t>Account Status</t>
  </si>
  <si>
    <t>Loan Sold to Secondary Market under SBBA (RM)</t>
  </si>
  <si>
    <t>Amount Undrawn (RM)</t>
  </si>
  <si>
    <t>Amount Disbursed
During the Month (RM)</t>
  </si>
  <si>
    <t>Amount Repaid During the Month (RM)</t>
  </si>
  <si>
    <t>Date of Account Status</t>
  </si>
  <si>
    <t>Instalment Amount (RM)</t>
  </si>
  <si>
    <t>Late Payment Charges for Ta'widh (Compensation) During the Month (RM)</t>
  </si>
  <si>
    <t>Late Payment Charges for Gharamah (Penalty) During the Month (RM)</t>
  </si>
  <si>
    <t>Source of Repayment</t>
  </si>
  <si>
    <t>Type of Repayment</t>
  </si>
  <si>
    <t>Type of Estimates</t>
  </si>
  <si>
    <t>Probability of Default (%)</t>
  </si>
  <si>
    <t>Loss Given Default (%)</t>
  </si>
  <si>
    <t>Classification of Exposures</t>
  </si>
  <si>
    <t>Provision Amount (RM)</t>
  </si>
  <si>
    <t>Impaired Loan Recovered During the Month (RM)</t>
  </si>
  <si>
    <t>Impaired Loan Written-off During the Month (RM)</t>
  </si>
  <si>
    <t>Provision for Loan Sold to Danaharta (RM)</t>
  </si>
  <si>
    <t>Provision Transferred to Provision for Diminution in Value of
Investment (RM)</t>
  </si>
  <si>
    <t>RESCHEDULED CREDIT FACILITY</t>
  </si>
  <si>
    <t>RESTRUCTURED CREDIT FACILITY</t>
  </si>
  <si>
    <t>1200 - Ringgit</t>
  </si>
  <si>
    <t>10 - Instalment  / Cash</t>
  </si>
  <si>
    <t>1120 - Offshore</t>
  </si>
  <si>
    <t>10 - Instalment/ Cash</t>
  </si>
  <si>
    <t>SRI DAYAA TF-I</t>
  </si>
  <si>
    <t>SRI DAYAA TF-I(2)</t>
  </si>
  <si>
    <t>W</t>
  </si>
  <si>
    <t>X</t>
  </si>
  <si>
    <t>FY</t>
  </si>
  <si>
    <t>NZ</t>
  </si>
  <si>
    <t>HB</t>
  </si>
  <si>
    <t>RA</t>
  </si>
  <si>
    <t>HJ</t>
  </si>
  <si>
    <t>COF+2.00%</t>
  </si>
  <si>
    <t>VIRTUAL PEAKS GROUP SDN BHD</t>
  </si>
  <si>
    <t>SUPERBOOM PROJECTS SDN BHD</t>
  </si>
  <si>
    <t>3PLUS 1 STUDIO SDN BHD - 002</t>
  </si>
  <si>
    <t>PT EDEN CAPITAL, INDONESIA 001</t>
  </si>
  <si>
    <t>PT MAHAKARYA INTI BUANA INDONESIA</t>
  </si>
  <si>
    <t>PT SRI WIJAYA AIR-BCF1-0001</t>
  </si>
  <si>
    <t>PT SRI WIJAYA AIR-BCF1-0002</t>
  </si>
  <si>
    <t>PT SRI WIJAYA AIR-BCF1-0004</t>
  </si>
  <si>
    <t>PT SRI WIJAYA AIR-BCF1-0005</t>
  </si>
  <si>
    <t>PT SRI WIJAYA AIR-BCF1-0006</t>
  </si>
  <si>
    <t>PT SRI WIJAYA AIR-BCF2-0003</t>
  </si>
  <si>
    <t>MARKMORE ENERGY (L) LTD-OPF I</t>
  </si>
  <si>
    <t>MARKMORE ENERGY (L) LTD-OPF II</t>
  </si>
  <si>
    <t>HUMMINGBIRD ENERGY (L) INC (OIF1) *</t>
  </si>
  <si>
    <t>HUMMINGBIRD ENERGY (L) INC (OIF2) *</t>
  </si>
  <si>
    <t>HUMMINGBIRD ENERGY (L) INC (OPF)</t>
  </si>
  <si>
    <t>UPL LAO CO. LTD-UPL 1 (OPF-1)</t>
  </si>
  <si>
    <t>UPL LAO CO. LTD-UPL 2 (OPF-2)</t>
  </si>
  <si>
    <t>3MLIBOR</t>
  </si>
  <si>
    <t>DAYA MARITIME LTD-TF (003)</t>
  </si>
  <si>
    <t>INNO-WANGSA OILS AND FATS SDN BHD - IWO0001 (TAWARRUQ) - TF-i</t>
  </si>
  <si>
    <t>PT AIR BORN INDONESIA OIF-I 2</t>
  </si>
  <si>
    <t>FACILIPAK INDUSTRIES SDN BHD-LC TRADE</t>
  </si>
  <si>
    <t>FACILIPAK INDUSTRIES SDN BHD-NT (TF-2)</t>
  </si>
  <si>
    <t>NUPON TECHNOLOGY SDN BHD-2</t>
  </si>
  <si>
    <t>1M KLIBOR</t>
  </si>
  <si>
    <t>500885A</t>
  </si>
  <si>
    <t>January</t>
  </si>
  <si>
    <t>COF+3.0%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</si>
</sst>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[$-14409]dd/mm/yyyy;@"/>
    <numFmt numFmtId="166" formatCode="[$USD]\ #,##0_);[Red]\([$USD]\ #,##0\)"/>
    <numFmt numFmtId="167" formatCode="0.0%"/>
    <numFmt numFmtId="168" formatCode="#,##0.00;[Red]#,##0.0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Helv"/>
    </font>
    <font>
      <sz val="12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u/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  <font>
      <sz val="12"/>
      <color rgb="FF0000FF"/>
      <name val="Arial"/>
      <family val="2"/>
    </font>
    <font>
      <b/>
      <sz val="12"/>
      <color rgb="FF0000FF"/>
      <name val="Arial"/>
      <family val="2"/>
    </font>
    <font>
      <sz val="11"/>
      <name val="Dayton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i/>
      <sz val="14"/>
      <name val="Arial"/>
      <family val="2"/>
    </font>
    <font>
      <sz val="12"/>
      <color theme="0"/>
      <name val="Arial"/>
      <family val="2"/>
    </font>
    <font>
      <sz val="14"/>
      <color theme="1"/>
      <name val="Arial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1"/>
      <color theme="2"/>
      <name val="Calibri"/>
      <family val="2"/>
    </font>
    <font>
      <b/>
      <u/>
      <sz val="11"/>
      <name val="Calibri"/>
      <family val="2"/>
    </font>
    <font>
      <b/>
      <sz val="11"/>
      <color theme="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gray0625">
        <bgColor theme="2" tint="-9.9978637043366805E-2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lightGray">
        <bgColor theme="7" tint="0.79995117038483843"/>
      </patternFill>
    </fill>
    <fill>
      <patternFill patternType="solid">
        <fgColor rgb="FFFFFF99"/>
        <bgColor indexed="64"/>
      </patternFill>
    </fill>
  </fills>
  <borders count="3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0.34998626667073579"/>
      </left>
      <right style="thin">
        <color theme="2" tint="-0.249977111117893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</borders>
  <cellStyleXfs count="49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39" fontId="3" fillId="0" borderId="0"/>
    <xf numFmtId="39" fontId="3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1" fillId="0" borderId="0"/>
    <xf numFmtId="167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9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41" fontId="1" fillId="0" borderId="0" applyFont="0" applyFill="0" applyBorder="0" applyAlignment="0" applyProtection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344">
    <xf numFmtId="0" fontId="0" fillId="0" borderId="0" xfId="0"/>
    <xf numFmtId="0" fontId="5" fillId="6" borderId="6" xfId="2" applyFont="1" applyFill="1" applyBorder="1" applyAlignment="1">
      <alignment horizontal="center" vertical="top" wrapText="1"/>
    </xf>
    <xf numFmtId="0" fontId="5" fillId="2" borderId="7" xfId="2" applyFont="1" applyFill="1" applyBorder="1" applyAlignment="1">
      <alignment horizontal="center" vertical="top" wrapText="1"/>
    </xf>
    <xf numFmtId="0" fontId="5" fillId="2" borderId="5" xfId="2" applyFont="1" applyFill="1" applyBorder="1" applyAlignment="1">
      <alignment horizontal="center" vertical="top" wrapText="1"/>
    </xf>
    <xf numFmtId="0" fontId="5" fillId="0" borderId="0" xfId="2" applyFont="1" applyAlignment="1">
      <alignment horizontal="center" vertical="top"/>
    </xf>
    <xf numFmtId="0" fontId="5" fillId="0" borderId="0" xfId="2" applyFont="1" applyAlignment="1">
      <alignment vertical="top"/>
    </xf>
    <xf numFmtId="0" fontId="5" fillId="4" borderId="8" xfId="2" applyFont="1" applyFill="1" applyBorder="1" applyAlignment="1">
      <alignment horizontal="center" vertical="top"/>
    </xf>
    <xf numFmtId="0" fontId="5" fillId="4" borderId="8" xfId="2" applyFont="1" applyFill="1" applyBorder="1" applyAlignment="1">
      <alignment horizontal="center" vertical="top" wrapText="1"/>
    </xf>
    <xf numFmtId="0" fontId="5" fillId="4" borderId="9" xfId="2" applyFont="1" applyFill="1" applyBorder="1" applyAlignment="1">
      <alignment horizontal="center" vertical="top" wrapText="1"/>
    </xf>
    <xf numFmtId="4" fontId="12" fillId="0" borderId="0" xfId="2" applyNumberFormat="1" applyFont="1" applyAlignment="1">
      <alignment vertical="top"/>
    </xf>
    <xf numFmtId="0" fontId="12" fillId="0" borderId="0" xfId="2" applyFont="1" applyAlignment="1">
      <alignment vertical="top"/>
    </xf>
    <xf numFmtId="4" fontId="4" fillId="0" borderId="0" xfId="2" applyNumberFormat="1" applyFont="1" applyAlignment="1">
      <alignment vertical="top"/>
    </xf>
    <xf numFmtId="0" fontId="4" fillId="0" borderId="0" xfId="2" applyFont="1" applyAlignment="1">
      <alignment vertical="top"/>
    </xf>
    <xf numFmtId="0" fontId="7" fillId="0" borderId="0" xfId="2" applyFont="1" applyAlignment="1">
      <alignment horizontal="left" vertical="top"/>
    </xf>
    <xf numFmtId="0" fontId="7" fillId="0" borderId="2" xfId="2" applyFont="1" applyBorder="1" applyAlignment="1">
      <alignment horizontal="left" vertical="top"/>
    </xf>
    <xf numFmtId="164" fontId="7" fillId="0" borderId="0" xfId="1" applyFont="1" applyFill="1" applyBorder="1" applyAlignment="1">
      <alignment horizontal="left" vertical="top"/>
    </xf>
    <xf numFmtId="164" fontId="5" fillId="0" borderId="0" xfId="1" applyFont="1" applyFill="1" applyBorder="1" applyAlignment="1">
      <alignment horizontal="left" vertical="top"/>
    </xf>
    <xf numFmtId="164" fontId="5" fillId="0" borderId="0" xfId="3" applyFont="1" applyFill="1" applyBorder="1" applyAlignment="1">
      <alignment horizontal="left" vertical="top"/>
    </xf>
    <xf numFmtId="0" fontId="5" fillId="0" borderId="0" xfId="2" applyFont="1" applyAlignment="1">
      <alignment horizontal="left" vertical="top"/>
    </xf>
    <xf numFmtId="164" fontId="5" fillId="0" borderId="0" xfId="1" applyFont="1" applyFill="1" applyBorder="1" applyAlignment="1">
      <alignment horizontal="center" vertical="top"/>
    </xf>
    <xf numFmtId="0" fontId="7" fillId="2" borderId="1" xfId="2" applyFont="1" applyFill="1" applyBorder="1" applyAlignment="1">
      <alignment horizontal="left" vertical="top"/>
    </xf>
    <xf numFmtId="164" fontId="17" fillId="0" borderId="0" xfId="1" applyFont="1" applyFill="1" applyBorder="1" applyAlignment="1">
      <alignment horizontal="left" vertical="top"/>
    </xf>
    <xf numFmtId="0" fontId="7" fillId="3" borderId="1" xfId="2" applyFont="1" applyFill="1" applyBorder="1" applyAlignment="1">
      <alignment horizontal="left" vertical="top"/>
    </xf>
    <xf numFmtId="17" fontId="8" fillId="0" borderId="0" xfId="2" applyNumberFormat="1" applyFont="1" applyAlignment="1">
      <alignment vertical="top"/>
    </xf>
    <xf numFmtId="17" fontId="8" fillId="0" borderId="0" xfId="2" quotePrefix="1" applyNumberFormat="1" applyFont="1" applyAlignment="1">
      <alignment horizontal="center" vertical="top"/>
    </xf>
    <xf numFmtId="164" fontId="5" fillId="3" borderId="22" xfId="1" applyFont="1" applyFill="1" applyBorder="1" applyAlignment="1">
      <alignment horizontal="center" vertical="top" wrapText="1"/>
    </xf>
    <xf numFmtId="164" fontId="5" fillId="3" borderId="22" xfId="3" applyFont="1" applyFill="1" applyBorder="1" applyAlignment="1">
      <alignment horizontal="center" vertical="top" wrapText="1"/>
    </xf>
    <xf numFmtId="0" fontId="5" fillId="2" borderId="6" xfId="2" applyFont="1" applyFill="1" applyBorder="1" applyAlignment="1">
      <alignment horizontal="center" vertical="top" wrapText="1"/>
    </xf>
    <xf numFmtId="164" fontId="5" fillId="11" borderId="22" xfId="1" applyFont="1" applyFill="1" applyBorder="1" applyAlignment="1">
      <alignment horizontal="center" vertical="top" wrapText="1"/>
    </xf>
    <xf numFmtId="168" fontId="5" fillId="2" borderId="5" xfId="2" applyNumberFormat="1" applyFont="1" applyFill="1" applyBorder="1" applyAlignment="1">
      <alignment horizontal="center" vertical="top" wrapText="1"/>
    </xf>
    <xf numFmtId="0" fontId="5" fillId="3" borderId="22" xfId="2" applyFont="1" applyFill="1" applyBorder="1" applyAlignment="1">
      <alignment horizontal="center" vertical="top" wrapText="1"/>
    </xf>
    <xf numFmtId="0" fontId="4" fillId="0" borderId="1" xfId="2" quotePrefix="1" applyFont="1" applyBorder="1" applyAlignment="1">
      <alignment horizontal="center" vertical="top"/>
    </xf>
    <xf numFmtId="0" fontId="4" fillId="0" borderId="1" xfId="3" applyNumberFormat="1" applyFont="1" applyFill="1" applyBorder="1" applyAlignment="1" applyProtection="1">
      <alignment vertical="top"/>
    </xf>
    <xf numFmtId="0" fontId="4" fillId="0" borderId="1" xfId="2" applyFont="1" applyBorder="1" applyAlignment="1">
      <alignment horizontal="center" vertical="top"/>
    </xf>
    <xf numFmtId="165" fontId="4" fillId="0" borderId="1" xfId="0" applyNumberFormat="1" applyFont="1" applyBorder="1" applyAlignment="1">
      <alignment horizontal="center" vertical="top"/>
    </xf>
    <xf numFmtId="164" fontId="4" fillId="0" borderId="1" xfId="1" applyFont="1" applyFill="1" applyBorder="1" applyAlignment="1" applyProtection="1">
      <alignment vertical="top"/>
      <protection locked="0"/>
    </xf>
    <xf numFmtId="164" fontId="4" fillId="0" borderId="1" xfId="1" applyFont="1" applyFill="1" applyBorder="1" applyAlignment="1" applyProtection="1">
      <alignment horizontal="center" vertical="top"/>
      <protection locked="0"/>
    </xf>
    <xf numFmtId="4" fontId="4" fillId="0" borderId="1" xfId="3" applyNumberFormat="1" applyFont="1" applyFill="1" applyBorder="1" applyAlignment="1" applyProtection="1">
      <alignment horizontal="right" vertical="top"/>
      <protection locked="0"/>
    </xf>
    <xf numFmtId="0" fontId="4" fillId="0" borderId="1" xfId="2" applyFont="1" applyBorder="1" applyAlignment="1" applyProtection="1">
      <alignment horizontal="center" vertical="top"/>
      <protection locked="0"/>
    </xf>
    <xf numFmtId="0" fontId="4" fillId="0" borderId="1" xfId="2" applyFont="1" applyBorder="1" applyAlignment="1" applyProtection="1">
      <alignment horizontal="left" vertical="top"/>
      <protection locked="0"/>
    </xf>
    <xf numFmtId="2" fontId="4" fillId="0" borderId="1" xfId="2" applyNumberFormat="1" applyFont="1" applyBorder="1" applyAlignment="1" applyProtection="1">
      <alignment horizontal="center" vertical="top"/>
      <protection locked="0"/>
    </xf>
    <xf numFmtId="4" fontId="4" fillId="0" borderId="1" xfId="1" applyNumberFormat="1" applyFont="1" applyFill="1" applyBorder="1" applyAlignment="1" applyProtection="1">
      <alignment horizontal="center" vertical="top"/>
      <protection locked="0"/>
    </xf>
    <xf numFmtId="4" fontId="4" fillId="0" borderId="1" xfId="1" applyNumberFormat="1" applyFont="1" applyFill="1" applyBorder="1" applyAlignment="1" applyProtection="1">
      <alignment horizontal="right" vertical="top"/>
      <protection locked="0"/>
    </xf>
    <xf numFmtId="3" fontId="4" fillId="0" borderId="1" xfId="2" applyNumberFormat="1" applyFont="1" applyBorder="1" applyAlignment="1" applyProtection="1">
      <alignment horizontal="center" vertical="top"/>
      <protection locked="0"/>
    </xf>
    <xf numFmtId="164" fontId="4" fillId="0" borderId="1" xfId="1" applyFont="1" applyFill="1" applyBorder="1" applyAlignment="1" applyProtection="1">
      <alignment horizontal="right" vertical="top"/>
      <protection locked="0"/>
    </xf>
    <xf numFmtId="2" fontId="4" fillId="0" borderId="1" xfId="1" applyNumberFormat="1" applyFont="1" applyFill="1" applyBorder="1" applyAlignment="1" applyProtection="1">
      <alignment horizontal="right" vertical="top"/>
      <protection locked="0"/>
    </xf>
    <xf numFmtId="4" fontId="4" fillId="0" borderId="1" xfId="2" applyNumberFormat="1" applyFont="1" applyBorder="1" applyAlignment="1" applyProtection="1">
      <alignment horizontal="right" vertical="top"/>
      <protection locked="0"/>
    </xf>
    <xf numFmtId="4" fontId="4" fillId="0" borderId="0" xfId="2" applyNumberFormat="1" applyFont="1" applyAlignment="1">
      <alignment horizontal="center" vertical="top"/>
    </xf>
    <xf numFmtId="0" fontId="4" fillId="0" borderId="0" xfId="2" applyFont="1" applyAlignment="1">
      <alignment horizontal="center" vertical="top"/>
    </xf>
    <xf numFmtId="0" fontId="12" fillId="0" borderId="1" xfId="2" quotePrefix="1" applyFont="1" applyBorder="1" applyAlignment="1">
      <alignment horizontal="center" vertical="top"/>
    </xf>
    <xf numFmtId="0" fontId="12" fillId="0" borderId="1" xfId="3" applyNumberFormat="1" applyFont="1" applyFill="1" applyBorder="1" applyAlignment="1" applyProtection="1">
      <alignment vertical="top"/>
    </xf>
    <xf numFmtId="0" fontId="12" fillId="0" borderId="1" xfId="2" applyFont="1" applyBorder="1" applyAlignment="1">
      <alignment horizontal="center" vertical="top"/>
    </xf>
    <xf numFmtId="165" fontId="12" fillId="0" borderId="1" xfId="0" applyNumberFormat="1" applyFont="1" applyBorder="1" applyAlignment="1">
      <alignment horizontal="center" vertical="top"/>
    </xf>
    <xf numFmtId="4" fontId="12" fillId="0" borderId="1" xfId="1" applyNumberFormat="1" applyFont="1" applyFill="1" applyBorder="1" applyAlignment="1" applyProtection="1">
      <alignment horizontal="right" vertical="top"/>
      <protection locked="0"/>
    </xf>
    <xf numFmtId="4" fontId="12" fillId="0" borderId="1" xfId="3" applyNumberFormat="1" applyFont="1" applyFill="1" applyBorder="1" applyAlignment="1" applyProtection="1">
      <alignment horizontal="right" vertical="top"/>
      <protection locked="0"/>
    </xf>
    <xf numFmtId="0" fontId="12" fillId="0" borderId="1" xfId="2" applyFont="1" applyBorder="1" applyAlignment="1" applyProtection="1">
      <alignment horizontal="center" vertical="top"/>
      <protection locked="0"/>
    </xf>
    <xf numFmtId="0" fontId="12" fillId="0" borderId="1" xfId="2" applyFont="1" applyBorder="1" applyAlignment="1" applyProtection="1">
      <alignment horizontal="left" vertical="top"/>
      <protection locked="0"/>
    </xf>
    <xf numFmtId="2" fontId="12" fillId="0" borderId="1" xfId="2" applyNumberFormat="1" applyFont="1" applyBorder="1" applyAlignment="1" applyProtection="1">
      <alignment horizontal="center" vertical="top"/>
      <protection locked="0"/>
    </xf>
    <xf numFmtId="4" fontId="12" fillId="0" borderId="1" xfId="1" applyNumberFormat="1" applyFont="1" applyFill="1" applyBorder="1" applyAlignment="1" applyProtection="1">
      <alignment horizontal="center" vertical="top"/>
      <protection locked="0"/>
    </xf>
    <xf numFmtId="3" fontId="12" fillId="0" borderId="1" xfId="2" applyNumberFormat="1" applyFont="1" applyBorder="1" applyAlignment="1" applyProtection="1">
      <alignment horizontal="center" vertical="top"/>
      <protection locked="0"/>
    </xf>
    <xf numFmtId="164" fontId="12" fillId="0" borderId="1" xfId="1" applyFont="1" applyFill="1" applyBorder="1" applyAlignment="1" applyProtection="1">
      <alignment horizontal="right" vertical="top"/>
      <protection locked="0"/>
    </xf>
    <xf numFmtId="2" fontId="12" fillId="5" borderId="1" xfId="1" applyNumberFormat="1" applyFont="1" applyFill="1" applyBorder="1" applyAlignment="1" applyProtection="1">
      <alignment horizontal="right" vertical="top"/>
      <protection locked="0"/>
    </xf>
    <xf numFmtId="4" fontId="12" fillId="0" borderId="1" xfId="2" applyNumberFormat="1" applyFont="1" applyBorder="1" applyAlignment="1" applyProtection="1">
      <alignment horizontal="right" vertical="top"/>
      <protection locked="0"/>
    </xf>
    <xf numFmtId="0" fontId="12" fillId="0" borderId="0" xfId="2" applyFont="1" applyAlignment="1">
      <alignment horizontal="center" vertical="top"/>
    </xf>
    <xf numFmtId="4" fontId="12" fillId="0" borderId="0" xfId="2" applyNumberFormat="1" applyFont="1" applyAlignment="1">
      <alignment horizontal="center" vertical="top"/>
    </xf>
    <xf numFmtId="2" fontId="12" fillId="0" borderId="1" xfId="1" applyNumberFormat="1" applyFont="1" applyFill="1" applyBorder="1" applyAlignment="1" applyProtection="1">
      <alignment horizontal="right" vertical="top"/>
      <protection locked="0"/>
    </xf>
    <xf numFmtId="0" fontId="4" fillId="0" borderId="1" xfId="2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horizontal="center" vertical="top"/>
    </xf>
    <xf numFmtId="164" fontId="5" fillId="0" borderId="1" xfId="1" applyFont="1" applyFill="1" applyBorder="1" applyAlignment="1" applyProtection="1">
      <alignment vertical="top"/>
      <protection locked="0"/>
    </xf>
    <xf numFmtId="164" fontId="5" fillId="0" borderId="1" xfId="1" applyFont="1" applyFill="1" applyBorder="1" applyAlignment="1" applyProtection="1">
      <alignment horizontal="center" vertical="top"/>
      <protection locked="0"/>
    </xf>
    <xf numFmtId="4" fontId="5" fillId="0" borderId="1" xfId="1" applyNumberFormat="1" applyFont="1" applyFill="1" applyBorder="1" applyAlignment="1" applyProtection="1">
      <alignment horizontal="center" vertical="top"/>
      <protection locked="0"/>
    </xf>
    <xf numFmtId="0" fontId="5" fillId="0" borderId="1" xfId="2" applyFont="1" applyBorder="1" applyAlignment="1" applyProtection="1">
      <alignment horizontal="center" vertical="top"/>
      <protection locked="0"/>
    </xf>
    <xf numFmtId="164" fontId="5" fillId="0" borderId="1" xfId="1" applyFont="1" applyFill="1" applyBorder="1" applyAlignment="1" applyProtection="1">
      <alignment horizontal="right" vertical="top"/>
      <protection locked="0"/>
    </xf>
    <xf numFmtId="2" fontId="5" fillId="0" borderId="1" xfId="1" applyNumberFormat="1" applyFont="1" applyFill="1" applyBorder="1" applyAlignment="1" applyProtection="1">
      <alignment horizontal="right" vertical="top"/>
      <protection locked="0"/>
    </xf>
    <xf numFmtId="4" fontId="5" fillId="0" borderId="0" xfId="2" applyNumberFormat="1" applyFont="1" applyAlignment="1">
      <alignment vertical="top"/>
    </xf>
    <xf numFmtId="4" fontId="5" fillId="0" borderId="1" xfId="1" applyNumberFormat="1" applyFont="1" applyFill="1" applyBorder="1" applyAlignment="1">
      <alignment horizontal="center" vertical="top"/>
    </xf>
    <xf numFmtId="0" fontId="18" fillId="10" borderId="1" xfId="3" applyNumberFormat="1" applyFont="1" applyFill="1" applyBorder="1" applyAlignment="1" applyProtection="1">
      <alignment vertical="top"/>
    </xf>
    <xf numFmtId="0" fontId="18" fillId="10" borderId="1" xfId="2" applyFont="1" applyFill="1" applyBorder="1" applyAlignment="1">
      <alignment horizontal="center" vertical="top"/>
    </xf>
    <xf numFmtId="0" fontId="11" fillId="0" borderId="1" xfId="2" applyFont="1" applyBorder="1" applyAlignment="1" applyProtection="1">
      <alignment horizontal="left" vertical="top"/>
      <protection locked="0"/>
    </xf>
    <xf numFmtId="0" fontId="4" fillId="0" borderId="1" xfId="15" applyNumberFormat="1" applyFont="1" applyFill="1" applyBorder="1" applyAlignment="1" applyProtection="1">
      <alignment horizontal="center" vertical="top"/>
      <protection locked="0"/>
    </xf>
    <xf numFmtId="0" fontId="4" fillId="0" borderId="8" xfId="0" applyFont="1" applyBorder="1" applyAlignment="1">
      <alignment vertical="top"/>
    </xf>
    <xf numFmtId="0" fontId="4" fillId="0" borderId="8" xfId="2" applyFont="1" applyBorder="1" applyAlignment="1">
      <alignment horizontal="center" vertical="top"/>
    </xf>
    <xf numFmtId="0" fontId="4" fillId="0" borderId="13" xfId="0" applyFont="1" applyBorder="1" applyAlignment="1">
      <alignment vertical="top"/>
    </xf>
    <xf numFmtId="0" fontId="4" fillId="0" borderId="14" xfId="2" applyFont="1" applyBorder="1" applyAlignment="1">
      <alignment horizontal="center" vertical="top"/>
    </xf>
    <xf numFmtId="0" fontId="4" fillId="0" borderId="15" xfId="2" applyFont="1" applyBorder="1" applyAlignment="1">
      <alignment horizontal="center" vertical="top"/>
    </xf>
    <xf numFmtId="0" fontId="4" fillId="0" borderId="12" xfId="0" applyFont="1" applyBorder="1" applyAlignment="1">
      <alignment vertical="top"/>
    </xf>
    <xf numFmtId="0" fontId="4" fillId="0" borderId="12" xfId="0" applyFont="1" applyBorder="1" applyAlignment="1">
      <alignment horizontal="center" vertical="top"/>
    </xf>
    <xf numFmtId="0" fontId="4" fillId="0" borderId="12" xfId="2" applyFont="1" applyBorder="1" applyAlignment="1">
      <alignment horizontal="center" vertical="top"/>
    </xf>
    <xf numFmtId="0" fontId="4" fillId="0" borderId="10" xfId="0" applyFont="1" applyBorder="1" applyAlignment="1">
      <alignment horizontal="center" vertical="top"/>
    </xf>
    <xf numFmtId="0" fontId="4" fillId="0" borderId="12" xfId="0" applyFont="1" applyBorder="1" applyAlignment="1">
      <alignment horizontal="left" vertical="top"/>
    </xf>
    <xf numFmtId="0" fontId="4" fillId="5" borderId="12" xfId="2" applyFont="1" applyFill="1" applyBorder="1" applyAlignment="1">
      <alignment horizontal="center" vertical="top"/>
    </xf>
    <xf numFmtId="0" fontId="4" fillId="0" borderId="14" xfId="0" applyFont="1" applyBorder="1" applyAlignment="1">
      <alignment horizontal="left" vertical="top"/>
    </xf>
    <xf numFmtId="0" fontId="4" fillId="0" borderId="14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/>
    </xf>
    <xf numFmtId="0" fontId="4" fillId="0" borderId="23" xfId="2" applyFont="1" applyBorder="1" applyAlignment="1">
      <alignment horizontal="center" vertical="top"/>
    </xf>
    <xf numFmtId="0" fontId="14" fillId="0" borderId="1" xfId="0" applyFont="1" applyBorder="1" applyAlignment="1">
      <alignment vertical="top"/>
    </xf>
    <xf numFmtId="0" fontId="4" fillId="0" borderId="8" xfId="0" applyFont="1" applyBorder="1" applyAlignment="1">
      <alignment horizontal="center" vertical="top"/>
    </xf>
    <xf numFmtId="0" fontId="14" fillId="0" borderId="16" xfId="0" applyFont="1" applyBorder="1" applyAlignment="1">
      <alignment vertical="top"/>
    </xf>
    <xf numFmtId="0" fontId="4" fillId="0" borderId="24" xfId="0" applyFont="1" applyBorder="1" applyAlignment="1">
      <alignment horizontal="center"/>
    </xf>
    <xf numFmtId="0" fontId="18" fillId="9" borderId="1" xfId="3" applyNumberFormat="1" applyFont="1" applyFill="1" applyBorder="1" applyAlignment="1" applyProtection="1">
      <alignment vertical="top"/>
    </xf>
    <xf numFmtId="0" fontId="18" fillId="9" borderId="1" xfId="2" applyFont="1" applyFill="1" applyBorder="1" applyAlignment="1">
      <alignment horizontal="center" vertical="top"/>
    </xf>
    <xf numFmtId="0" fontId="4" fillId="8" borderId="25" xfId="0" applyFont="1" applyFill="1" applyBorder="1" applyAlignment="1">
      <alignment vertical="top"/>
    </xf>
    <xf numFmtId="0" fontId="4" fillId="8" borderId="25" xfId="0" applyFont="1" applyFill="1" applyBorder="1" applyAlignment="1">
      <alignment horizontal="center" vertical="top"/>
    </xf>
    <xf numFmtId="0" fontId="4" fillId="8" borderId="25" xfId="2" applyFont="1" applyFill="1" applyBorder="1" applyAlignment="1">
      <alignment horizontal="center" vertical="top"/>
    </xf>
    <xf numFmtId="0" fontId="4" fillId="8" borderId="10" xfId="0" applyFont="1" applyFill="1" applyBorder="1" applyAlignment="1">
      <alignment horizontal="center" vertical="top"/>
    </xf>
    <xf numFmtId="0" fontId="4" fillId="8" borderId="1" xfId="0" applyFont="1" applyFill="1" applyBorder="1" applyAlignment="1">
      <alignment horizontal="center" vertical="top"/>
    </xf>
    <xf numFmtId="164" fontId="4" fillId="0" borderId="1" xfId="1" applyFont="1" applyFill="1" applyBorder="1" applyAlignment="1">
      <alignment horizontal="right" vertical="top" wrapText="1"/>
    </xf>
    <xf numFmtId="3" fontId="4" fillId="12" borderId="1" xfId="2" applyNumberFormat="1" applyFont="1" applyFill="1" applyBorder="1" applyAlignment="1" applyProtection="1">
      <alignment horizontal="center" vertical="top"/>
      <protection locked="0"/>
    </xf>
    <xf numFmtId="0" fontId="4" fillId="12" borderId="1" xfId="2" applyFont="1" applyFill="1" applyBorder="1" applyAlignment="1" applyProtection="1">
      <alignment horizontal="center" vertical="top"/>
      <protection locked="0"/>
    </xf>
    <xf numFmtId="0" fontId="4" fillId="8" borderId="11" xfId="0" applyFont="1" applyFill="1" applyBorder="1" applyAlignment="1">
      <alignment vertical="top"/>
    </xf>
    <xf numFmtId="0" fontId="4" fillId="8" borderId="11" xfId="0" applyFont="1" applyFill="1" applyBorder="1" applyAlignment="1">
      <alignment horizontal="center" vertical="top"/>
    </xf>
    <xf numFmtId="0" fontId="4" fillId="8" borderId="11" xfId="2" applyFont="1" applyFill="1" applyBorder="1" applyAlignment="1">
      <alignment horizontal="center" vertical="top"/>
    </xf>
    <xf numFmtId="43" fontId="4" fillId="0" borderId="1" xfId="9" applyFont="1" applyFill="1" applyBorder="1" applyAlignment="1">
      <alignment horizontal="right" vertical="top" wrapText="1"/>
    </xf>
    <xf numFmtId="0" fontId="4" fillId="8" borderId="1" xfId="0" applyFont="1" applyFill="1" applyBorder="1" applyAlignment="1">
      <alignment vertical="top"/>
    </xf>
    <xf numFmtId="0" fontId="4" fillId="8" borderId="1" xfId="2" applyFont="1" applyFill="1" applyBorder="1" applyAlignment="1">
      <alignment horizontal="center" vertical="top"/>
    </xf>
    <xf numFmtId="43" fontId="4" fillId="0" borderId="1" xfId="10" applyNumberFormat="1" applyFont="1" applyBorder="1" applyAlignment="1">
      <alignment vertical="top"/>
    </xf>
    <xf numFmtId="43" fontId="4" fillId="0" borderId="1" xfId="12" applyFont="1" applyFill="1" applyBorder="1" applyAlignment="1">
      <alignment horizontal="right" vertical="top"/>
    </xf>
    <xf numFmtId="40" fontId="4" fillId="0" borderId="1" xfId="11" applyNumberFormat="1" applyFont="1" applyFill="1" applyBorder="1" applyAlignment="1">
      <alignment horizontal="right" vertical="top"/>
    </xf>
    <xf numFmtId="164" fontId="4" fillId="0" borderId="1" xfId="1" applyFont="1" applyFill="1" applyBorder="1" applyAlignment="1">
      <alignment horizontal="right" vertical="top"/>
    </xf>
    <xf numFmtId="43" fontId="4" fillId="7" borderId="1" xfId="9" applyFont="1" applyFill="1" applyBorder="1" applyAlignment="1">
      <alignment horizontal="right" vertical="top" wrapText="1"/>
    </xf>
    <xf numFmtId="2" fontId="4" fillId="7" borderId="1" xfId="9" applyNumberFormat="1" applyFont="1" applyFill="1" applyBorder="1" applyAlignment="1">
      <alignment horizontal="right" vertical="top" wrapText="1"/>
    </xf>
    <xf numFmtId="0" fontId="4" fillId="7" borderId="1" xfId="2" applyFont="1" applyFill="1" applyBorder="1" applyAlignment="1" applyProtection="1">
      <alignment horizontal="center" vertical="top"/>
      <protection locked="0"/>
    </xf>
    <xf numFmtId="2" fontId="4" fillId="7" borderId="1" xfId="2" applyNumberFormat="1" applyFont="1" applyFill="1" applyBorder="1" applyAlignment="1" applyProtection="1">
      <alignment horizontal="center" vertical="top"/>
      <protection locked="0"/>
    </xf>
    <xf numFmtId="4" fontId="4" fillId="7" borderId="1" xfId="1" applyNumberFormat="1" applyFont="1" applyFill="1" applyBorder="1" applyAlignment="1" applyProtection="1">
      <alignment horizontal="right" vertical="top"/>
      <protection locked="0"/>
    </xf>
    <xf numFmtId="2" fontId="4" fillId="7" borderId="1" xfId="1" applyNumberFormat="1" applyFont="1" applyFill="1" applyBorder="1" applyAlignment="1" applyProtection="1">
      <alignment horizontal="right" vertical="top"/>
      <protection locked="0"/>
    </xf>
    <xf numFmtId="4" fontId="4" fillId="7" borderId="1" xfId="2" applyNumberFormat="1" applyFont="1" applyFill="1" applyBorder="1" applyAlignment="1" applyProtection="1">
      <alignment horizontal="right" vertical="top"/>
      <protection locked="0"/>
    </xf>
    <xf numFmtId="0" fontId="4" fillId="7" borderId="0" xfId="2" applyFont="1" applyFill="1" applyAlignment="1">
      <alignment vertical="top"/>
    </xf>
    <xf numFmtId="4" fontId="4" fillId="7" borderId="0" xfId="2" applyNumberFormat="1" applyFont="1" applyFill="1" applyAlignment="1">
      <alignment vertical="top"/>
    </xf>
    <xf numFmtId="2" fontId="4" fillId="0" borderId="1" xfId="9" applyNumberFormat="1" applyFont="1" applyFill="1" applyBorder="1" applyAlignment="1">
      <alignment horizontal="right" vertical="top" wrapText="1"/>
    </xf>
    <xf numFmtId="43" fontId="4" fillId="0" borderId="1" xfId="12" applyFont="1" applyFill="1" applyBorder="1" applyAlignment="1">
      <alignment horizontal="right" vertical="top" wrapText="1"/>
    </xf>
    <xf numFmtId="2" fontId="4" fillId="0" borderId="1" xfId="12" applyNumberFormat="1" applyFont="1" applyFill="1" applyBorder="1" applyAlignment="1">
      <alignment horizontal="right" vertical="top" wrapText="1"/>
    </xf>
    <xf numFmtId="0" fontId="4" fillId="8" borderId="1" xfId="3" applyNumberFormat="1" applyFont="1" applyFill="1" applyBorder="1" applyAlignment="1" applyProtection="1">
      <alignment vertical="top"/>
    </xf>
    <xf numFmtId="164" fontId="4" fillId="12" borderId="1" xfId="1" applyFont="1" applyFill="1" applyBorder="1" applyAlignment="1" applyProtection="1">
      <alignment horizontal="right" vertical="top"/>
      <protection locked="0"/>
    </xf>
    <xf numFmtId="4" fontId="4" fillId="0" borderId="1" xfId="0" applyNumberFormat="1" applyFont="1" applyBorder="1" applyAlignment="1">
      <alignment vertical="top"/>
    </xf>
    <xf numFmtId="2" fontId="4" fillId="0" borderId="1" xfId="1" applyNumberFormat="1" applyFont="1" applyFill="1" applyBorder="1" applyAlignment="1" applyProtection="1">
      <alignment vertical="top"/>
      <protection locked="0"/>
    </xf>
    <xf numFmtId="0" fontId="4" fillId="8" borderId="1" xfId="3" applyNumberFormat="1" applyFont="1" applyFill="1" applyBorder="1" applyAlignment="1" applyProtection="1">
      <alignment vertical="top" wrapText="1"/>
    </xf>
    <xf numFmtId="164" fontId="4" fillId="0" borderId="0" xfId="1" applyFont="1" applyAlignment="1">
      <alignment horizontal="right" vertical="top"/>
    </xf>
    <xf numFmtId="4" fontId="4" fillId="0" borderId="0" xfId="0" applyNumberFormat="1" applyFont="1" applyAlignment="1">
      <alignment vertical="top"/>
    </xf>
    <xf numFmtId="4" fontId="4" fillId="0" borderId="26" xfId="0" applyNumberFormat="1" applyFont="1" applyBorder="1" applyAlignment="1">
      <alignment vertical="top"/>
    </xf>
    <xf numFmtId="2" fontId="4" fillId="0" borderId="27" xfId="1" applyNumberFormat="1" applyFont="1" applyFill="1" applyBorder="1" applyAlignment="1" applyProtection="1">
      <alignment horizontal="right" vertical="top"/>
      <protection locked="0"/>
    </xf>
    <xf numFmtId="2" fontId="4" fillId="0" borderId="20" xfId="1" applyNumberFormat="1" applyFont="1" applyFill="1" applyBorder="1" applyAlignment="1" applyProtection="1">
      <alignment horizontal="right" vertical="top"/>
      <protection locked="0"/>
    </xf>
    <xf numFmtId="4" fontId="4" fillId="0" borderId="27" xfId="0" applyNumberFormat="1" applyFont="1" applyBorder="1" applyAlignment="1">
      <alignment horizontal="right" vertical="top"/>
    </xf>
    <xf numFmtId="0" fontId="4" fillId="0" borderId="0" xfId="2" quotePrefix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165" fontId="5" fillId="0" borderId="0" xfId="2" quotePrefix="1" applyNumberFormat="1" applyFont="1" applyAlignment="1">
      <alignment horizontal="center" vertical="top"/>
    </xf>
    <xf numFmtId="164" fontId="4" fillId="0" borderId="0" xfId="1" applyFont="1" applyFill="1" applyBorder="1" applyAlignment="1">
      <alignment horizontal="center" vertical="top"/>
    </xf>
    <xf numFmtId="0" fontId="5" fillId="0" borderId="0" xfId="2" applyFont="1" applyAlignment="1">
      <alignment horizontal="right" vertical="top"/>
    </xf>
    <xf numFmtId="0" fontId="10" fillId="0" borderId="0" xfId="2" applyFont="1" applyAlignment="1">
      <alignment horizontal="right" vertical="top"/>
    </xf>
    <xf numFmtId="164" fontId="13" fillId="0" borderId="0" xfId="1" applyFont="1" applyAlignment="1">
      <alignment horizontal="center" vertical="top"/>
    </xf>
    <xf numFmtId="164" fontId="4" fillId="0" borderId="0" xfId="1" applyFont="1" applyFill="1" applyBorder="1" applyAlignment="1">
      <alignment horizontal="right" vertical="top"/>
    </xf>
    <xf numFmtId="164" fontId="9" fillId="0" borderId="0" xfId="1" applyFont="1" applyFill="1" applyBorder="1" applyAlignment="1">
      <alignment horizontal="right" vertical="top"/>
    </xf>
    <xf numFmtId="0" fontId="4" fillId="0" borderId="0" xfId="1" applyNumberFormat="1" applyFont="1" applyFill="1" applyBorder="1" applyAlignment="1">
      <alignment horizontal="center" vertical="top"/>
    </xf>
    <xf numFmtId="0" fontId="4" fillId="0" borderId="0" xfId="1" applyNumberFormat="1" applyFont="1" applyFill="1" applyBorder="1" applyAlignment="1">
      <alignment horizontal="right" vertical="top"/>
    </xf>
    <xf numFmtId="0" fontId="9" fillId="0" borderId="0" xfId="1" applyNumberFormat="1" applyFont="1" applyFill="1" applyBorder="1" applyAlignment="1">
      <alignment horizontal="right" vertical="top"/>
    </xf>
    <xf numFmtId="164" fontId="4" fillId="0" borderId="0" xfId="1" applyFont="1" applyFill="1" applyBorder="1" applyAlignment="1">
      <alignment horizontal="left" vertical="top"/>
    </xf>
    <xf numFmtId="0" fontId="6" fillId="0" borderId="0" xfId="2" applyFont="1" applyAlignment="1">
      <alignment vertical="top"/>
    </xf>
    <xf numFmtId="0" fontId="6" fillId="0" borderId="0" xfId="2" applyFont="1" applyAlignment="1">
      <alignment horizontal="center" vertical="top"/>
    </xf>
    <xf numFmtId="0" fontId="6" fillId="0" borderId="0" xfId="2" applyFont="1" applyAlignment="1">
      <alignment horizontal="left" vertical="top"/>
    </xf>
    <xf numFmtId="0" fontId="6" fillId="0" borderId="0" xfId="2" applyFont="1" applyAlignment="1">
      <alignment horizontal="right" vertical="top"/>
    </xf>
    <xf numFmtId="0" fontId="19" fillId="0" borderId="0" xfId="2" applyFont="1" applyAlignment="1">
      <alignment horizontal="right" vertical="top"/>
    </xf>
    <xf numFmtId="0" fontId="5" fillId="0" borderId="0" xfId="2" quotePrefix="1" applyFont="1" applyAlignment="1">
      <alignment horizontal="center" vertical="top"/>
    </xf>
    <xf numFmtId="0" fontId="7" fillId="0" borderId="0" xfId="2" applyFont="1" applyAlignment="1">
      <alignment horizontal="right" vertical="top"/>
    </xf>
    <xf numFmtId="0" fontId="7" fillId="0" borderId="0" xfId="2" applyFont="1" applyAlignment="1">
      <alignment horizontal="center" vertical="top"/>
    </xf>
    <xf numFmtId="164" fontId="7" fillId="0" borderId="0" xfId="1" applyFont="1" applyFill="1" applyBorder="1" applyAlignment="1">
      <alignment horizontal="center" vertical="top"/>
    </xf>
    <xf numFmtId="164" fontId="7" fillId="0" borderId="0" xfId="1" applyFont="1" applyFill="1" applyBorder="1" applyAlignment="1">
      <alignment horizontal="right" vertical="top"/>
    </xf>
    <xf numFmtId="164" fontId="5" fillId="0" borderId="0" xfId="3" applyFont="1" applyFill="1" applyBorder="1" applyAlignment="1">
      <alignment horizontal="right" vertical="top"/>
    </xf>
    <xf numFmtId="0" fontId="4" fillId="0" borderId="0" xfId="2" applyFont="1" applyAlignment="1">
      <alignment horizontal="left" vertical="top"/>
    </xf>
    <xf numFmtId="164" fontId="5" fillId="0" borderId="0" xfId="1" applyFont="1" applyFill="1" applyBorder="1" applyAlignment="1">
      <alignment horizontal="right" vertical="top"/>
    </xf>
    <xf numFmtId="0" fontId="21" fillId="5" borderId="21" xfId="0" applyFont="1" applyFill="1" applyBorder="1" applyAlignment="1">
      <alignment horizontal="center" vertical="top" wrapText="1"/>
    </xf>
    <xf numFmtId="164" fontId="21" fillId="5" borderId="18" xfId="1" applyFont="1" applyFill="1" applyBorder="1" applyAlignment="1">
      <alignment horizontal="right" vertical="top" wrapText="1"/>
    </xf>
    <xf numFmtId="164" fontId="21" fillId="5" borderId="19" xfId="1" applyFont="1" applyFill="1" applyBorder="1" applyAlignment="1">
      <alignment horizontal="center" vertical="top" wrapText="1"/>
    </xf>
    <xf numFmtId="0" fontId="20" fillId="0" borderId="20" xfId="2" quotePrefix="1" applyFont="1" applyBorder="1" applyAlignment="1">
      <alignment horizontal="center" vertical="center"/>
    </xf>
    <xf numFmtId="0" fontId="20" fillId="0" borderId="17" xfId="0" applyFont="1" applyBorder="1" applyAlignment="1">
      <alignment horizontal="left" vertical="center"/>
    </xf>
    <xf numFmtId="0" fontId="20" fillId="0" borderId="17" xfId="0" applyFont="1" applyBorder="1" applyAlignment="1">
      <alignment horizontal="center" vertical="center"/>
    </xf>
    <xf numFmtId="165" fontId="20" fillId="0" borderId="17" xfId="0" applyNumberFormat="1" applyFont="1" applyBorder="1" applyAlignment="1">
      <alignment horizontal="center" vertical="center"/>
    </xf>
    <xf numFmtId="0" fontId="20" fillId="0" borderId="17" xfId="2" applyFont="1" applyBorder="1" applyAlignment="1" applyProtection="1">
      <alignment horizontal="center" vertical="center"/>
      <protection locked="0"/>
    </xf>
    <xf numFmtId="4" fontId="20" fillId="0" borderId="17" xfId="2" applyNumberFormat="1" applyFont="1" applyBorder="1" applyAlignment="1">
      <alignment horizontal="center" vertical="center"/>
    </xf>
    <xf numFmtId="164" fontId="20" fillId="0" borderId="17" xfId="1" applyFont="1" applyFill="1" applyBorder="1" applyAlignment="1">
      <alignment horizontal="right" vertical="center"/>
    </xf>
    <xf numFmtId="2" fontId="20" fillId="0" borderId="17" xfId="1" applyNumberFormat="1" applyFont="1" applyFill="1" applyBorder="1" applyAlignment="1">
      <alignment horizontal="right" vertical="center"/>
    </xf>
    <xf numFmtId="164" fontId="20" fillId="0" borderId="17" xfId="1" applyFont="1" applyFill="1" applyBorder="1" applyAlignment="1">
      <alignment horizontal="center" vertical="center"/>
    </xf>
    <xf numFmtId="4" fontId="20" fillId="0" borderId="17" xfId="2" applyNumberFormat="1" applyFont="1" applyBorder="1"/>
    <xf numFmtId="0" fontId="20" fillId="0" borderId="0" xfId="2" applyFont="1" applyAlignment="1">
      <alignment vertical="center"/>
    </xf>
    <xf numFmtId="4" fontId="20" fillId="0" borderId="0" xfId="2" applyNumberFormat="1" applyFont="1" applyAlignment="1">
      <alignment vertical="center"/>
    </xf>
    <xf numFmtId="0" fontId="20" fillId="0" borderId="0" xfId="2" applyFont="1"/>
    <xf numFmtId="0" fontId="20" fillId="0" borderId="17" xfId="0" applyFont="1" applyBorder="1" applyAlignment="1">
      <alignment vertical="center"/>
    </xf>
    <xf numFmtId="0" fontId="20" fillId="0" borderId="9" xfId="2" quotePrefix="1" applyFont="1" applyBorder="1" applyAlignment="1">
      <alignment horizontal="center" vertical="center"/>
    </xf>
    <xf numFmtId="0" fontId="20" fillId="0" borderId="28" xfId="3" applyNumberFormat="1" applyFont="1" applyFill="1" applyBorder="1" applyAlignment="1" applyProtection="1">
      <alignment vertical="center"/>
    </xf>
    <xf numFmtId="0" fontId="20" fillId="0" borderId="28" xfId="2" applyFont="1" applyBorder="1" applyAlignment="1">
      <alignment horizontal="center" vertical="center"/>
    </xf>
    <xf numFmtId="165" fontId="20" fillId="0" borderId="28" xfId="0" applyNumberFormat="1" applyFont="1" applyBorder="1" applyAlignment="1">
      <alignment horizontal="center" vertical="center"/>
    </xf>
    <xf numFmtId="0" fontId="20" fillId="0" borderId="28" xfId="2" applyFont="1" applyBorder="1" applyAlignment="1" applyProtection="1">
      <alignment horizontal="center" vertical="center"/>
      <protection locked="0"/>
    </xf>
    <xf numFmtId="4" fontId="20" fillId="0" borderId="28" xfId="2" applyNumberFormat="1" applyFont="1" applyBorder="1" applyAlignment="1">
      <alignment horizontal="center" vertical="center"/>
    </xf>
    <xf numFmtId="164" fontId="20" fillId="0" borderId="28" xfId="1" applyFont="1" applyFill="1" applyBorder="1" applyAlignment="1">
      <alignment horizontal="right" vertical="center"/>
    </xf>
    <xf numFmtId="164" fontId="20" fillId="0" borderId="28" xfId="1" applyFont="1" applyFill="1" applyBorder="1" applyAlignment="1">
      <alignment horizontal="center" vertical="center"/>
    </xf>
    <xf numFmtId="4" fontId="20" fillId="0" borderId="28" xfId="2" applyNumberFormat="1" applyFont="1" applyBorder="1" applyAlignment="1">
      <alignment vertical="center"/>
    </xf>
    <xf numFmtId="0" fontId="20" fillId="0" borderId="0" xfId="2" applyFont="1" applyAlignment="1">
      <alignment vertical="top"/>
    </xf>
    <xf numFmtId="0" fontId="20" fillId="0" borderId="17" xfId="2" quotePrefix="1" applyFont="1" applyBorder="1" applyAlignment="1">
      <alignment horizontal="center" vertical="center"/>
    </xf>
    <xf numFmtId="4" fontId="20" fillId="0" borderId="17" xfId="2" applyNumberFormat="1" applyFont="1" applyBorder="1" applyAlignment="1">
      <alignment vertical="center"/>
    </xf>
    <xf numFmtId="0" fontId="22" fillId="0" borderId="20" xfId="2" quotePrefix="1" applyFont="1" applyBorder="1" applyAlignment="1">
      <alignment horizontal="center" vertical="center"/>
    </xf>
    <xf numFmtId="0" fontId="22" fillId="0" borderId="29" xfId="18" applyFont="1" applyBorder="1" applyAlignment="1">
      <alignment vertical="center"/>
    </xf>
    <xf numFmtId="0" fontId="22" fillId="0" borderId="29" xfId="18" applyFont="1" applyBorder="1" applyAlignment="1">
      <alignment horizontal="center" vertical="center"/>
    </xf>
    <xf numFmtId="165" fontId="22" fillId="0" borderId="29" xfId="2" quotePrefix="1" applyNumberFormat="1" applyFont="1" applyBorder="1" applyAlignment="1">
      <alignment horizontal="center" vertical="center"/>
    </xf>
    <xf numFmtId="0" fontId="20" fillId="0" borderId="29" xfId="1" applyNumberFormat="1" applyFont="1" applyFill="1" applyBorder="1" applyAlignment="1">
      <alignment horizontal="center" vertical="center"/>
    </xf>
    <xf numFmtId="2" fontId="22" fillId="0" borderId="29" xfId="1" applyNumberFormat="1" applyFont="1" applyFill="1" applyBorder="1" applyAlignment="1">
      <alignment horizontal="right"/>
    </xf>
    <xf numFmtId="2" fontId="22" fillId="0" borderId="29" xfId="1" applyNumberFormat="1" applyFont="1" applyFill="1" applyBorder="1"/>
    <xf numFmtId="4" fontId="22" fillId="0" borderId="29" xfId="2" applyNumberFormat="1" applyFont="1" applyBorder="1"/>
    <xf numFmtId="0" fontId="21" fillId="0" borderId="0" xfId="2" applyFont="1"/>
    <xf numFmtId="0" fontId="22" fillId="0" borderId="17" xfId="19" applyFont="1" applyBorder="1" applyAlignment="1">
      <alignment horizontal="left" vertical="top"/>
    </xf>
    <xf numFmtId="0" fontId="22" fillId="0" borderId="17" xfId="18" applyFont="1" applyBorder="1" applyAlignment="1">
      <alignment horizontal="center" vertical="top"/>
    </xf>
    <xf numFmtId="165" fontId="22" fillId="0" borderId="17" xfId="2" quotePrefix="1" applyNumberFormat="1" applyFont="1" applyBorder="1" applyAlignment="1">
      <alignment horizontal="center" vertical="center"/>
    </xf>
    <xf numFmtId="0" fontId="22" fillId="0" borderId="17" xfId="1" applyNumberFormat="1" applyFont="1" applyFill="1" applyBorder="1" applyAlignment="1">
      <alignment horizontal="center" vertical="center"/>
    </xf>
    <xf numFmtId="0" fontId="22" fillId="0" borderId="17" xfId="18" applyFont="1" applyBorder="1" applyAlignment="1">
      <alignment horizontal="left" vertical="top"/>
    </xf>
    <xf numFmtId="2" fontId="22" fillId="0" borderId="17" xfId="1" applyNumberFormat="1" applyFont="1" applyFill="1" applyBorder="1" applyAlignment="1">
      <alignment horizontal="right" vertical="top"/>
    </xf>
    <xf numFmtId="4" fontId="22" fillId="0" borderId="17" xfId="2" applyNumberFormat="1" applyFont="1" applyBorder="1"/>
    <xf numFmtId="0" fontId="20" fillId="0" borderId="17" xfId="18" applyFont="1" applyBorder="1" applyAlignment="1">
      <alignment horizontal="left" vertical="center"/>
    </xf>
    <xf numFmtId="0" fontId="20" fillId="0" borderId="17" xfId="18" applyFont="1" applyBorder="1" applyAlignment="1">
      <alignment horizontal="center" vertical="center"/>
    </xf>
    <xf numFmtId="165" fontId="20" fillId="0" borderId="17" xfId="2" quotePrefix="1" applyNumberFormat="1" applyFont="1" applyBorder="1" applyAlignment="1">
      <alignment horizontal="center" vertical="center"/>
    </xf>
    <xf numFmtId="0" fontId="20" fillId="0" borderId="17" xfId="1" applyNumberFormat="1" applyFont="1" applyFill="1" applyBorder="1" applyAlignment="1">
      <alignment horizontal="center" vertical="center"/>
    </xf>
    <xf numFmtId="2" fontId="20" fillId="0" borderId="29" xfId="1" applyNumberFormat="1" applyFont="1" applyFill="1" applyBorder="1" applyAlignment="1">
      <alignment horizontal="right"/>
    </xf>
    <xf numFmtId="2" fontId="20" fillId="0" borderId="17" xfId="1" applyNumberFormat="1" applyFont="1" applyFill="1" applyBorder="1" applyAlignment="1">
      <alignment horizontal="right"/>
    </xf>
    <xf numFmtId="2" fontId="20" fillId="0" borderId="17" xfId="1" applyNumberFormat="1" applyFont="1" applyFill="1" applyBorder="1"/>
    <xf numFmtId="0" fontId="23" fillId="0" borderId="0" xfId="2" applyFont="1"/>
    <xf numFmtId="0" fontId="20" fillId="5" borderId="20" xfId="2" quotePrefix="1" applyFont="1" applyFill="1" applyBorder="1" applyAlignment="1">
      <alignment horizontal="center" vertical="center"/>
    </xf>
    <xf numFmtId="0" fontId="23" fillId="5" borderId="0" xfId="2" applyFont="1" applyFill="1"/>
    <xf numFmtId="0" fontId="22" fillId="0" borderId="17" xfId="18" applyFont="1" applyBorder="1" applyAlignment="1">
      <alignment horizontal="left" vertical="center"/>
    </xf>
    <xf numFmtId="0" fontId="22" fillId="0" borderId="17" xfId="18" applyFont="1" applyBorder="1" applyAlignment="1">
      <alignment horizontal="center" vertical="center"/>
    </xf>
    <xf numFmtId="2" fontId="22" fillId="0" borderId="17" xfId="1" applyNumberFormat="1" applyFont="1" applyFill="1" applyBorder="1" applyAlignment="1">
      <alignment horizontal="right" vertical="center"/>
    </xf>
    <xf numFmtId="0" fontId="22" fillId="13" borderId="20" xfId="2" quotePrefix="1" applyFont="1" applyFill="1" applyBorder="1" applyAlignment="1">
      <alignment horizontal="center" vertical="center"/>
    </xf>
    <xf numFmtId="0" fontId="21" fillId="13" borderId="0" xfId="2" applyFont="1" applyFill="1"/>
    <xf numFmtId="0" fontId="22" fillId="0" borderId="17" xfId="18" applyFont="1" applyBorder="1" applyAlignment="1">
      <alignment vertical="center"/>
    </xf>
    <xf numFmtId="2" fontId="22" fillId="0" borderId="17" xfId="1" applyNumberFormat="1" applyFont="1" applyFill="1" applyBorder="1" applyAlignment="1">
      <alignment horizontal="right"/>
    </xf>
    <xf numFmtId="2" fontId="22" fillId="0" borderId="17" xfId="1" applyNumberFormat="1" applyFont="1" applyFill="1" applyBorder="1"/>
    <xf numFmtId="0" fontId="22" fillId="5" borderId="20" xfId="2" quotePrefix="1" applyFont="1" applyFill="1" applyBorder="1" applyAlignment="1">
      <alignment horizontal="center" vertical="center"/>
    </xf>
    <xf numFmtId="0" fontId="21" fillId="5" borderId="0" xfId="2" applyFont="1" applyFill="1"/>
    <xf numFmtId="0" fontId="22" fillId="0" borderId="17" xfId="0" applyFont="1" applyBorder="1" applyAlignment="1">
      <alignment horizontal="left" vertical="top"/>
    </xf>
    <xf numFmtId="0" fontId="22" fillId="0" borderId="17" xfId="0" quotePrefix="1" applyFont="1" applyBorder="1" applyAlignment="1">
      <alignment horizontal="center" vertical="top"/>
    </xf>
    <xf numFmtId="0" fontId="20" fillId="0" borderId="17" xfId="18" applyFont="1" applyBorder="1" applyAlignment="1">
      <alignment horizontal="left" vertical="top"/>
    </xf>
    <xf numFmtId="0" fontId="20" fillId="0" borderId="17" xfId="18" applyFont="1" applyBorder="1" applyAlignment="1">
      <alignment horizontal="center" vertical="top"/>
    </xf>
    <xf numFmtId="2" fontId="20" fillId="0" borderId="17" xfId="1" applyNumberFormat="1" applyFont="1" applyFill="1" applyBorder="1" applyAlignment="1">
      <alignment horizontal="right" vertical="top"/>
    </xf>
    <xf numFmtId="0" fontId="20" fillId="0" borderId="17" xfId="19" applyFont="1" applyBorder="1" applyAlignment="1">
      <alignment horizontal="left" vertical="top"/>
    </xf>
    <xf numFmtId="0" fontId="20" fillId="0" borderId="17" xfId="18" applyFont="1" applyBorder="1" applyAlignment="1">
      <alignment vertical="center"/>
    </xf>
    <xf numFmtId="0" fontId="20" fillId="0" borderId="17" xfId="18" applyFont="1" applyBorder="1" applyAlignment="1">
      <alignment horizontal="left" vertical="center" wrapText="1"/>
    </xf>
    <xf numFmtId="0" fontId="20" fillId="0" borderId="17" xfId="18" applyFont="1" applyBorder="1" applyAlignment="1">
      <alignment horizontal="center" vertical="center" wrapText="1"/>
    </xf>
    <xf numFmtId="0" fontId="22" fillId="0" borderId="31" xfId="2" quotePrefix="1" applyFont="1" applyBorder="1" applyAlignment="1">
      <alignment horizontal="center" vertical="center"/>
    </xf>
    <xf numFmtId="4" fontId="22" fillId="0" borderId="29" xfId="2" applyNumberFormat="1" applyFont="1" applyBorder="1" applyAlignment="1">
      <alignment horizontal="center" vertical="center"/>
    </xf>
    <xf numFmtId="164" fontId="22" fillId="0" borderId="29" xfId="1" applyFont="1" applyBorder="1" applyAlignment="1">
      <alignment horizontal="right" vertical="center"/>
    </xf>
    <xf numFmtId="164" fontId="22" fillId="0" borderId="29" xfId="1" applyFont="1" applyFill="1" applyBorder="1" applyAlignment="1">
      <alignment horizontal="right" vertical="center"/>
    </xf>
    <xf numFmtId="164" fontId="22" fillId="0" borderId="29" xfId="1" applyFont="1" applyFill="1" applyBorder="1" applyAlignment="1">
      <alignment horizontal="center" vertical="center"/>
    </xf>
    <xf numFmtId="0" fontId="22" fillId="0" borderId="0" xfId="2" applyFont="1"/>
    <xf numFmtId="4" fontId="22" fillId="0" borderId="17" xfId="2" applyNumberFormat="1" applyFont="1" applyBorder="1" applyAlignment="1">
      <alignment horizontal="center" vertical="center"/>
    </xf>
    <xf numFmtId="164" fontId="22" fillId="0" borderId="17" xfId="1" applyFont="1" applyBorder="1" applyAlignment="1">
      <alignment horizontal="right" vertical="center"/>
    </xf>
    <xf numFmtId="164" fontId="22" fillId="0" borderId="17" xfId="1" applyFont="1" applyFill="1" applyBorder="1" applyAlignment="1">
      <alignment horizontal="right" vertical="center"/>
    </xf>
    <xf numFmtId="164" fontId="22" fillId="0" borderId="17" xfId="1" applyFont="1" applyFill="1" applyBorder="1" applyAlignment="1">
      <alignment horizontal="center" vertical="center"/>
    </xf>
    <xf numFmtId="0" fontId="22" fillId="0" borderId="17" xfId="3" applyNumberFormat="1" applyFont="1" applyFill="1" applyBorder="1" applyAlignment="1" applyProtection="1">
      <alignment vertical="center"/>
    </xf>
    <xf numFmtId="0" fontId="22" fillId="0" borderId="17" xfId="3" applyNumberFormat="1" applyFont="1" applyFill="1" applyBorder="1" applyAlignment="1" applyProtection="1">
      <alignment vertical="center" wrapText="1"/>
    </xf>
    <xf numFmtId="0" fontId="22" fillId="0" borderId="0" xfId="2" applyFont="1" applyAlignment="1">
      <alignment vertical="center"/>
    </xf>
    <xf numFmtId="4" fontId="22" fillId="0" borderId="0" xfId="2" applyNumberFormat="1" applyFont="1" applyAlignment="1">
      <alignment vertical="center"/>
    </xf>
    <xf numFmtId="4" fontId="22" fillId="0" borderId="30" xfId="2" applyNumberFormat="1" applyFont="1" applyBorder="1" applyAlignment="1">
      <alignment horizontal="center" vertical="center"/>
    </xf>
    <xf numFmtId="164" fontId="22" fillId="0" borderId="30" xfId="1" applyFont="1" applyBorder="1" applyAlignment="1">
      <alignment horizontal="right" vertical="center"/>
    </xf>
    <xf numFmtId="164" fontId="22" fillId="0" borderId="30" xfId="1" applyFont="1" applyFill="1" applyBorder="1" applyAlignment="1">
      <alignment horizontal="right" vertical="center"/>
    </xf>
    <xf numFmtId="164" fontId="22" fillId="0" borderId="30" xfId="1" applyFont="1" applyFill="1" applyBorder="1" applyAlignment="1">
      <alignment horizontal="center" vertical="center"/>
    </xf>
    <xf numFmtId="4" fontId="22" fillId="0" borderId="30" xfId="2" applyNumberFormat="1" applyFont="1" applyBorder="1"/>
    <xf numFmtId="0" fontId="21" fillId="0" borderId="0" xfId="2" applyFont="1" applyAlignment="1">
      <alignment horizontal="left"/>
    </xf>
    <xf numFmtId="0" fontId="21" fillId="0" borderId="3" xfId="2" applyFont="1" applyBorder="1" applyAlignment="1">
      <alignment horizontal="left"/>
    </xf>
    <xf numFmtId="0" fontId="23" fillId="0" borderId="0" xfId="2" applyFont="1" applyAlignment="1">
      <alignment horizontal="left"/>
    </xf>
    <xf numFmtId="164" fontId="21" fillId="0" borderId="0" xfId="1" applyFont="1" applyAlignment="1">
      <alignment horizontal="right"/>
    </xf>
    <xf numFmtId="164" fontId="21" fillId="0" borderId="0" xfId="1" applyFont="1" applyFill="1" applyAlignment="1">
      <alignment horizontal="right"/>
    </xf>
    <xf numFmtId="164" fontId="21" fillId="0" borderId="0" xfId="1" applyFont="1" applyAlignment="1">
      <alignment horizontal="left"/>
    </xf>
    <xf numFmtId="0" fontId="21" fillId="0" borderId="0" xfId="2" applyFont="1" applyAlignment="1">
      <alignment horizontal="center" vertical="center"/>
    </xf>
    <xf numFmtId="17" fontId="26" fillId="0" borderId="0" xfId="2" applyNumberFormat="1" applyFont="1" applyAlignment="1">
      <alignment vertical="center"/>
    </xf>
    <xf numFmtId="17" fontId="26" fillId="0" borderId="0" xfId="2" quotePrefix="1" applyNumberFormat="1" applyFont="1" applyAlignment="1">
      <alignment horizontal="center" vertical="center"/>
    </xf>
    <xf numFmtId="0" fontId="21" fillId="0" borderId="0" xfId="2" applyFont="1" applyAlignment="1">
      <alignment vertical="center"/>
    </xf>
    <xf numFmtId="164" fontId="21" fillId="0" borderId="0" xfId="1" applyFont="1" applyAlignment="1">
      <alignment horizontal="right" vertical="center"/>
    </xf>
    <xf numFmtId="164" fontId="21" fillId="0" borderId="0" xfId="1" applyFont="1" applyFill="1" applyAlignment="1">
      <alignment horizontal="right" vertical="center"/>
    </xf>
    <xf numFmtId="164" fontId="21" fillId="0" borderId="0" xfId="1" applyFont="1" applyAlignment="1">
      <alignment vertical="center"/>
    </xf>
    <xf numFmtId="0" fontId="21" fillId="4" borderId="8" xfId="2" applyFont="1" applyFill="1" applyBorder="1" applyAlignment="1">
      <alignment horizontal="center" vertical="top"/>
    </xf>
    <xf numFmtId="0" fontId="21" fillId="4" borderId="8" xfId="2" applyFont="1" applyFill="1" applyBorder="1" applyAlignment="1">
      <alignment horizontal="center" vertical="top" wrapText="1"/>
    </xf>
    <xf numFmtId="0" fontId="21" fillId="6" borderId="6" xfId="2" applyFont="1" applyFill="1" applyBorder="1" applyAlignment="1">
      <alignment horizontal="center" vertical="top" wrapText="1"/>
    </xf>
    <xf numFmtId="0" fontId="23" fillId="2" borderId="7" xfId="2" applyFont="1" applyFill="1" applyBorder="1" applyAlignment="1">
      <alignment horizontal="center" vertical="top" wrapText="1"/>
    </xf>
    <xf numFmtId="0" fontId="27" fillId="10" borderId="0" xfId="2" applyFont="1" applyFill="1" applyAlignment="1">
      <alignment horizontal="center" vertical="top"/>
    </xf>
    <xf numFmtId="0" fontId="21" fillId="0" borderId="0" xfId="2" applyFont="1" applyAlignment="1">
      <alignment vertical="top"/>
    </xf>
    <xf numFmtId="0" fontId="20" fillId="0" borderId="17" xfId="0" applyFont="1" applyBorder="1" applyAlignment="1">
      <alignment vertical="top"/>
    </xf>
    <xf numFmtId="0" fontId="20" fillId="0" borderId="17" xfId="0" applyFont="1" applyBorder="1" applyAlignment="1">
      <alignment horizontal="center" vertical="top"/>
    </xf>
    <xf numFmtId="0" fontId="22" fillId="0" borderId="0" xfId="2" quotePrefix="1" applyFont="1" applyAlignment="1">
      <alignment horizontal="center" vertic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center"/>
    </xf>
    <xf numFmtId="165" fontId="21" fillId="0" borderId="0" xfId="2" quotePrefix="1" applyNumberFormat="1" applyFont="1" applyAlignment="1">
      <alignment horizontal="center" vertical="center"/>
    </xf>
    <xf numFmtId="0" fontId="20" fillId="0" borderId="0" xfId="1" applyNumberFormat="1" applyFont="1" applyFill="1" applyBorder="1" applyAlignment="1">
      <alignment horizontal="center" vertical="center"/>
    </xf>
    <xf numFmtId="164" fontId="21" fillId="0" borderId="0" xfId="1" applyFont="1"/>
    <xf numFmtId="4" fontId="22" fillId="0" borderId="0" xfId="2" applyNumberFormat="1" applyFont="1"/>
    <xf numFmtId="0" fontId="22" fillId="0" borderId="0" xfId="2" applyFont="1" applyAlignment="1">
      <alignment horizontal="center" vertical="center"/>
    </xf>
    <xf numFmtId="0" fontId="22" fillId="0" borderId="0" xfId="2" applyFont="1" applyAlignment="1">
      <alignment horizontal="center"/>
    </xf>
    <xf numFmtId="0" fontId="20" fillId="0" borderId="0" xfId="2" applyFont="1" applyAlignment="1">
      <alignment horizontal="center"/>
    </xf>
    <xf numFmtId="164" fontId="22" fillId="0" borderId="0" xfId="1" applyFont="1" applyAlignment="1">
      <alignment horizontal="right"/>
    </xf>
    <xf numFmtId="164" fontId="22" fillId="0" borderId="0" xfId="1" applyFont="1" applyFill="1" applyAlignment="1">
      <alignment horizontal="right"/>
    </xf>
    <xf numFmtId="164" fontId="22" fillId="0" borderId="0" xfId="1" applyFont="1" applyAlignment="1">
      <alignment horizontal="center"/>
    </xf>
    <xf numFmtId="0" fontId="21" fillId="0" borderId="0" xfId="2" quotePrefix="1" applyFont="1" applyAlignment="1">
      <alignment horizontal="center" vertical="center"/>
    </xf>
    <xf numFmtId="0" fontId="21" fillId="0" borderId="0" xfId="2" applyFont="1" applyAlignment="1">
      <alignment horizontal="right"/>
    </xf>
    <xf numFmtId="0" fontId="21" fillId="0" borderId="0" xfId="2" applyFont="1" applyAlignment="1">
      <alignment horizontal="center"/>
    </xf>
    <xf numFmtId="0" fontId="23" fillId="0" borderId="0" xfId="2" applyFont="1" applyAlignment="1">
      <alignment horizontal="center"/>
    </xf>
    <xf numFmtId="164" fontId="21" fillId="0" borderId="0" xfId="1" applyFont="1" applyAlignment="1">
      <alignment horizontal="center"/>
    </xf>
    <xf numFmtId="0" fontId="23" fillId="0" borderId="0" xfId="1" applyNumberFormat="1" applyFont="1" applyFill="1" applyBorder="1" applyAlignment="1">
      <alignment horizontal="center"/>
    </xf>
    <xf numFmtId="164" fontId="22" fillId="0" borderId="0" xfId="1" applyFont="1"/>
    <xf numFmtId="0" fontId="22" fillId="0" borderId="0" xfId="2" applyFont="1" applyAlignment="1">
      <alignment horizontal="right"/>
    </xf>
    <xf numFmtId="0" fontId="22" fillId="0" borderId="2" xfId="2" applyFont="1" applyBorder="1" applyAlignment="1">
      <alignment horizontal="left" vertical="center"/>
    </xf>
    <xf numFmtId="0" fontId="22" fillId="0" borderId="3" xfId="2" applyFont="1" applyBorder="1" applyAlignment="1">
      <alignment horizontal="left" vertical="center"/>
    </xf>
    <xf numFmtId="4" fontId="21" fillId="0" borderId="0" xfId="2" applyNumberFormat="1" applyFont="1"/>
    <xf numFmtId="0" fontId="22" fillId="0" borderId="3" xfId="2" applyFont="1" applyBorder="1" applyAlignment="1">
      <alignment horizontal="center" vertical="center"/>
    </xf>
    <xf numFmtId="2" fontId="22" fillId="0" borderId="17" xfId="1" applyNumberFormat="1" applyFont="1" applyFill="1" applyBorder="1" applyAlignment="1">
      <alignment vertical="top"/>
    </xf>
    <xf numFmtId="0" fontId="22" fillId="0" borderId="17" xfId="0" applyFont="1" applyBorder="1" applyAlignment="1">
      <alignment horizontal="center" vertical="top"/>
    </xf>
    <xf numFmtId="0" fontId="22" fillId="0" borderId="17" xfId="18" applyFont="1" applyBorder="1" applyAlignment="1">
      <alignment horizontal="left" vertical="center" wrapText="1"/>
    </xf>
    <xf numFmtId="0" fontId="22" fillId="0" borderId="17" xfId="18" applyFont="1" applyBorder="1" applyAlignment="1">
      <alignment horizontal="center" vertical="center" wrapText="1"/>
    </xf>
    <xf numFmtId="0" fontId="22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165" fontId="22" fillId="0" borderId="29" xfId="0" applyNumberFormat="1" applyFont="1" applyBorder="1" applyAlignment="1">
      <alignment horizontal="center" vertical="center"/>
    </xf>
    <xf numFmtId="0" fontId="22" fillId="0" borderId="17" xfId="0" applyFont="1" applyBorder="1" applyAlignment="1">
      <alignment vertical="center"/>
    </xf>
    <xf numFmtId="0" fontId="22" fillId="0" borderId="17" xfId="0" applyFont="1" applyBorder="1" applyAlignment="1">
      <alignment horizontal="center" vertical="center"/>
    </xf>
    <xf numFmtId="165" fontId="22" fillId="0" borderId="17" xfId="0" applyNumberFormat="1" applyFont="1" applyBorder="1" applyAlignment="1">
      <alignment horizontal="center" vertical="center"/>
    </xf>
    <xf numFmtId="0" fontId="22" fillId="0" borderId="17" xfId="2" applyFont="1" applyBorder="1" applyAlignment="1">
      <alignment horizontal="center" vertical="center"/>
    </xf>
    <xf numFmtId="0" fontId="22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165" fontId="22" fillId="0" borderId="30" xfId="0" applyNumberFormat="1" applyFont="1" applyBorder="1" applyAlignment="1">
      <alignment horizontal="center" vertical="center"/>
    </xf>
    <xf numFmtId="0" fontId="22" fillId="0" borderId="29" xfId="2" applyFont="1" applyBorder="1" applyAlignment="1" applyProtection="1">
      <alignment horizontal="center" vertical="center"/>
      <protection locked="0"/>
    </xf>
    <xf numFmtId="0" fontId="22" fillId="0" borderId="17" xfId="2" applyFont="1" applyBorder="1" applyAlignment="1" applyProtection="1">
      <alignment horizontal="center" vertical="center"/>
      <protection locked="0"/>
    </xf>
    <xf numFmtId="0" fontId="22" fillId="0" borderId="30" xfId="2" applyFont="1" applyBorder="1" applyAlignment="1" applyProtection="1">
      <alignment horizontal="center" vertical="center"/>
      <protection locked="0"/>
    </xf>
    <xf numFmtId="0" fontId="22" fillId="0" borderId="29" xfId="2" applyFont="1" applyBorder="1" applyAlignment="1">
      <alignment horizontal="center"/>
    </xf>
    <xf numFmtId="0" fontId="20" fillId="0" borderId="17" xfId="2" applyFont="1" applyBorder="1" applyAlignment="1">
      <alignment horizontal="center"/>
    </xf>
    <xf numFmtId="0" fontId="24" fillId="10" borderId="17" xfId="2" applyFont="1" applyFill="1" applyBorder="1" applyAlignment="1">
      <alignment horizontal="center"/>
    </xf>
    <xf numFmtId="0" fontId="24" fillId="10" borderId="17" xfId="18" applyFont="1" applyFill="1" applyBorder="1" applyAlignment="1">
      <alignment horizontal="center" vertical="top"/>
    </xf>
    <xf numFmtId="0" fontId="22" fillId="0" borderId="17" xfId="2" applyFont="1" applyBorder="1" applyAlignment="1">
      <alignment horizontal="center"/>
    </xf>
    <xf numFmtId="0" fontId="25" fillId="10" borderId="17" xfId="18" applyFont="1" applyFill="1" applyBorder="1" applyAlignment="1">
      <alignment horizontal="center" vertical="top"/>
    </xf>
    <xf numFmtId="0" fontId="5" fillId="5" borderId="5" xfId="2" applyFont="1" applyFill="1" applyBorder="1" applyAlignment="1">
      <alignment horizontal="center" vertical="top"/>
    </xf>
    <xf numFmtId="0" fontId="5" fillId="5" borderId="4" xfId="2" applyFont="1" applyFill="1" applyBorder="1" applyAlignment="1">
      <alignment horizontal="center" vertical="top"/>
    </xf>
    <xf numFmtId="0" fontId="6" fillId="0" borderId="2" xfId="2" applyFont="1" applyBorder="1" applyAlignment="1">
      <alignment horizontal="left" vertical="top"/>
    </xf>
    <xf numFmtId="0" fontId="7" fillId="0" borderId="2" xfId="2" applyFont="1" applyBorder="1" applyAlignment="1">
      <alignment horizontal="left" vertical="top"/>
    </xf>
    <xf numFmtId="0" fontId="7" fillId="0" borderId="3" xfId="2" applyFont="1" applyBorder="1" applyAlignment="1">
      <alignment horizontal="left" vertical="top"/>
    </xf>
    <xf numFmtId="164" fontId="5" fillId="5" borderId="5" xfId="1" applyFont="1" applyFill="1" applyBorder="1" applyAlignment="1">
      <alignment horizontal="center" vertical="top"/>
    </xf>
    <xf numFmtId="0" fontId="6" fillId="0" borderId="3" xfId="2" applyFont="1" applyBorder="1" applyAlignment="1">
      <alignment horizontal="center" vertical="top"/>
    </xf>
    <xf numFmtId="164" fontId="5" fillId="5" borderId="5" xfId="3" applyFont="1" applyFill="1" applyBorder="1" applyAlignment="1">
      <alignment horizontal="center" vertical="top"/>
    </xf>
    <xf numFmtId="164" fontId="5" fillId="5" borderId="4" xfId="3" applyFont="1" applyFill="1" applyBorder="1" applyAlignment="1">
      <alignment horizontal="center" vertical="top"/>
    </xf>
    <xf numFmtId="164" fontId="5" fillId="5" borderId="4" xfId="1" applyFont="1" applyFill="1" applyBorder="1" applyAlignment="1">
      <alignment horizontal="center" vertical="top"/>
    </xf>
    <xf numFmtId="0" fontId="6" fillId="0" borderId="3" xfId="2" applyFont="1" applyBorder="1" applyAlignment="1">
      <alignment horizontal="left" vertical="top"/>
    </xf>
    <xf numFmtId="0" fontId="7" fillId="0" borderId="0" xfId="2" applyFont="1" applyAlignment="1">
      <alignment horizontal="center" vertical="top"/>
    </xf>
  </cellXfs>
  <cellStyles count="49">
    <cellStyle name="Comma" xfId="1" builtinId="3"/>
    <cellStyle name="Comma [0] 2" xfId="41" xr:uid="{E619B5A5-CCB9-4D03-A412-0924C177E28F}"/>
    <cellStyle name="Comma [0] 4" xfId="40" xr:uid="{F7135600-5BAA-43FA-ABA9-D410AC09981A}"/>
    <cellStyle name="Comma 107" xfId="45" xr:uid="{5F5FFB98-5B9F-4A21-90BE-A0F404856180}"/>
    <cellStyle name="Comma 109" xfId="46" xr:uid="{EC8D0991-6F0C-46A3-B496-FBF1B0710BA9}"/>
    <cellStyle name="Comma 127" xfId="13" xr:uid="{AEF4B14C-BE9A-42CD-B8A8-2937D5250BE0}"/>
    <cellStyle name="Comma 2" xfId="3" xr:uid="{00000000-0005-0000-0000-000001000000}"/>
    <cellStyle name="Comma 2 2" xfId="4" xr:uid="{00000000-0005-0000-0000-000002000000}"/>
    <cellStyle name="Comma 2 5 5 2" xfId="12" xr:uid="{116127EA-29F4-4314-8EC5-4A27D33D26D0}"/>
    <cellStyle name="Comma 2 5 8" xfId="9" xr:uid="{D9476BC1-65EA-4FA6-944A-50716B2911EE}"/>
    <cellStyle name="Comma 26" xfId="8" xr:uid="{29B76DCC-CE27-43EC-9F54-7E2108416C72}"/>
    <cellStyle name="Comma 29" xfId="11" xr:uid="{4304C1F9-79E9-4716-8CB0-B6EF982D0E5D}"/>
    <cellStyle name="Comma 3" xfId="7" xr:uid="{C6EB4EA1-C0F1-4EC4-BD1D-8DD970754877}"/>
    <cellStyle name="Comma 3 2" xfId="27" xr:uid="{72CC27B0-8B36-4744-B67C-085183A0B153}"/>
    <cellStyle name="Comma 3 3 4" xfId="48" xr:uid="{D0625499-B851-4FBF-9306-CC577C635464}"/>
    <cellStyle name="Comma 64" xfId="33" xr:uid="{16834986-79B2-4D77-9623-ABB4662B1177}"/>
    <cellStyle name="Comma 7" xfId="43" xr:uid="{205781DE-9DF4-408F-B830-B259BF0F9F8E}"/>
    <cellStyle name="Normal" xfId="0" builtinId="0"/>
    <cellStyle name="Normal 101" xfId="26" xr:uid="{CC0CAA48-C297-44F4-B306-1DB92B954527}"/>
    <cellStyle name="Normal 119" xfId="24" xr:uid="{5C5FA309-1126-4053-AA96-AA1FBFC6CAAD}"/>
    <cellStyle name="Normal 12" xfId="18" xr:uid="{96913F15-CF38-4A56-9DE5-77D6D7D2D760}"/>
    <cellStyle name="Normal 120" xfId="25" xr:uid="{9AD01521-F92F-4B47-8F59-812E1C59119D}"/>
    <cellStyle name="Normal 138" xfId="38" xr:uid="{D14771E1-D3EA-461F-A857-0C8E50663177}"/>
    <cellStyle name="Normal 139" xfId="39" xr:uid="{55333642-9323-42D3-8CB2-B851F2DEC410}"/>
    <cellStyle name="Normal 14" xfId="19" xr:uid="{2D5935F9-664D-4BB4-B7CF-809D52AB68C8}"/>
    <cellStyle name="Normal 146" xfId="28" xr:uid="{F166E0E7-8E8D-4746-A56C-C7ED23C5AA55}"/>
    <cellStyle name="Normal 147" xfId="29" xr:uid="{DEF48EE5-29C4-4CC8-9DD8-7E55F7EA1134}"/>
    <cellStyle name="Normal 149" xfId="30" xr:uid="{B3E4B486-DDE5-4E40-8EB0-13A8C9C282F8}"/>
    <cellStyle name="Normal 154" xfId="36" xr:uid="{1EF4E851-705E-4F10-95E1-EA0DE1D5F56A}"/>
    <cellStyle name="Normal 155" xfId="37" xr:uid="{4F60F097-B8E0-479B-A504-9A675507A78A}"/>
    <cellStyle name="Normal 19" xfId="10" xr:uid="{FB34420D-7B99-469A-99FA-A65408C019CA}"/>
    <cellStyle name="Normal 2" xfId="2" xr:uid="{00000000-0005-0000-0000-000004000000}"/>
    <cellStyle name="Normal 2 10" xfId="14" xr:uid="{A317B9DB-987D-484D-B8E6-EFEE30D5FC99}"/>
    <cellStyle name="Normal 2 2" xfId="5" xr:uid="{00000000-0005-0000-0000-000005000000}"/>
    <cellStyle name="Normal 3" xfId="16" xr:uid="{EEE3766A-C377-404A-AE6A-5369C1BFC66C}"/>
    <cellStyle name="Normal 4" xfId="6" xr:uid="{00000000-0005-0000-0000-000006000000}"/>
    <cellStyle name="Normal 4 5" xfId="47" xr:uid="{B47A321C-C99A-4464-B05C-5E2DF4DD4F04}"/>
    <cellStyle name="Normal 72" xfId="31" xr:uid="{FA522939-3C29-47BC-A1FC-149CF4405079}"/>
    <cellStyle name="Normal 73" xfId="32" xr:uid="{2640BAE0-7281-4160-A7A3-C122477868A2}"/>
    <cellStyle name="Normal 76" xfId="34" xr:uid="{F815CC85-4089-4AAC-942D-4C78561BE868}"/>
    <cellStyle name="Normal 77" xfId="35" xr:uid="{5CEE40EB-669C-4C18-930E-1F88711289F9}"/>
    <cellStyle name="Normal 92" xfId="20" xr:uid="{F7C0B012-E073-4A91-BE4D-24C77405DF2D}"/>
    <cellStyle name="Normal 94" xfId="21" xr:uid="{EE9DDB4F-A216-4097-91E3-073B491B34D7}"/>
    <cellStyle name="Normal 95" xfId="22" xr:uid="{7108374E-F375-44EC-B129-F14A7EFAAA87}"/>
    <cellStyle name="Normal 96" xfId="23" xr:uid="{4C0DE107-6BB4-416D-808A-CF69952BC78D}"/>
    <cellStyle name="Percent" xfId="15" builtinId="5"/>
    <cellStyle name="Percent 2" xfId="17" xr:uid="{82A2AB7A-1660-4CAC-A2DE-B2D2D30800C6}"/>
    <cellStyle name="Percent 2 2" xfId="42" xr:uid="{BCB27E4D-3B89-47BA-AF60-E199ADBC26D5}"/>
    <cellStyle name="Percent 2 2 2" xfId="44" xr:uid="{75602AFA-7216-4814-9AA8-033385E9FB7D}"/>
  </cellStyles>
  <dxfs count="0"/>
  <tableStyles count="0" defaultTableStyle="TableStyleMedium9" defaultPivotStyle="PivotStyleLight16"/>
  <colors>
    <mruColors>
      <color rgb="FFFFFF99"/>
      <color rgb="FF0000FF"/>
      <color rgb="FFFF00FF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1</xdr:rowOff>
    </xdr:from>
    <xdr:to>
      <xdr:col>12</xdr:col>
      <xdr:colOff>134455</xdr:colOff>
      <xdr:row>23</xdr:row>
      <xdr:rowOff>30481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901DA5-0A68-4DF7-B897-7356B3487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182881"/>
          <a:ext cx="4401655" cy="4053840"/>
        </a:xfrm>
        <a:prstGeom prst="rect">
          <a:avLst/>
        </a:prstGeom>
      </xdr:spPr>
    </xdr:pic>
    <xdr:clientData/>
  </xdr:twoCellAnchor>
  <xdr:twoCellAnchor editAs="oneCell">
    <xdr:from>
      <xdr:col>5</xdr:col>
      <xdr:colOff>22861</xdr:colOff>
      <xdr:row>25</xdr:row>
      <xdr:rowOff>1</xdr:rowOff>
    </xdr:from>
    <xdr:to>
      <xdr:col>12</xdr:col>
      <xdr:colOff>45721</xdr:colOff>
      <xdr:row>50</xdr:row>
      <xdr:rowOff>106681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9B430A-9107-433A-8A55-EB1B1B94A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70861" y="4572001"/>
          <a:ext cx="4290060" cy="467868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</xdr:row>
      <xdr:rowOff>0</xdr:rowOff>
    </xdr:from>
    <xdr:to>
      <xdr:col>17</xdr:col>
      <xdr:colOff>106680</xdr:colOff>
      <xdr:row>25</xdr:row>
      <xdr:rowOff>137160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DD19C4B-A19A-42C1-B175-7B34E9614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24800" y="182880"/>
          <a:ext cx="2545080" cy="452628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yahidhalid\Syahid_PC\Analytics%20-%20ITD\10.%20Python%20-%20ARRD%20Upload\ARRD-MIA&amp;amp;RATE%20OCT25.xlsx" TargetMode="External"/><Relationship Id="rId1" Type="http://schemas.openxmlformats.org/officeDocument/2006/relationships/externalLinkPath" Target="/sites/Division-SpecialProject/Shared%20Documents/000%20Data%20to%20CCRIS/01(11).%20DATA%202025/ARRD-MIA&amp;amp;RATE%20OCT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A&amp;RATE-CONV-OCT25"/>
      <sheetName val="MIA&amp;RATE-ISLAMIC-OCT25"/>
    </sheetNames>
    <sheetDataSet>
      <sheetData sheetId="0">
        <row r="6">
          <cell r="D6" t="str">
            <v>CODE</v>
          </cell>
          <cell r="E6" t="str">
            <v>Effective cost of borrowings</v>
          </cell>
          <cell r="F6" t="str">
            <v>Interest Margin</v>
          </cell>
          <cell r="G6" t="str">
            <v>Profit/Interest Rate</v>
          </cell>
          <cell r="H6" t="str">
            <v>Penalty Rate</v>
          </cell>
        </row>
        <row r="8">
          <cell r="D8">
            <v>500758</v>
          </cell>
          <cell r="E8" t="str">
            <v>FIXED</v>
          </cell>
          <cell r="F8">
            <v>0</v>
          </cell>
          <cell r="G8">
            <v>3</v>
          </cell>
          <cell r="H8">
            <v>0.01</v>
          </cell>
        </row>
        <row r="9">
          <cell r="D9">
            <v>500512</v>
          </cell>
          <cell r="E9" t="str">
            <v>FIXED</v>
          </cell>
          <cell r="F9">
            <v>0</v>
          </cell>
          <cell r="G9">
            <v>6</v>
          </cell>
          <cell r="H9">
            <v>0.01</v>
          </cell>
        </row>
        <row r="10">
          <cell r="D10">
            <v>100374</v>
          </cell>
          <cell r="E10" t="str">
            <v>COF</v>
          </cell>
          <cell r="F10">
            <v>1.75</v>
          </cell>
          <cell r="G10">
            <v>8.08</v>
          </cell>
          <cell r="H10">
            <v>0.02</v>
          </cell>
        </row>
        <row r="11">
          <cell r="D11">
            <v>501000</v>
          </cell>
          <cell r="E11" t="str">
            <v>COF</v>
          </cell>
          <cell r="F11">
            <v>2</v>
          </cell>
          <cell r="G11">
            <v>6.52</v>
          </cell>
          <cell r="H11">
            <v>6.5199999999999994E-2</v>
          </cell>
        </row>
        <row r="12">
          <cell r="D12">
            <v>500274</v>
          </cell>
          <cell r="E12" t="str">
            <v>3MLIBOR</v>
          </cell>
          <cell r="F12">
            <v>3</v>
          </cell>
          <cell r="G12">
            <v>9.19</v>
          </cell>
          <cell r="H12">
            <v>0.01</v>
          </cell>
        </row>
        <row r="13">
          <cell r="D13">
            <v>500776</v>
          </cell>
          <cell r="E13" t="str">
            <v>FIXED</v>
          </cell>
          <cell r="F13">
            <v>2.25</v>
          </cell>
          <cell r="G13">
            <v>6.5640000000000001</v>
          </cell>
          <cell r="H13">
            <v>8.5640999999999995E-2</v>
          </cell>
        </row>
        <row r="14">
          <cell r="D14">
            <v>500781</v>
          </cell>
          <cell r="E14" t="str">
            <v>FIXED</v>
          </cell>
          <cell r="F14">
            <v>2.25</v>
          </cell>
          <cell r="G14">
            <v>6.5640000000000001</v>
          </cell>
          <cell r="H14">
            <v>8.5640999999999995E-2</v>
          </cell>
        </row>
        <row r="15">
          <cell r="D15">
            <v>500914</v>
          </cell>
          <cell r="E15" t="str">
            <v>COF</v>
          </cell>
          <cell r="F15">
            <v>2.25</v>
          </cell>
          <cell r="G15">
            <v>8.43</v>
          </cell>
          <cell r="H15">
            <v>0.01</v>
          </cell>
        </row>
        <row r="16">
          <cell r="D16">
            <v>500557</v>
          </cell>
          <cell r="E16" t="str">
            <v>3M LIBOR</v>
          </cell>
          <cell r="F16">
            <v>3.5</v>
          </cell>
          <cell r="G16">
            <v>9.69</v>
          </cell>
          <cell r="H16">
            <v>0.01</v>
          </cell>
        </row>
        <row r="17">
          <cell r="D17">
            <v>500558</v>
          </cell>
          <cell r="E17" t="str">
            <v>3M LIBOR</v>
          </cell>
          <cell r="F17">
            <v>3.5</v>
          </cell>
          <cell r="G17">
            <v>9.69</v>
          </cell>
          <cell r="H17">
            <v>0.01</v>
          </cell>
        </row>
        <row r="18">
          <cell r="D18">
            <v>500538</v>
          </cell>
          <cell r="E18" t="str">
            <v>COF</v>
          </cell>
          <cell r="F18">
            <v>3.5</v>
          </cell>
          <cell r="G18">
            <v>9.83</v>
          </cell>
          <cell r="H18">
            <v>0.01</v>
          </cell>
        </row>
        <row r="19">
          <cell r="D19">
            <v>500010</v>
          </cell>
          <cell r="E19" t="str">
            <v>3M LIBOR</v>
          </cell>
          <cell r="F19">
            <v>0</v>
          </cell>
          <cell r="G19">
            <v>2.75</v>
          </cell>
          <cell r="H19">
            <v>0.01</v>
          </cell>
        </row>
        <row r="20">
          <cell r="D20">
            <v>500011</v>
          </cell>
          <cell r="E20" t="str">
            <v>3M LIBOR</v>
          </cell>
          <cell r="F20">
            <v>0</v>
          </cell>
          <cell r="G20">
            <v>2.75</v>
          </cell>
          <cell r="H20">
            <v>0.01</v>
          </cell>
        </row>
        <row r="21">
          <cell r="D21">
            <v>500042</v>
          </cell>
          <cell r="E21" t="str">
            <v>3M LIBOR</v>
          </cell>
          <cell r="F21">
            <v>3</v>
          </cell>
          <cell r="G21">
            <v>9.39</v>
          </cell>
          <cell r="H21">
            <v>0.01</v>
          </cell>
        </row>
        <row r="22">
          <cell r="D22">
            <v>500039</v>
          </cell>
          <cell r="E22" t="str">
            <v>1M LIBOR</v>
          </cell>
          <cell r="F22">
            <v>3</v>
          </cell>
          <cell r="G22">
            <v>3</v>
          </cell>
          <cell r="H22">
            <v>0.01</v>
          </cell>
        </row>
        <row r="23">
          <cell r="D23">
            <v>500265</v>
          </cell>
          <cell r="E23" t="str">
            <v>3M LIBOR</v>
          </cell>
          <cell r="F23">
            <v>3</v>
          </cell>
          <cell r="G23">
            <v>9.33</v>
          </cell>
          <cell r="H23">
            <v>0.01</v>
          </cell>
        </row>
        <row r="24">
          <cell r="D24">
            <v>500913</v>
          </cell>
          <cell r="E24" t="str">
            <v>1M LIBOR</v>
          </cell>
          <cell r="F24">
            <v>2.5</v>
          </cell>
          <cell r="G24">
            <v>8.85</v>
          </cell>
          <cell r="H24">
            <v>0.01</v>
          </cell>
        </row>
        <row r="25">
          <cell r="D25">
            <v>500918</v>
          </cell>
          <cell r="E25" t="str">
            <v>1M LIBOR</v>
          </cell>
          <cell r="F25">
            <v>2.5</v>
          </cell>
          <cell r="G25">
            <v>0</v>
          </cell>
          <cell r="H25">
            <v>0.01</v>
          </cell>
        </row>
        <row r="26">
          <cell r="D26">
            <v>501045</v>
          </cell>
        </row>
        <row r="27">
          <cell r="D27">
            <v>500885</v>
          </cell>
          <cell r="E27" t="str">
            <v>3M LIBOR</v>
          </cell>
          <cell r="F27">
            <v>2</v>
          </cell>
          <cell r="G27">
            <v>8.39</v>
          </cell>
          <cell r="H27">
            <v>0.01</v>
          </cell>
        </row>
        <row r="28">
          <cell r="D28">
            <v>500883</v>
          </cell>
          <cell r="E28" t="str">
            <v>COF</v>
          </cell>
          <cell r="F28">
            <v>3</v>
          </cell>
          <cell r="G28">
            <v>9.35</v>
          </cell>
          <cell r="H28">
            <v>0.01</v>
          </cell>
        </row>
        <row r="29">
          <cell r="D29">
            <v>500884</v>
          </cell>
          <cell r="E29" t="str">
            <v>COF</v>
          </cell>
          <cell r="F29">
            <v>3</v>
          </cell>
          <cell r="G29">
            <v>9.35</v>
          </cell>
          <cell r="H29">
            <v>0.01</v>
          </cell>
        </row>
        <row r="30">
          <cell r="D30">
            <v>501294</v>
          </cell>
          <cell r="E30" t="str">
            <v>FIXED</v>
          </cell>
          <cell r="F30">
            <v>0</v>
          </cell>
          <cell r="G30">
            <v>4.4999999999999998E-2</v>
          </cell>
          <cell r="H30">
            <v>0</v>
          </cell>
        </row>
        <row r="31">
          <cell r="D31">
            <v>501295</v>
          </cell>
          <cell r="E31" t="str">
            <v>FIXED</v>
          </cell>
          <cell r="F31">
            <v>0</v>
          </cell>
          <cell r="G31">
            <v>4.4999999999999998E-2</v>
          </cell>
          <cell r="H31">
            <v>0</v>
          </cell>
        </row>
        <row r="32">
          <cell r="D32">
            <v>501296</v>
          </cell>
          <cell r="E32" t="str">
            <v>FIXED</v>
          </cell>
          <cell r="F32">
            <v>0</v>
          </cell>
          <cell r="G32">
            <v>0.02</v>
          </cell>
          <cell r="H32">
            <v>0</v>
          </cell>
        </row>
        <row r="33">
          <cell r="D33">
            <v>500980</v>
          </cell>
          <cell r="E33" t="str">
            <v>1M LIBOR</v>
          </cell>
          <cell r="F33">
            <v>4.2</v>
          </cell>
          <cell r="G33">
            <v>10.38</v>
          </cell>
          <cell r="H33">
            <v>0.01</v>
          </cell>
        </row>
        <row r="34">
          <cell r="D34">
            <v>500522</v>
          </cell>
          <cell r="E34" t="str">
            <v>3M LIBOR</v>
          </cell>
          <cell r="F34">
            <v>0</v>
          </cell>
          <cell r="G34">
            <v>0</v>
          </cell>
          <cell r="H34">
            <v>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D548C-E7B5-46B5-AB67-4C98706B7717}">
  <dimension ref="A1:AU203"/>
  <sheetViews>
    <sheetView showGridLines="0" zoomScale="70" zoomScaleNormal="70" zoomScaleSheetLayoutView="10" workbookViewId="0">
      <selection activeCell="H77" sqref="H77"/>
    </sheetView>
  </sheetViews>
  <sheetFormatPr defaultColWidth="9.109375" defaultRowHeight="67.5" customHeight="1" x14ac:dyDescent="0.3"/>
  <cols>
    <col min="1" max="1" width="7.33203125" style="48" customWidth="1"/>
    <col min="2" max="2" width="54.44140625" style="12" customWidth="1"/>
    <col min="3" max="3" width="15.88671875" style="48" customWidth="1"/>
    <col min="4" max="4" width="16.21875" style="48" customWidth="1"/>
    <col min="5" max="5" width="37.33203125" style="48" customWidth="1"/>
    <col min="6" max="6" width="40" style="48" customWidth="1"/>
    <col min="7" max="7" width="16.6640625" style="4" customWidth="1"/>
    <col min="8" max="8" width="28" style="19" customWidth="1"/>
    <col min="9" max="9" width="26.5546875" style="19" customWidth="1"/>
    <col min="10" max="10" width="25.6640625" style="19" customWidth="1"/>
    <col min="11" max="11" width="26" style="167" customWidth="1"/>
    <col min="12" max="13" width="16.6640625" style="48" customWidth="1"/>
    <col min="14" max="14" width="40" style="168" customWidth="1"/>
    <col min="15" max="15" width="16.6640625" style="48" customWidth="1"/>
    <col min="16" max="16" width="19.6640625" style="19" customWidth="1"/>
    <col min="17" max="17" width="21" style="19" customWidth="1"/>
    <col min="18" max="18" width="22.44140625" style="19" customWidth="1"/>
    <col min="19" max="19" width="19.6640625" style="4" customWidth="1"/>
    <col min="20" max="20" width="18.5546875" style="5" customWidth="1"/>
    <col min="21" max="21" width="23.109375" style="12" customWidth="1"/>
    <col min="22" max="22" width="20.33203125" style="12" customWidth="1"/>
    <col min="23" max="23" width="18" style="48" customWidth="1"/>
    <col min="24" max="24" width="15.5546875" style="48" customWidth="1"/>
    <col min="25" max="25" width="13.6640625" style="12" customWidth="1"/>
    <col min="26" max="27" width="16.21875" style="12" customWidth="1"/>
    <col min="28" max="28" width="17.6640625" style="12" customWidth="1"/>
    <col min="29" max="33" width="18.88671875" style="12" customWidth="1"/>
    <col min="34" max="34" width="28.88671875" style="12" customWidth="1"/>
    <col min="35" max="37" width="18.88671875" style="12" customWidth="1"/>
    <col min="38" max="38" width="13.44140625" style="12" bestFit="1" customWidth="1"/>
    <col min="39" max="40" width="13.44140625" style="12" customWidth="1"/>
    <col min="41" max="43" width="17.5546875" style="12" customWidth="1"/>
    <col min="44" max="44" width="15" style="12" customWidth="1"/>
    <col min="45" max="45" width="17.109375" style="12" customWidth="1"/>
    <col min="46" max="46" width="18.109375" style="12" customWidth="1"/>
    <col min="47" max="47" width="19.5546875" style="12" customWidth="1"/>
    <col min="48" max="48" width="9.109375" style="12"/>
    <col min="49" max="49" width="16.44140625" style="12" customWidth="1"/>
    <col min="50" max="16384" width="9.109375" style="12"/>
  </cols>
  <sheetData>
    <row r="1" spans="1:47" s="18" customFormat="1" ht="21.6" customHeight="1" x14ac:dyDescent="0.3">
      <c r="A1" s="13"/>
      <c r="B1" s="13" t="s">
        <v>0</v>
      </c>
      <c r="C1" s="335" t="s">
        <v>1</v>
      </c>
      <c r="D1" s="335"/>
      <c r="E1" s="335"/>
      <c r="F1" s="13"/>
      <c r="G1" s="13"/>
      <c r="H1" s="15"/>
      <c r="I1" s="15"/>
      <c r="J1" s="16"/>
      <c r="K1" s="17"/>
      <c r="P1" s="16"/>
      <c r="Q1" s="19"/>
      <c r="R1" s="19"/>
    </row>
    <row r="2" spans="1:47" s="18" customFormat="1" ht="21.6" customHeight="1" x14ac:dyDescent="0.3">
      <c r="A2" s="13"/>
      <c r="B2" s="13" t="s">
        <v>2</v>
      </c>
      <c r="C2" s="14" t="s">
        <v>3</v>
      </c>
      <c r="D2" s="14"/>
      <c r="E2" s="14"/>
      <c r="F2" s="13"/>
      <c r="G2" s="13"/>
      <c r="H2" s="15"/>
      <c r="I2" s="15"/>
      <c r="J2" s="16"/>
      <c r="K2" s="17"/>
      <c r="P2" s="16"/>
      <c r="Q2" s="19"/>
      <c r="R2" s="19"/>
    </row>
    <row r="3" spans="1:47" s="18" customFormat="1" ht="21.6" customHeight="1" x14ac:dyDescent="0.3">
      <c r="A3" s="13"/>
      <c r="B3" s="13" t="s">
        <v>4</v>
      </c>
      <c r="C3" s="336" t="s">
        <v>5</v>
      </c>
      <c r="D3" s="336"/>
      <c r="E3" s="336"/>
      <c r="F3" s="13"/>
      <c r="G3" s="20"/>
      <c r="H3" s="21" t="s">
        <v>240</v>
      </c>
      <c r="I3" s="15"/>
      <c r="J3" s="16"/>
      <c r="K3" s="17"/>
      <c r="P3" s="16"/>
      <c r="Q3" s="19"/>
      <c r="R3" s="19"/>
    </row>
    <row r="4" spans="1:47" s="18" customFormat="1" ht="21.6" customHeight="1" x14ac:dyDescent="0.3">
      <c r="A4" s="13"/>
      <c r="B4" s="13" t="s">
        <v>6</v>
      </c>
      <c r="C4" s="336">
        <v>2025</v>
      </c>
      <c r="D4" s="336"/>
      <c r="E4" s="336"/>
      <c r="F4" s="13"/>
      <c r="G4" s="22"/>
      <c r="H4" s="21" t="s">
        <v>241</v>
      </c>
      <c r="I4" s="15"/>
      <c r="J4" s="16"/>
      <c r="K4" s="17"/>
      <c r="P4" s="16"/>
      <c r="Q4" s="19"/>
      <c r="R4" s="19"/>
    </row>
    <row r="5" spans="1:47" s="18" customFormat="1" ht="21.6" customHeight="1" x14ac:dyDescent="0.3">
      <c r="A5" s="13"/>
      <c r="B5" s="13" t="s">
        <v>7</v>
      </c>
      <c r="C5" s="336" t="s">
        <v>231</v>
      </c>
      <c r="D5" s="336"/>
      <c r="E5" s="336"/>
      <c r="F5" s="13"/>
      <c r="G5" s="13"/>
      <c r="H5" s="15"/>
      <c r="I5" s="15"/>
      <c r="J5" s="16"/>
      <c r="K5" s="17"/>
      <c r="P5" s="16"/>
      <c r="Q5" s="19"/>
      <c r="R5" s="19"/>
    </row>
    <row r="6" spans="1:47" s="18" customFormat="1" ht="21.6" customHeight="1" x14ac:dyDescent="0.3">
      <c r="A6" s="13"/>
      <c r="B6" s="13" t="s">
        <v>8</v>
      </c>
      <c r="C6" s="336">
        <v>330814001</v>
      </c>
      <c r="D6" s="336"/>
      <c r="E6" s="336"/>
      <c r="F6" s="13"/>
      <c r="G6" s="13"/>
      <c r="H6" s="15"/>
      <c r="I6" s="15"/>
      <c r="J6" s="16"/>
      <c r="K6" s="17"/>
      <c r="P6" s="16"/>
      <c r="Q6" s="19"/>
      <c r="R6" s="19"/>
    </row>
    <row r="7" spans="1:47" s="5" customFormat="1" ht="18" customHeight="1" x14ac:dyDescent="0.3">
      <c r="A7" s="4"/>
      <c r="B7" s="23"/>
      <c r="C7" s="24"/>
      <c r="D7" s="4"/>
      <c r="E7" s="4"/>
      <c r="F7" s="4"/>
      <c r="G7" s="4"/>
      <c r="H7" s="337" t="s">
        <v>242</v>
      </c>
      <c r="I7" s="337"/>
      <c r="J7" s="337"/>
      <c r="K7" s="339" t="s">
        <v>243</v>
      </c>
      <c r="L7" s="340"/>
      <c r="M7" s="340"/>
      <c r="N7" s="340"/>
      <c r="O7" s="340"/>
      <c r="P7" s="339"/>
      <c r="Q7" s="339"/>
      <c r="R7" s="337" t="s">
        <v>243</v>
      </c>
      <c r="S7" s="341"/>
      <c r="T7" s="341"/>
      <c r="U7" s="341"/>
      <c r="V7" s="341"/>
      <c r="W7" s="341" t="s">
        <v>244</v>
      </c>
      <c r="X7" s="341"/>
      <c r="Y7" s="332" t="s">
        <v>245</v>
      </c>
      <c r="Z7" s="332"/>
      <c r="AA7" s="332"/>
      <c r="AB7" s="332" t="s">
        <v>242</v>
      </c>
      <c r="AC7" s="332"/>
      <c r="AD7" s="333"/>
      <c r="AE7" s="333"/>
      <c r="AF7" s="333"/>
      <c r="AG7" s="333"/>
    </row>
    <row r="8" spans="1:47" s="5" customFormat="1" ht="79.2" customHeight="1" x14ac:dyDescent="0.3">
      <c r="A8" s="6" t="s">
        <v>9</v>
      </c>
      <c r="B8" s="6" t="s">
        <v>10</v>
      </c>
      <c r="C8" s="7" t="s">
        <v>11</v>
      </c>
      <c r="D8" s="7" t="s">
        <v>12</v>
      </c>
      <c r="E8" s="7" t="s">
        <v>13</v>
      </c>
      <c r="F8" s="8" t="s">
        <v>14</v>
      </c>
      <c r="G8" s="1" t="s">
        <v>15</v>
      </c>
      <c r="H8" s="25" t="s">
        <v>246</v>
      </c>
      <c r="I8" s="25" t="s">
        <v>247</v>
      </c>
      <c r="J8" s="25" t="s">
        <v>248</v>
      </c>
      <c r="K8" s="26" t="s">
        <v>249</v>
      </c>
      <c r="L8" s="2" t="s">
        <v>16</v>
      </c>
      <c r="M8" s="3" t="s">
        <v>17</v>
      </c>
      <c r="N8" s="3" t="s">
        <v>250</v>
      </c>
      <c r="O8" s="27" t="s">
        <v>251</v>
      </c>
      <c r="P8" s="25" t="s">
        <v>252</v>
      </c>
      <c r="Q8" s="25" t="s">
        <v>253</v>
      </c>
      <c r="R8" s="28" t="s">
        <v>254</v>
      </c>
      <c r="S8" s="2" t="s">
        <v>255</v>
      </c>
      <c r="T8" s="29" t="s">
        <v>256</v>
      </c>
      <c r="U8" s="3" t="s">
        <v>257</v>
      </c>
      <c r="V8" s="3" t="s">
        <v>258</v>
      </c>
      <c r="W8" s="3" t="s">
        <v>259</v>
      </c>
      <c r="X8" s="27" t="s">
        <v>260</v>
      </c>
      <c r="Y8" s="30" t="s">
        <v>261</v>
      </c>
      <c r="Z8" s="30" t="s">
        <v>262</v>
      </c>
      <c r="AA8" s="30" t="s">
        <v>263</v>
      </c>
      <c r="AB8" s="30" t="s">
        <v>264</v>
      </c>
      <c r="AC8" s="30" t="s">
        <v>265</v>
      </c>
      <c r="AD8" s="2" t="s">
        <v>266</v>
      </c>
      <c r="AE8" s="3" t="s">
        <v>267</v>
      </c>
      <c r="AF8" s="3" t="s">
        <v>268</v>
      </c>
      <c r="AG8" s="3" t="s">
        <v>269</v>
      </c>
      <c r="AH8" s="4"/>
      <c r="AI8" s="4"/>
      <c r="AJ8" s="4"/>
      <c r="AK8" s="4"/>
    </row>
    <row r="9" spans="1:47" ht="19.8" customHeight="1" x14ac:dyDescent="0.3">
      <c r="A9" s="31">
        <v>1</v>
      </c>
      <c r="B9" s="32" t="s">
        <v>18</v>
      </c>
      <c r="C9" s="33">
        <v>500758</v>
      </c>
      <c r="D9" s="33" t="s">
        <v>19</v>
      </c>
      <c r="E9" s="33" t="s">
        <v>20</v>
      </c>
      <c r="F9" s="33" t="s">
        <v>20</v>
      </c>
      <c r="G9" s="34">
        <v>45991</v>
      </c>
      <c r="H9" s="35"/>
      <c r="I9" s="36"/>
      <c r="J9" s="36"/>
      <c r="K9" s="37"/>
      <c r="L9" s="38">
        <v>102</v>
      </c>
      <c r="M9" s="38">
        <v>102</v>
      </c>
      <c r="N9" s="39" t="s">
        <v>235</v>
      </c>
      <c r="O9" s="40">
        <v>0</v>
      </c>
      <c r="P9" s="41"/>
      <c r="Q9" s="41"/>
      <c r="R9" s="41"/>
      <c r="S9" s="34">
        <v>45991</v>
      </c>
      <c r="T9" s="42">
        <v>0</v>
      </c>
      <c r="U9" s="42">
        <v>0</v>
      </c>
      <c r="V9" s="42">
        <v>0</v>
      </c>
      <c r="W9" s="38"/>
      <c r="X9" s="38"/>
      <c r="Y9" s="43">
        <v>2</v>
      </c>
      <c r="Z9" s="38"/>
      <c r="AA9" s="44"/>
      <c r="AB9" s="38"/>
      <c r="AC9" s="45"/>
      <c r="AD9" s="46">
        <v>0</v>
      </c>
      <c r="AE9" s="46">
        <v>0</v>
      </c>
      <c r="AF9" s="46">
        <v>0</v>
      </c>
      <c r="AG9" s="46">
        <v>0</v>
      </c>
      <c r="AH9" s="47"/>
      <c r="AI9" s="47"/>
      <c r="AJ9" s="47"/>
      <c r="AK9" s="47"/>
      <c r="AL9" s="11"/>
      <c r="AM9" s="11"/>
      <c r="AN9" s="11"/>
      <c r="AO9" s="11"/>
      <c r="AP9" s="11"/>
      <c r="AQ9" s="11"/>
      <c r="AR9" s="11"/>
      <c r="AS9" s="11"/>
      <c r="AT9" s="11"/>
      <c r="AU9" s="11"/>
    </row>
    <row r="10" spans="1:47" ht="19.8" customHeight="1" x14ac:dyDescent="0.3">
      <c r="A10" s="31">
        <v>2</v>
      </c>
      <c r="B10" s="32" t="s">
        <v>21</v>
      </c>
      <c r="C10" s="33">
        <v>500771</v>
      </c>
      <c r="D10" s="33" t="s">
        <v>19</v>
      </c>
      <c r="E10" s="33" t="s">
        <v>22</v>
      </c>
      <c r="F10" s="33" t="s">
        <v>23</v>
      </c>
      <c r="G10" s="34">
        <v>45991</v>
      </c>
      <c r="H10" s="35"/>
      <c r="I10" s="36"/>
      <c r="J10" s="36"/>
      <c r="K10" s="37"/>
      <c r="L10" s="38">
        <v>53</v>
      </c>
      <c r="M10" s="38">
        <v>53</v>
      </c>
      <c r="N10" s="39" t="s">
        <v>270</v>
      </c>
      <c r="O10" s="40">
        <v>0</v>
      </c>
      <c r="P10" s="41"/>
      <c r="Q10" s="41"/>
      <c r="R10" s="41"/>
      <c r="S10" s="34">
        <v>45991</v>
      </c>
      <c r="T10" s="42">
        <v>0</v>
      </c>
      <c r="U10" s="42">
        <v>30691.800190770882</v>
      </c>
      <c r="V10" s="42">
        <v>0</v>
      </c>
      <c r="W10" s="38"/>
      <c r="X10" s="38"/>
      <c r="Y10" s="43">
        <v>2</v>
      </c>
      <c r="Z10" s="38"/>
      <c r="AA10" s="44"/>
      <c r="AB10" s="38"/>
      <c r="AC10" s="45"/>
      <c r="AD10" s="46">
        <v>0</v>
      </c>
      <c r="AE10" s="46">
        <v>0</v>
      </c>
      <c r="AF10" s="46">
        <v>0</v>
      </c>
      <c r="AG10" s="46">
        <v>0</v>
      </c>
      <c r="AH10" s="48"/>
      <c r="AI10" s="47"/>
      <c r="AJ10" s="48"/>
      <c r="AK10" s="48"/>
      <c r="AL10" s="11"/>
      <c r="AM10" s="11"/>
      <c r="AN10" s="11"/>
      <c r="AO10" s="11"/>
      <c r="AP10" s="11"/>
      <c r="AQ10" s="11"/>
      <c r="AR10" s="11"/>
      <c r="AS10" s="11"/>
      <c r="AT10" s="11"/>
      <c r="AU10" s="11"/>
    </row>
    <row r="11" spans="1:47" ht="19.8" customHeight="1" x14ac:dyDescent="0.3">
      <c r="A11" s="31">
        <v>3</v>
      </c>
      <c r="B11" s="32" t="s">
        <v>24</v>
      </c>
      <c r="C11" s="33">
        <v>500512</v>
      </c>
      <c r="D11" s="33" t="s">
        <v>19</v>
      </c>
      <c r="E11" s="33" t="s">
        <v>25</v>
      </c>
      <c r="F11" s="33" t="s">
        <v>25</v>
      </c>
      <c r="G11" s="34">
        <v>45991</v>
      </c>
      <c r="H11" s="35"/>
      <c r="I11" s="36"/>
      <c r="J11" s="36"/>
      <c r="K11" s="37"/>
      <c r="L11" s="38">
        <v>102</v>
      </c>
      <c r="M11" s="38">
        <v>51</v>
      </c>
      <c r="N11" s="39" t="s">
        <v>271</v>
      </c>
      <c r="O11" s="40">
        <v>0</v>
      </c>
      <c r="P11" s="41"/>
      <c r="Q11" s="41"/>
      <c r="R11" s="41"/>
      <c r="S11" s="34">
        <v>45991</v>
      </c>
      <c r="T11" s="42">
        <v>0</v>
      </c>
      <c r="U11" s="42">
        <v>0</v>
      </c>
      <c r="V11" s="42">
        <v>0</v>
      </c>
      <c r="W11" s="38"/>
      <c r="X11" s="38"/>
      <c r="Y11" s="43">
        <v>2</v>
      </c>
      <c r="Z11" s="38"/>
      <c r="AA11" s="44"/>
      <c r="AB11" s="38"/>
      <c r="AC11" s="45"/>
      <c r="AD11" s="46">
        <v>0</v>
      </c>
      <c r="AE11" s="46">
        <v>0</v>
      </c>
      <c r="AF11" s="46">
        <v>0</v>
      </c>
      <c r="AG11" s="46">
        <v>0</v>
      </c>
      <c r="AH11" s="48"/>
      <c r="AI11" s="47"/>
      <c r="AJ11" s="48"/>
      <c r="AK11" s="48"/>
      <c r="AL11" s="11"/>
      <c r="AM11" s="11"/>
      <c r="AN11" s="11"/>
      <c r="AO11" s="11"/>
      <c r="AP11" s="11"/>
      <c r="AQ11" s="11"/>
      <c r="AR11" s="11"/>
      <c r="AS11" s="11"/>
      <c r="AT11" s="11"/>
      <c r="AU11" s="11"/>
    </row>
    <row r="12" spans="1:47" s="10" customFormat="1" ht="19.8" customHeight="1" x14ac:dyDescent="0.3">
      <c r="A12" s="49">
        <v>4</v>
      </c>
      <c r="B12" s="50" t="s">
        <v>31</v>
      </c>
      <c r="C12" s="51">
        <v>0</v>
      </c>
      <c r="D12" s="51" t="s">
        <v>27</v>
      </c>
      <c r="E12" s="51" t="s">
        <v>32</v>
      </c>
      <c r="F12" s="51" t="s">
        <v>33</v>
      </c>
      <c r="G12" s="52">
        <v>45991</v>
      </c>
      <c r="H12" s="53">
        <v>19021271.209379997</v>
      </c>
      <c r="I12" s="53">
        <v>3588854.1825743997</v>
      </c>
      <c r="J12" s="53">
        <v>0</v>
      </c>
      <c r="K12" s="54">
        <f>SUM(H12:J12)</f>
        <v>22610125.391954396</v>
      </c>
      <c r="L12" s="55">
        <v>36</v>
      </c>
      <c r="M12" s="55">
        <v>0</v>
      </c>
      <c r="N12" s="56" t="s">
        <v>237</v>
      </c>
      <c r="O12" s="57">
        <v>0</v>
      </c>
      <c r="P12" s="58">
        <v>0</v>
      </c>
      <c r="Q12" s="58">
        <v>0</v>
      </c>
      <c r="R12" s="58">
        <v>0</v>
      </c>
      <c r="S12" s="52">
        <v>45991</v>
      </c>
      <c r="T12" s="53">
        <v>0</v>
      </c>
      <c r="U12" s="53">
        <v>0</v>
      </c>
      <c r="V12" s="53">
        <v>0</v>
      </c>
      <c r="W12" s="55"/>
      <c r="X12" s="55"/>
      <c r="Y12" s="59">
        <v>2</v>
      </c>
      <c r="Z12" s="57">
        <v>100</v>
      </c>
      <c r="AA12" s="60">
        <v>100</v>
      </c>
      <c r="AB12" s="55">
        <v>3</v>
      </c>
      <c r="AC12" s="61">
        <v>0</v>
      </c>
      <c r="AD12" s="62">
        <v>0</v>
      </c>
      <c r="AE12" s="62">
        <v>0</v>
      </c>
      <c r="AF12" s="62">
        <v>0</v>
      </c>
      <c r="AG12" s="62">
        <v>0</v>
      </c>
      <c r="AH12" s="63"/>
      <c r="AI12" s="64"/>
      <c r="AJ12" s="63"/>
      <c r="AK12" s="63"/>
      <c r="AL12" s="9"/>
      <c r="AM12" s="9"/>
      <c r="AN12" s="9"/>
      <c r="AO12" s="9"/>
      <c r="AP12" s="9"/>
      <c r="AQ12" s="9"/>
      <c r="AR12" s="9"/>
      <c r="AS12" s="9"/>
      <c r="AT12" s="9"/>
      <c r="AU12" s="9"/>
    </row>
    <row r="13" spans="1:47" s="10" customFormat="1" ht="19.8" customHeight="1" x14ac:dyDescent="0.3">
      <c r="A13" s="49">
        <v>5</v>
      </c>
      <c r="B13" s="50" t="s">
        <v>31</v>
      </c>
      <c r="C13" s="51">
        <v>0</v>
      </c>
      <c r="D13" s="51" t="s">
        <v>27</v>
      </c>
      <c r="E13" s="51" t="s">
        <v>32</v>
      </c>
      <c r="F13" s="51" t="s">
        <v>34</v>
      </c>
      <c r="G13" s="52">
        <v>45991</v>
      </c>
      <c r="H13" s="53">
        <v>0</v>
      </c>
      <c r="I13" s="53">
        <v>0</v>
      </c>
      <c r="J13" s="53">
        <v>0</v>
      </c>
      <c r="K13" s="54">
        <f t="shared" ref="K13:K53" si="0">SUM(H13:J13)</f>
        <v>0</v>
      </c>
      <c r="L13" s="55">
        <v>0</v>
      </c>
      <c r="M13" s="55">
        <v>0</v>
      </c>
      <c r="N13" s="56" t="s">
        <v>237</v>
      </c>
      <c r="O13" s="57">
        <v>0</v>
      </c>
      <c r="P13" s="58">
        <v>0</v>
      </c>
      <c r="Q13" s="58">
        <v>0</v>
      </c>
      <c r="R13" s="58">
        <v>0</v>
      </c>
      <c r="S13" s="52">
        <v>45991</v>
      </c>
      <c r="T13" s="53">
        <v>0</v>
      </c>
      <c r="U13" s="53">
        <v>0</v>
      </c>
      <c r="V13" s="53">
        <v>0</v>
      </c>
      <c r="W13" s="55"/>
      <c r="X13" s="55"/>
      <c r="Y13" s="59">
        <v>2</v>
      </c>
      <c r="Z13" s="57">
        <v>100</v>
      </c>
      <c r="AA13" s="60">
        <v>100</v>
      </c>
      <c r="AB13" s="55">
        <v>3</v>
      </c>
      <c r="AC13" s="65">
        <v>0</v>
      </c>
      <c r="AD13" s="62">
        <v>0</v>
      </c>
      <c r="AE13" s="62">
        <v>0</v>
      </c>
      <c r="AF13" s="62">
        <v>0</v>
      </c>
      <c r="AG13" s="62">
        <v>0</v>
      </c>
      <c r="AL13" s="9"/>
      <c r="AM13" s="9"/>
      <c r="AN13" s="9"/>
      <c r="AO13" s="9"/>
      <c r="AP13" s="9"/>
      <c r="AQ13" s="9"/>
    </row>
    <row r="14" spans="1:47" s="10" customFormat="1" ht="19.8" customHeight="1" x14ac:dyDescent="0.3">
      <c r="A14" s="49">
        <v>6</v>
      </c>
      <c r="B14" s="50" t="s">
        <v>31</v>
      </c>
      <c r="C14" s="51">
        <v>0</v>
      </c>
      <c r="D14" s="51" t="s">
        <v>27</v>
      </c>
      <c r="E14" s="51" t="s">
        <v>32</v>
      </c>
      <c r="F14" s="51" t="s">
        <v>35</v>
      </c>
      <c r="G14" s="52">
        <v>45991</v>
      </c>
      <c r="H14" s="53">
        <v>0</v>
      </c>
      <c r="I14" s="53">
        <v>0</v>
      </c>
      <c r="J14" s="53">
        <v>0</v>
      </c>
      <c r="K14" s="54">
        <f t="shared" si="0"/>
        <v>0</v>
      </c>
      <c r="L14" s="55">
        <v>0</v>
      </c>
      <c r="M14" s="55">
        <v>0</v>
      </c>
      <c r="N14" s="56" t="s">
        <v>237</v>
      </c>
      <c r="O14" s="57">
        <v>0</v>
      </c>
      <c r="P14" s="58">
        <v>0</v>
      </c>
      <c r="Q14" s="58">
        <v>0</v>
      </c>
      <c r="R14" s="58">
        <v>0</v>
      </c>
      <c r="S14" s="52">
        <v>45991</v>
      </c>
      <c r="T14" s="53">
        <v>0</v>
      </c>
      <c r="U14" s="53">
        <v>0</v>
      </c>
      <c r="V14" s="53">
        <v>0</v>
      </c>
      <c r="W14" s="55"/>
      <c r="X14" s="55"/>
      <c r="Y14" s="59">
        <v>2</v>
      </c>
      <c r="Z14" s="57">
        <v>100</v>
      </c>
      <c r="AA14" s="60">
        <v>100</v>
      </c>
      <c r="AB14" s="55">
        <v>3</v>
      </c>
      <c r="AC14" s="65">
        <v>0</v>
      </c>
      <c r="AD14" s="62">
        <v>0</v>
      </c>
      <c r="AE14" s="62">
        <v>0</v>
      </c>
      <c r="AF14" s="62">
        <v>0</v>
      </c>
      <c r="AG14" s="62">
        <v>0</v>
      </c>
      <c r="AH14" s="63"/>
      <c r="AI14" s="64"/>
      <c r="AJ14" s="63"/>
      <c r="AK14" s="63"/>
      <c r="AL14" s="9"/>
      <c r="AM14" s="9"/>
      <c r="AN14" s="9"/>
      <c r="AO14" s="9"/>
      <c r="AP14" s="9"/>
      <c r="AQ14" s="9"/>
      <c r="AT14" s="9"/>
      <c r="AU14" s="9"/>
    </row>
    <row r="15" spans="1:47" ht="19.8" customHeight="1" x14ac:dyDescent="0.3">
      <c r="A15" s="31">
        <v>7</v>
      </c>
      <c r="B15" s="66" t="s">
        <v>36</v>
      </c>
      <c r="C15" s="33">
        <v>501000</v>
      </c>
      <c r="D15" s="33" t="s">
        <v>19</v>
      </c>
      <c r="E15" s="33" t="s">
        <v>37</v>
      </c>
      <c r="F15" s="33" t="s">
        <v>37</v>
      </c>
      <c r="G15" s="34">
        <v>45991</v>
      </c>
      <c r="H15" s="35"/>
      <c r="I15" s="36"/>
      <c r="J15" s="36"/>
      <c r="K15" s="37"/>
      <c r="L15" s="38">
        <v>80</v>
      </c>
      <c r="M15" s="38">
        <v>80</v>
      </c>
      <c r="N15" s="39" t="s">
        <v>237</v>
      </c>
      <c r="O15" s="40">
        <v>0</v>
      </c>
      <c r="P15" s="41"/>
      <c r="Q15" s="41"/>
      <c r="R15" s="41"/>
      <c r="S15" s="34">
        <v>45991</v>
      </c>
      <c r="T15" s="42">
        <v>0</v>
      </c>
      <c r="U15" s="42">
        <v>0</v>
      </c>
      <c r="V15" s="42">
        <v>0</v>
      </c>
      <c r="W15" s="38"/>
      <c r="X15" s="38"/>
      <c r="Y15" s="43">
        <v>2</v>
      </c>
      <c r="Z15" s="38"/>
      <c r="AA15" s="44"/>
      <c r="AB15" s="38"/>
      <c r="AC15" s="45"/>
      <c r="AD15" s="46">
        <v>0</v>
      </c>
      <c r="AE15" s="46">
        <v>0</v>
      </c>
      <c r="AF15" s="46">
        <v>0</v>
      </c>
      <c r="AG15" s="46">
        <v>0</v>
      </c>
      <c r="AH15" s="48"/>
      <c r="AI15" s="47"/>
      <c r="AJ15" s="48"/>
      <c r="AK15" s="48"/>
      <c r="AL15" s="11"/>
      <c r="AM15" s="11"/>
      <c r="AN15" s="11"/>
      <c r="AO15" s="11"/>
      <c r="AP15" s="11"/>
      <c r="AQ15" s="11"/>
      <c r="AT15" s="11"/>
      <c r="AU15" s="11"/>
    </row>
    <row r="16" spans="1:47" ht="19.8" customHeight="1" x14ac:dyDescent="0.3">
      <c r="A16" s="31">
        <v>8</v>
      </c>
      <c r="B16" s="66" t="s">
        <v>38</v>
      </c>
      <c r="C16" s="33">
        <v>500850</v>
      </c>
      <c r="D16" s="33" t="s">
        <v>19</v>
      </c>
      <c r="E16" s="33" t="s">
        <v>39</v>
      </c>
      <c r="F16" s="33" t="s">
        <v>39</v>
      </c>
      <c r="G16" s="34">
        <v>45991</v>
      </c>
      <c r="H16" s="36"/>
      <c r="I16" s="36"/>
      <c r="J16" s="36"/>
      <c r="K16" s="37"/>
      <c r="L16" s="38">
        <v>90</v>
      </c>
      <c r="M16" s="38">
        <v>99</v>
      </c>
      <c r="N16" s="39" t="s">
        <v>271</v>
      </c>
      <c r="O16" s="40">
        <v>0</v>
      </c>
      <c r="P16" s="41"/>
      <c r="Q16" s="41"/>
      <c r="R16" s="41"/>
      <c r="S16" s="34">
        <v>45991</v>
      </c>
      <c r="T16" s="42">
        <v>0</v>
      </c>
      <c r="U16" s="42">
        <v>41327.470547432858</v>
      </c>
      <c r="V16" s="42">
        <v>0</v>
      </c>
      <c r="W16" s="38"/>
      <c r="X16" s="38"/>
      <c r="Y16" s="43">
        <v>2</v>
      </c>
      <c r="Z16" s="38"/>
      <c r="AA16" s="44"/>
      <c r="AB16" s="38"/>
      <c r="AC16" s="45"/>
      <c r="AD16" s="46">
        <v>0</v>
      </c>
      <c r="AE16" s="46">
        <v>0</v>
      </c>
      <c r="AF16" s="46">
        <v>0</v>
      </c>
      <c r="AG16" s="46">
        <v>0</v>
      </c>
      <c r="AH16" s="48"/>
      <c r="AI16" s="47"/>
      <c r="AJ16" s="48"/>
      <c r="AK16" s="48"/>
      <c r="AL16" s="11"/>
      <c r="AM16" s="11"/>
      <c r="AN16" s="11"/>
      <c r="AO16" s="11"/>
      <c r="AP16" s="11"/>
      <c r="AQ16" s="11"/>
      <c r="AT16" s="11"/>
      <c r="AU16" s="11"/>
    </row>
    <row r="17" spans="1:43" ht="19.8" customHeight="1" x14ac:dyDescent="0.3">
      <c r="A17" s="31">
        <v>9</v>
      </c>
      <c r="B17" s="67" t="s">
        <v>40</v>
      </c>
      <c r="C17" s="33">
        <v>500676</v>
      </c>
      <c r="D17" s="33" t="s">
        <v>19</v>
      </c>
      <c r="E17" s="68" t="s">
        <v>41</v>
      </c>
      <c r="F17" s="68" t="s">
        <v>41</v>
      </c>
      <c r="G17" s="34">
        <v>45991</v>
      </c>
      <c r="H17" s="35"/>
      <c r="I17" s="36"/>
      <c r="J17" s="36"/>
      <c r="K17" s="37"/>
      <c r="L17" s="38">
        <v>122</v>
      </c>
      <c r="M17" s="38">
        <v>99</v>
      </c>
      <c r="N17" s="39" t="s">
        <v>271</v>
      </c>
      <c r="O17" s="40">
        <v>0</v>
      </c>
      <c r="P17" s="41"/>
      <c r="Q17" s="41"/>
      <c r="R17" s="41"/>
      <c r="S17" s="34">
        <v>45991</v>
      </c>
      <c r="T17" s="42">
        <v>0</v>
      </c>
      <c r="U17" s="42">
        <v>12197.646182178631</v>
      </c>
      <c r="V17" s="42">
        <v>0</v>
      </c>
      <c r="W17" s="38" t="s">
        <v>272</v>
      </c>
      <c r="X17" s="38" t="s">
        <v>273</v>
      </c>
      <c r="Y17" s="43">
        <v>2</v>
      </c>
      <c r="Z17" s="38"/>
      <c r="AA17" s="44"/>
      <c r="AB17" s="38"/>
      <c r="AC17" s="45"/>
      <c r="AD17" s="46">
        <v>0</v>
      </c>
      <c r="AE17" s="46">
        <v>0</v>
      </c>
      <c r="AF17" s="46">
        <v>0</v>
      </c>
      <c r="AG17" s="46">
        <v>0</v>
      </c>
      <c r="AL17" s="11"/>
      <c r="AM17" s="11"/>
      <c r="AN17" s="11"/>
      <c r="AO17" s="11"/>
      <c r="AP17" s="11"/>
      <c r="AQ17" s="11"/>
    </row>
    <row r="18" spans="1:43" ht="19.8" customHeight="1" x14ac:dyDescent="0.3">
      <c r="A18" s="31">
        <v>10</v>
      </c>
      <c r="B18" s="67" t="s">
        <v>42</v>
      </c>
      <c r="C18" s="33">
        <v>500910</v>
      </c>
      <c r="D18" s="33" t="s">
        <v>19</v>
      </c>
      <c r="E18" s="68" t="s">
        <v>43</v>
      </c>
      <c r="F18" s="68" t="s">
        <v>44</v>
      </c>
      <c r="G18" s="34">
        <v>45991</v>
      </c>
      <c r="H18" s="35"/>
      <c r="I18" s="36"/>
      <c r="J18" s="36"/>
      <c r="K18" s="37"/>
      <c r="L18" s="38">
        <v>87</v>
      </c>
      <c r="M18" s="38">
        <v>87</v>
      </c>
      <c r="N18" s="39" t="s">
        <v>235</v>
      </c>
      <c r="O18" s="40">
        <v>0</v>
      </c>
      <c r="P18" s="41"/>
      <c r="Q18" s="41"/>
      <c r="R18" s="41"/>
      <c r="S18" s="34">
        <v>45991</v>
      </c>
      <c r="T18" s="42">
        <v>0</v>
      </c>
      <c r="U18" s="42">
        <v>3187.8410631543811</v>
      </c>
      <c r="V18" s="42">
        <v>0</v>
      </c>
      <c r="W18" s="38"/>
      <c r="X18" s="38"/>
      <c r="Y18" s="43">
        <v>2</v>
      </c>
      <c r="Z18" s="38"/>
      <c r="AA18" s="44"/>
      <c r="AB18" s="38"/>
      <c r="AC18" s="45"/>
      <c r="AD18" s="46">
        <v>0</v>
      </c>
      <c r="AE18" s="46">
        <v>0</v>
      </c>
      <c r="AF18" s="46">
        <v>0</v>
      </c>
      <c r="AG18" s="46">
        <v>0</v>
      </c>
      <c r="AL18" s="11"/>
      <c r="AM18" s="11"/>
      <c r="AN18" s="11"/>
      <c r="AO18" s="11"/>
      <c r="AP18" s="11"/>
      <c r="AQ18" s="11"/>
    </row>
    <row r="19" spans="1:43" s="5" customFormat="1" ht="19.8" customHeight="1" x14ac:dyDescent="0.3">
      <c r="A19" s="31">
        <v>11</v>
      </c>
      <c r="B19" s="67" t="s">
        <v>45</v>
      </c>
      <c r="C19" s="33">
        <v>500692</v>
      </c>
      <c r="D19" s="33" t="s">
        <v>27</v>
      </c>
      <c r="E19" s="68" t="s">
        <v>46</v>
      </c>
      <c r="F19" s="68" t="s">
        <v>47</v>
      </c>
      <c r="G19" s="34">
        <v>45991</v>
      </c>
      <c r="H19" s="69"/>
      <c r="I19" s="70"/>
      <c r="J19" s="70"/>
      <c r="K19" s="37"/>
      <c r="L19" s="38">
        <v>87</v>
      </c>
      <c r="M19" s="38">
        <v>8</v>
      </c>
      <c r="N19" s="39" t="s">
        <v>235</v>
      </c>
      <c r="O19" s="40">
        <v>0</v>
      </c>
      <c r="P19" s="71"/>
      <c r="Q19" s="71"/>
      <c r="R19" s="41"/>
      <c r="S19" s="34">
        <v>45991</v>
      </c>
      <c r="T19" s="42">
        <v>0</v>
      </c>
      <c r="U19" s="42">
        <v>1812.3137346483743</v>
      </c>
      <c r="V19" s="42">
        <v>0</v>
      </c>
      <c r="W19" s="38"/>
      <c r="X19" s="38"/>
      <c r="Y19" s="43">
        <v>2</v>
      </c>
      <c r="Z19" s="72"/>
      <c r="AA19" s="73"/>
      <c r="AB19" s="72"/>
      <c r="AC19" s="74"/>
      <c r="AD19" s="46">
        <v>0</v>
      </c>
      <c r="AE19" s="46">
        <v>0</v>
      </c>
      <c r="AF19" s="46">
        <v>0</v>
      </c>
      <c r="AG19" s="46">
        <v>0</v>
      </c>
      <c r="AL19" s="75"/>
      <c r="AM19" s="75"/>
      <c r="AN19" s="75"/>
      <c r="AO19" s="75"/>
      <c r="AP19" s="75"/>
      <c r="AQ19" s="75"/>
    </row>
    <row r="20" spans="1:43" s="5" customFormat="1" ht="19.8" customHeight="1" x14ac:dyDescent="0.3">
      <c r="A20" s="31">
        <v>12</v>
      </c>
      <c r="B20" s="67" t="s">
        <v>54</v>
      </c>
      <c r="C20" s="68">
        <v>500879</v>
      </c>
      <c r="D20" s="33" t="s">
        <v>19</v>
      </c>
      <c r="E20" s="68" t="s">
        <v>55</v>
      </c>
      <c r="F20" s="68" t="s">
        <v>55</v>
      </c>
      <c r="G20" s="34">
        <v>45991</v>
      </c>
      <c r="H20" s="35"/>
      <c r="I20" s="36"/>
      <c r="J20" s="36"/>
      <c r="K20" s="37"/>
      <c r="L20" s="38">
        <v>80</v>
      </c>
      <c r="M20" s="38">
        <v>80</v>
      </c>
      <c r="N20" s="39" t="s">
        <v>270</v>
      </c>
      <c r="O20" s="40">
        <v>0</v>
      </c>
      <c r="P20" s="41"/>
      <c r="Q20" s="41"/>
      <c r="R20" s="41"/>
      <c r="S20" s="34">
        <v>45991</v>
      </c>
      <c r="T20" s="42">
        <v>0</v>
      </c>
      <c r="U20" s="42">
        <v>370586.18184429524</v>
      </c>
      <c r="V20" s="42">
        <v>0</v>
      </c>
      <c r="W20" s="38"/>
      <c r="X20" s="38"/>
      <c r="Y20" s="43">
        <v>2</v>
      </c>
      <c r="Z20" s="38"/>
      <c r="AA20" s="44"/>
      <c r="AB20" s="38"/>
      <c r="AC20" s="45"/>
      <c r="AD20" s="46">
        <v>0</v>
      </c>
      <c r="AE20" s="46">
        <v>0</v>
      </c>
      <c r="AF20" s="46">
        <v>0</v>
      </c>
      <c r="AG20" s="46">
        <v>0</v>
      </c>
      <c r="AL20" s="75"/>
      <c r="AM20" s="75"/>
      <c r="AN20" s="75"/>
      <c r="AO20" s="75"/>
      <c r="AP20" s="75"/>
      <c r="AQ20" s="75"/>
    </row>
    <row r="21" spans="1:43" ht="19.8" customHeight="1" x14ac:dyDescent="0.3">
      <c r="A21" s="31">
        <v>13</v>
      </c>
      <c r="B21" s="67" t="s">
        <v>56</v>
      </c>
      <c r="C21" s="68">
        <v>500274</v>
      </c>
      <c r="D21" s="33" t="s">
        <v>19</v>
      </c>
      <c r="E21" s="68" t="s">
        <v>57</v>
      </c>
      <c r="F21" s="68" t="s">
        <v>57</v>
      </c>
      <c r="G21" s="34">
        <v>45991</v>
      </c>
      <c r="H21" s="35"/>
      <c r="I21" s="36"/>
      <c r="J21" s="36"/>
      <c r="K21" s="37"/>
      <c r="L21" s="38">
        <v>152</v>
      </c>
      <c r="M21" s="38">
        <v>99</v>
      </c>
      <c r="N21" s="39" t="s">
        <v>271</v>
      </c>
      <c r="O21" s="40">
        <v>0</v>
      </c>
      <c r="P21" s="41"/>
      <c r="Q21" s="41"/>
      <c r="R21" s="41"/>
      <c r="S21" s="34">
        <v>45991</v>
      </c>
      <c r="T21" s="42">
        <v>0</v>
      </c>
      <c r="U21" s="42">
        <v>0</v>
      </c>
      <c r="V21" s="42">
        <v>0</v>
      </c>
      <c r="W21" s="38"/>
      <c r="X21" s="38"/>
      <c r="Y21" s="43">
        <v>2</v>
      </c>
      <c r="Z21" s="38"/>
      <c r="AA21" s="44"/>
      <c r="AB21" s="38"/>
      <c r="AC21" s="45"/>
      <c r="AD21" s="46">
        <v>0</v>
      </c>
      <c r="AE21" s="46">
        <v>0</v>
      </c>
      <c r="AF21" s="46">
        <v>0</v>
      </c>
      <c r="AG21" s="46">
        <v>0</v>
      </c>
      <c r="AL21" s="11"/>
      <c r="AM21" s="11"/>
      <c r="AN21" s="11"/>
      <c r="AO21" s="11"/>
      <c r="AP21" s="11"/>
      <c r="AQ21" s="11"/>
    </row>
    <row r="22" spans="1:43" ht="19.8" customHeight="1" x14ac:dyDescent="0.3">
      <c r="A22" s="31">
        <v>14</v>
      </c>
      <c r="B22" s="67" t="s">
        <v>58</v>
      </c>
      <c r="C22" s="68">
        <v>500776</v>
      </c>
      <c r="D22" s="33" t="s">
        <v>19</v>
      </c>
      <c r="E22" s="68" t="s">
        <v>59</v>
      </c>
      <c r="F22" s="68" t="s">
        <v>59</v>
      </c>
      <c r="G22" s="34">
        <v>45991</v>
      </c>
      <c r="H22" s="35"/>
      <c r="I22" s="36"/>
      <c r="J22" s="36"/>
      <c r="K22" s="37"/>
      <c r="L22" s="38">
        <v>81</v>
      </c>
      <c r="M22" s="38">
        <v>99</v>
      </c>
      <c r="N22" s="39" t="s">
        <v>271</v>
      </c>
      <c r="O22" s="40">
        <v>0</v>
      </c>
      <c r="P22" s="41"/>
      <c r="Q22" s="41"/>
      <c r="R22" s="41"/>
      <c r="S22" s="34">
        <v>45991</v>
      </c>
      <c r="T22" s="42">
        <v>0</v>
      </c>
      <c r="U22" s="42">
        <v>0</v>
      </c>
      <c r="V22" s="42">
        <v>0</v>
      </c>
      <c r="W22" s="38"/>
      <c r="X22" s="38"/>
      <c r="Y22" s="43">
        <v>2</v>
      </c>
      <c r="Z22" s="38"/>
      <c r="AA22" s="44"/>
      <c r="AB22" s="38"/>
      <c r="AC22" s="45"/>
      <c r="AD22" s="46">
        <v>0</v>
      </c>
      <c r="AE22" s="46">
        <v>0</v>
      </c>
      <c r="AF22" s="46">
        <v>0</v>
      </c>
      <c r="AG22" s="46">
        <v>0</v>
      </c>
      <c r="AL22" s="11"/>
      <c r="AM22" s="11"/>
      <c r="AN22" s="11"/>
      <c r="AO22" s="11"/>
      <c r="AP22" s="11"/>
      <c r="AQ22" s="11"/>
    </row>
    <row r="23" spans="1:43" ht="19.8" customHeight="1" x14ac:dyDescent="0.3">
      <c r="A23" s="31">
        <v>15</v>
      </c>
      <c r="B23" s="67" t="s">
        <v>58</v>
      </c>
      <c r="C23" s="68">
        <v>500781</v>
      </c>
      <c r="D23" s="33" t="s">
        <v>19</v>
      </c>
      <c r="E23" s="68" t="s">
        <v>60</v>
      </c>
      <c r="F23" s="68" t="s">
        <v>60</v>
      </c>
      <c r="G23" s="34">
        <v>45991</v>
      </c>
      <c r="H23" s="35"/>
      <c r="I23" s="36"/>
      <c r="J23" s="36"/>
      <c r="K23" s="37"/>
      <c r="L23" s="38">
        <v>81</v>
      </c>
      <c r="M23" s="38">
        <v>99</v>
      </c>
      <c r="N23" s="39" t="s">
        <v>271</v>
      </c>
      <c r="O23" s="40">
        <v>0</v>
      </c>
      <c r="P23" s="41"/>
      <c r="Q23" s="41"/>
      <c r="R23" s="41"/>
      <c r="S23" s="34">
        <v>45991</v>
      </c>
      <c r="T23" s="42">
        <v>0</v>
      </c>
      <c r="U23" s="42">
        <v>0</v>
      </c>
      <c r="V23" s="42">
        <v>0</v>
      </c>
      <c r="W23" s="38"/>
      <c r="X23" s="38"/>
      <c r="Y23" s="43">
        <v>2</v>
      </c>
      <c r="Z23" s="38"/>
      <c r="AA23" s="44"/>
      <c r="AB23" s="38"/>
      <c r="AC23" s="45"/>
      <c r="AD23" s="46">
        <v>0</v>
      </c>
      <c r="AE23" s="46">
        <v>0</v>
      </c>
      <c r="AF23" s="46">
        <v>0</v>
      </c>
      <c r="AG23" s="46">
        <v>0</v>
      </c>
      <c r="AL23" s="11"/>
      <c r="AM23" s="11"/>
      <c r="AN23" s="11"/>
      <c r="AO23" s="11"/>
      <c r="AP23" s="11"/>
      <c r="AQ23" s="11"/>
    </row>
    <row r="24" spans="1:43" ht="19.8" customHeight="1" x14ac:dyDescent="0.3">
      <c r="A24" s="31">
        <v>16</v>
      </c>
      <c r="B24" s="67" t="s">
        <v>61</v>
      </c>
      <c r="C24" s="68">
        <v>500705</v>
      </c>
      <c r="D24" s="33" t="s">
        <v>19</v>
      </c>
      <c r="E24" s="68" t="s">
        <v>62</v>
      </c>
      <c r="F24" s="68" t="s">
        <v>63</v>
      </c>
      <c r="G24" s="34">
        <v>45991</v>
      </c>
      <c r="H24" s="35"/>
      <c r="I24" s="36"/>
      <c r="J24" s="36"/>
      <c r="K24" s="37"/>
      <c r="L24" s="38">
        <v>131</v>
      </c>
      <c r="M24" s="38">
        <v>32</v>
      </c>
      <c r="N24" s="39" t="s">
        <v>235</v>
      </c>
      <c r="O24" s="40">
        <v>0</v>
      </c>
      <c r="P24" s="41"/>
      <c r="Q24" s="41"/>
      <c r="R24" s="41"/>
      <c r="S24" s="34">
        <v>45991</v>
      </c>
      <c r="T24" s="42">
        <v>0</v>
      </c>
      <c r="U24" s="42">
        <v>24625.87940327431</v>
      </c>
      <c r="V24" s="42">
        <v>0</v>
      </c>
      <c r="W24" s="38"/>
      <c r="X24" s="38"/>
      <c r="Y24" s="43">
        <v>2</v>
      </c>
      <c r="Z24" s="38"/>
      <c r="AA24" s="44"/>
      <c r="AB24" s="38"/>
      <c r="AC24" s="45"/>
      <c r="AD24" s="46">
        <v>0</v>
      </c>
      <c r="AE24" s="46">
        <v>0</v>
      </c>
      <c r="AF24" s="46">
        <v>0</v>
      </c>
      <c r="AG24" s="46">
        <v>0</v>
      </c>
      <c r="AL24" s="11"/>
      <c r="AM24" s="11"/>
      <c r="AN24" s="11"/>
      <c r="AO24" s="11"/>
      <c r="AP24" s="11"/>
      <c r="AQ24" s="11"/>
    </row>
    <row r="25" spans="1:43" ht="19.8" customHeight="1" x14ac:dyDescent="0.3">
      <c r="A25" s="31">
        <v>17</v>
      </c>
      <c r="B25" s="67" t="s">
        <v>66</v>
      </c>
      <c r="C25" s="68">
        <v>501046</v>
      </c>
      <c r="D25" s="33" t="s">
        <v>27</v>
      </c>
      <c r="E25" s="68" t="s">
        <v>67</v>
      </c>
      <c r="F25" s="68" t="s">
        <v>67</v>
      </c>
      <c r="G25" s="34">
        <v>45991</v>
      </c>
      <c r="H25" s="35"/>
      <c r="I25" s="36"/>
      <c r="J25" s="36"/>
      <c r="K25" s="37"/>
      <c r="L25" s="38">
        <v>22</v>
      </c>
      <c r="M25" s="38">
        <v>99</v>
      </c>
      <c r="N25" s="39" t="s">
        <v>271</v>
      </c>
      <c r="O25" s="40">
        <v>0</v>
      </c>
      <c r="P25" s="41"/>
      <c r="Q25" s="41"/>
      <c r="R25" s="41"/>
      <c r="S25" s="34">
        <v>45991</v>
      </c>
      <c r="T25" s="42">
        <v>0</v>
      </c>
      <c r="U25" s="42">
        <v>7100.5773299999992</v>
      </c>
      <c r="V25" s="42">
        <v>0</v>
      </c>
      <c r="W25" s="38"/>
      <c r="X25" s="38"/>
      <c r="Y25" s="43">
        <v>2</v>
      </c>
      <c r="Z25" s="38"/>
      <c r="AA25" s="44"/>
      <c r="AB25" s="38"/>
      <c r="AC25" s="45"/>
      <c r="AD25" s="46">
        <v>0</v>
      </c>
      <c r="AE25" s="46">
        <v>0</v>
      </c>
      <c r="AF25" s="46">
        <v>0</v>
      </c>
      <c r="AG25" s="46">
        <v>0</v>
      </c>
      <c r="AL25" s="11"/>
      <c r="AM25" s="11"/>
      <c r="AN25" s="11"/>
      <c r="AO25" s="11"/>
      <c r="AP25" s="11"/>
      <c r="AQ25" s="11"/>
    </row>
    <row r="26" spans="1:43" ht="19.8" customHeight="1" x14ac:dyDescent="0.3">
      <c r="A26" s="31">
        <v>18</v>
      </c>
      <c r="B26" s="67" t="s">
        <v>68</v>
      </c>
      <c r="C26" s="68">
        <v>500722</v>
      </c>
      <c r="D26" s="33" t="s">
        <v>19</v>
      </c>
      <c r="E26" s="68" t="s">
        <v>69</v>
      </c>
      <c r="F26" s="68" t="s">
        <v>70</v>
      </c>
      <c r="G26" s="34">
        <v>45991</v>
      </c>
      <c r="H26" s="35"/>
      <c r="I26" s="36"/>
      <c r="J26" s="36"/>
      <c r="K26" s="37"/>
      <c r="L26" s="38">
        <v>5</v>
      </c>
      <c r="M26" s="38">
        <v>5</v>
      </c>
      <c r="N26" s="39" t="s">
        <v>270</v>
      </c>
      <c r="O26" s="40">
        <v>0</v>
      </c>
      <c r="P26" s="41"/>
      <c r="Q26" s="41"/>
      <c r="R26" s="41"/>
      <c r="S26" s="34">
        <v>45991</v>
      </c>
      <c r="T26" s="42">
        <v>0</v>
      </c>
      <c r="U26" s="42">
        <v>38083.623049999995</v>
      </c>
      <c r="V26" s="42">
        <v>0</v>
      </c>
      <c r="W26" s="38"/>
      <c r="X26" s="38"/>
      <c r="Y26" s="43">
        <v>2</v>
      </c>
      <c r="Z26" s="38"/>
      <c r="AA26" s="44"/>
      <c r="AB26" s="38"/>
      <c r="AC26" s="45"/>
      <c r="AD26" s="46">
        <v>0</v>
      </c>
      <c r="AE26" s="46">
        <v>0</v>
      </c>
      <c r="AF26" s="46">
        <v>0</v>
      </c>
      <c r="AG26" s="46">
        <v>0</v>
      </c>
      <c r="AL26" s="11"/>
      <c r="AM26" s="11"/>
      <c r="AN26" s="11"/>
      <c r="AO26" s="11"/>
      <c r="AP26" s="11"/>
      <c r="AQ26" s="11"/>
    </row>
    <row r="27" spans="1:43" ht="19.8" customHeight="1" x14ac:dyDescent="0.3">
      <c r="A27" s="31">
        <v>19</v>
      </c>
      <c r="B27" s="67" t="s">
        <v>71</v>
      </c>
      <c r="C27" s="68">
        <v>500826</v>
      </c>
      <c r="D27" s="33" t="s">
        <v>19</v>
      </c>
      <c r="E27" s="68" t="s">
        <v>201</v>
      </c>
      <c r="F27" s="68" t="s">
        <v>72</v>
      </c>
      <c r="G27" s="34">
        <v>45991</v>
      </c>
      <c r="H27" s="35"/>
      <c r="I27" s="36"/>
      <c r="J27" s="36"/>
      <c r="K27" s="37"/>
      <c r="L27" s="38">
        <v>102</v>
      </c>
      <c r="M27" s="38">
        <v>99</v>
      </c>
      <c r="N27" s="39" t="s">
        <v>270</v>
      </c>
      <c r="O27" s="40">
        <v>0</v>
      </c>
      <c r="P27" s="41"/>
      <c r="Q27" s="41"/>
      <c r="R27" s="41"/>
      <c r="S27" s="34">
        <v>45991</v>
      </c>
      <c r="T27" s="42">
        <v>0</v>
      </c>
      <c r="U27" s="42">
        <v>12458.58004983948</v>
      </c>
      <c r="V27" s="42">
        <v>0</v>
      </c>
      <c r="W27" s="38"/>
      <c r="X27" s="38"/>
      <c r="Y27" s="43">
        <v>2</v>
      </c>
      <c r="Z27" s="38"/>
      <c r="AA27" s="44"/>
      <c r="AB27" s="38"/>
      <c r="AC27" s="45"/>
      <c r="AD27" s="46">
        <v>0</v>
      </c>
      <c r="AE27" s="46">
        <v>0</v>
      </c>
      <c r="AF27" s="46">
        <v>0</v>
      </c>
      <c r="AG27" s="46">
        <v>0</v>
      </c>
      <c r="AL27" s="11"/>
      <c r="AM27" s="11"/>
      <c r="AN27" s="11"/>
      <c r="AO27" s="11"/>
      <c r="AP27" s="11"/>
      <c r="AQ27" s="11"/>
    </row>
    <row r="28" spans="1:43" ht="19.8" customHeight="1" x14ac:dyDescent="0.3">
      <c r="A28" s="31">
        <v>20</v>
      </c>
      <c r="B28" s="67" t="s">
        <v>75</v>
      </c>
      <c r="C28" s="68">
        <v>500558</v>
      </c>
      <c r="D28" s="33" t="s">
        <v>19</v>
      </c>
      <c r="E28" s="68" t="s">
        <v>76</v>
      </c>
      <c r="F28" s="68" t="s">
        <v>76</v>
      </c>
      <c r="G28" s="34">
        <v>45991</v>
      </c>
      <c r="H28" s="35"/>
      <c r="I28" s="36"/>
      <c r="J28" s="36"/>
      <c r="K28" s="37"/>
      <c r="L28" s="38">
        <v>131</v>
      </c>
      <c r="M28" s="38">
        <v>32</v>
      </c>
      <c r="N28" s="39" t="s">
        <v>270</v>
      </c>
      <c r="O28" s="40">
        <v>0</v>
      </c>
      <c r="P28" s="41"/>
      <c r="Q28" s="41"/>
      <c r="R28" s="41"/>
      <c r="S28" s="34">
        <v>45991</v>
      </c>
      <c r="T28" s="42">
        <v>0</v>
      </c>
      <c r="U28" s="42">
        <v>0</v>
      </c>
      <c r="V28" s="42">
        <v>0</v>
      </c>
      <c r="W28" s="38"/>
      <c r="X28" s="38"/>
      <c r="Y28" s="43">
        <v>2</v>
      </c>
      <c r="Z28" s="38"/>
      <c r="AA28" s="44"/>
      <c r="AB28" s="38"/>
      <c r="AC28" s="45"/>
      <c r="AD28" s="46">
        <v>0</v>
      </c>
      <c r="AE28" s="46">
        <v>0</v>
      </c>
      <c r="AF28" s="46">
        <v>0</v>
      </c>
      <c r="AG28" s="46">
        <v>0</v>
      </c>
      <c r="AL28" s="11"/>
      <c r="AM28" s="11"/>
      <c r="AN28" s="11"/>
      <c r="AO28" s="11"/>
      <c r="AP28" s="11"/>
      <c r="AQ28" s="11"/>
    </row>
    <row r="29" spans="1:43" ht="19.8" customHeight="1" x14ac:dyDescent="0.3">
      <c r="A29" s="31">
        <v>21</v>
      </c>
      <c r="B29" s="67" t="s">
        <v>77</v>
      </c>
      <c r="C29" s="68">
        <v>500557</v>
      </c>
      <c r="D29" s="33" t="s">
        <v>19</v>
      </c>
      <c r="E29" s="68" t="s">
        <v>78</v>
      </c>
      <c r="F29" s="68" t="s">
        <v>78</v>
      </c>
      <c r="G29" s="34">
        <v>45991</v>
      </c>
      <c r="H29" s="35"/>
      <c r="I29" s="36"/>
      <c r="J29" s="36"/>
      <c r="K29" s="37"/>
      <c r="L29" s="38">
        <v>131</v>
      </c>
      <c r="M29" s="38">
        <v>32</v>
      </c>
      <c r="N29" s="39" t="s">
        <v>270</v>
      </c>
      <c r="O29" s="40">
        <v>0</v>
      </c>
      <c r="P29" s="41"/>
      <c r="Q29" s="41"/>
      <c r="R29" s="41"/>
      <c r="S29" s="34">
        <v>45991</v>
      </c>
      <c r="T29" s="42">
        <v>0</v>
      </c>
      <c r="U29" s="42">
        <v>0</v>
      </c>
      <c r="V29" s="42">
        <v>0</v>
      </c>
      <c r="W29" s="38"/>
      <c r="X29" s="38"/>
      <c r="Y29" s="43">
        <v>2</v>
      </c>
      <c r="Z29" s="38"/>
      <c r="AA29" s="44"/>
      <c r="AB29" s="38"/>
      <c r="AC29" s="45"/>
      <c r="AD29" s="46">
        <v>0</v>
      </c>
      <c r="AE29" s="46">
        <v>0</v>
      </c>
      <c r="AF29" s="46">
        <v>0</v>
      </c>
      <c r="AG29" s="46">
        <v>0</v>
      </c>
      <c r="AL29" s="11"/>
      <c r="AM29" s="11"/>
      <c r="AN29" s="11"/>
      <c r="AO29" s="11"/>
      <c r="AP29" s="11"/>
      <c r="AQ29" s="11"/>
    </row>
    <row r="30" spans="1:43" ht="19.8" customHeight="1" x14ac:dyDescent="0.3">
      <c r="A30" s="31">
        <v>22</v>
      </c>
      <c r="B30" s="67" t="s">
        <v>85</v>
      </c>
      <c r="C30" s="68">
        <v>500897</v>
      </c>
      <c r="D30" s="33" t="s">
        <v>19</v>
      </c>
      <c r="E30" s="68" t="s">
        <v>86</v>
      </c>
      <c r="F30" s="68" t="s">
        <v>86</v>
      </c>
      <c r="G30" s="34">
        <v>45991</v>
      </c>
      <c r="H30" s="35"/>
      <c r="I30" s="36"/>
      <c r="J30" s="36"/>
      <c r="K30" s="37"/>
      <c r="L30" s="38">
        <v>76</v>
      </c>
      <c r="M30" s="38">
        <v>76</v>
      </c>
      <c r="N30" s="39" t="s">
        <v>271</v>
      </c>
      <c r="O30" s="40">
        <v>0</v>
      </c>
      <c r="P30" s="41"/>
      <c r="Q30" s="41"/>
      <c r="R30" s="41"/>
      <c r="S30" s="34">
        <v>45991</v>
      </c>
      <c r="T30" s="42">
        <v>0</v>
      </c>
      <c r="U30" s="42">
        <v>269.22000000000003</v>
      </c>
      <c r="V30" s="42">
        <v>0</v>
      </c>
      <c r="W30" s="38" t="s">
        <v>272</v>
      </c>
      <c r="X30" s="38" t="s">
        <v>273</v>
      </c>
      <c r="Y30" s="43">
        <v>2</v>
      </c>
      <c r="Z30" s="38"/>
      <c r="AA30" s="44"/>
      <c r="AB30" s="38"/>
      <c r="AC30" s="45"/>
      <c r="AD30" s="46">
        <v>0</v>
      </c>
      <c r="AE30" s="46">
        <v>0</v>
      </c>
      <c r="AF30" s="46">
        <v>0</v>
      </c>
      <c r="AG30" s="46">
        <v>0</v>
      </c>
      <c r="AL30" s="11"/>
      <c r="AM30" s="11"/>
      <c r="AN30" s="11"/>
      <c r="AO30" s="11"/>
      <c r="AP30" s="11"/>
      <c r="AQ30" s="11"/>
    </row>
    <row r="31" spans="1:43" ht="19.8" customHeight="1" x14ac:dyDescent="0.3">
      <c r="A31" s="31">
        <v>23</v>
      </c>
      <c r="B31" s="67" t="s">
        <v>87</v>
      </c>
      <c r="C31" s="68">
        <v>500010</v>
      </c>
      <c r="D31" s="33" t="s">
        <v>19</v>
      </c>
      <c r="E31" s="68" t="s">
        <v>88</v>
      </c>
      <c r="F31" s="68" t="s">
        <v>88</v>
      </c>
      <c r="G31" s="34">
        <v>45991</v>
      </c>
      <c r="H31" s="35"/>
      <c r="I31" s="36"/>
      <c r="J31" s="36"/>
      <c r="K31" s="37"/>
      <c r="L31" s="38">
        <v>192</v>
      </c>
      <c r="M31" s="38">
        <v>48</v>
      </c>
      <c r="N31" s="39" t="s">
        <v>235</v>
      </c>
      <c r="O31" s="40">
        <v>0</v>
      </c>
      <c r="P31" s="41"/>
      <c r="Q31" s="41"/>
      <c r="R31" s="41"/>
      <c r="S31" s="34">
        <v>45991</v>
      </c>
      <c r="T31" s="42">
        <v>0</v>
      </c>
      <c r="U31" s="42">
        <v>0</v>
      </c>
      <c r="V31" s="42">
        <v>0</v>
      </c>
      <c r="W31" s="38"/>
      <c r="X31" s="38"/>
      <c r="Y31" s="43">
        <v>2</v>
      </c>
      <c r="Z31" s="38"/>
      <c r="AA31" s="44"/>
      <c r="AB31" s="38"/>
      <c r="AC31" s="45"/>
      <c r="AD31" s="46">
        <v>0</v>
      </c>
      <c r="AE31" s="46">
        <v>0</v>
      </c>
      <c r="AF31" s="46">
        <v>0</v>
      </c>
      <c r="AG31" s="46">
        <v>0</v>
      </c>
      <c r="AL31" s="11"/>
      <c r="AM31" s="11"/>
      <c r="AN31" s="11"/>
      <c r="AO31" s="11"/>
      <c r="AP31" s="11"/>
      <c r="AQ31" s="11"/>
    </row>
    <row r="32" spans="1:43" ht="19.8" customHeight="1" x14ac:dyDescent="0.3">
      <c r="A32" s="31">
        <v>24</v>
      </c>
      <c r="B32" s="67" t="s">
        <v>89</v>
      </c>
      <c r="C32" s="68">
        <v>500011</v>
      </c>
      <c r="D32" s="33" t="s">
        <v>19</v>
      </c>
      <c r="E32" s="68" t="s">
        <v>90</v>
      </c>
      <c r="F32" s="68" t="s">
        <v>90</v>
      </c>
      <c r="G32" s="34">
        <v>45991</v>
      </c>
      <c r="H32" s="35"/>
      <c r="I32" s="36"/>
      <c r="J32" s="36"/>
      <c r="K32" s="37"/>
      <c r="L32" s="38">
        <v>193</v>
      </c>
      <c r="M32" s="38">
        <v>48</v>
      </c>
      <c r="N32" s="39" t="s">
        <v>235</v>
      </c>
      <c r="O32" s="40">
        <v>0</v>
      </c>
      <c r="P32" s="41"/>
      <c r="Q32" s="41"/>
      <c r="R32" s="41"/>
      <c r="S32" s="34">
        <v>45991</v>
      </c>
      <c r="T32" s="42">
        <v>0</v>
      </c>
      <c r="U32" s="42">
        <v>0</v>
      </c>
      <c r="V32" s="42">
        <v>0</v>
      </c>
      <c r="W32" s="38"/>
      <c r="X32" s="38"/>
      <c r="Y32" s="43">
        <v>2</v>
      </c>
      <c r="Z32" s="38"/>
      <c r="AA32" s="44"/>
      <c r="AB32" s="38"/>
      <c r="AC32" s="45"/>
      <c r="AD32" s="46">
        <v>0</v>
      </c>
      <c r="AE32" s="46">
        <v>0</v>
      </c>
      <c r="AF32" s="46">
        <v>0</v>
      </c>
      <c r="AG32" s="46">
        <v>0</v>
      </c>
      <c r="AL32" s="11"/>
      <c r="AM32" s="11"/>
      <c r="AN32" s="11"/>
      <c r="AO32" s="11"/>
      <c r="AP32" s="11"/>
      <c r="AQ32" s="11"/>
    </row>
    <row r="33" spans="1:43" ht="19.8" customHeight="1" x14ac:dyDescent="0.3">
      <c r="A33" s="31">
        <v>25</v>
      </c>
      <c r="B33" s="67" t="s">
        <v>91</v>
      </c>
      <c r="C33" s="68">
        <v>500892</v>
      </c>
      <c r="D33" s="33" t="s">
        <v>19</v>
      </c>
      <c r="E33" s="68" t="s">
        <v>92</v>
      </c>
      <c r="F33" s="68" t="s">
        <v>92</v>
      </c>
      <c r="G33" s="34">
        <v>45991</v>
      </c>
      <c r="H33" s="35"/>
      <c r="I33" s="36"/>
      <c r="J33" s="36"/>
      <c r="K33" s="37"/>
      <c r="L33" s="38">
        <v>96</v>
      </c>
      <c r="M33" s="38">
        <v>96</v>
      </c>
      <c r="N33" s="39" t="s">
        <v>270</v>
      </c>
      <c r="O33" s="40">
        <v>0</v>
      </c>
      <c r="P33" s="41"/>
      <c r="Q33" s="41"/>
      <c r="R33" s="41"/>
      <c r="S33" s="34">
        <v>45991</v>
      </c>
      <c r="T33" s="42">
        <v>0</v>
      </c>
      <c r="U33" s="42">
        <v>38026.14254874373</v>
      </c>
      <c r="V33" s="42">
        <v>0</v>
      </c>
      <c r="W33" s="38"/>
      <c r="X33" s="38"/>
      <c r="Y33" s="43">
        <v>2</v>
      </c>
      <c r="Z33" s="38"/>
      <c r="AA33" s="44"/>
      <c r="AB33" s="38"/>
      <c r="AC33" s="45"/>
      <c r="AD33" s="46">
        <v>0</v>
      </c>
      <c r="AE33" s="46">
        <v>0</v>
      </c>
      <c r="AF33" s="46">
        <v>0</v>
      </c>
      <c r="AG33" s="46">
        <v>0</v>
      </c>
      <c r="AL33" s="11"/>
      <c r="AM33" s="11"/>
      <c r="AN33" s="11"/>
      <c r="AO33" s="11"/>
      <c r="AP33" s="11"/>
      <c r="AQ33" s="11"/>
    </row>
    <row r="34" spans="1:43" ht="19.8" customHeight="1" x14ac:dyDescent="0.3">
      <c r="A34" s="31">
        <v>26</v>
      </c>
      <c r="B34" s="67" t="s">
        <v>93</v>
      </c>
      <c r="C34" s="68">
        <v>500042</v>
      </c>
      <c r="D34" s="33" t="s">
        <v>19</v>
      </c>
      <c r="E34" s="68" t="s">
        <v>94</v>
      </c>
      <c r="F34" s="68" t="s">
        <v>95</v>
      </c>
      <c r="G34" s="34">
        <v>45991</v>
      </c>
      <c r="H34" s="35"/>
      <c r="I34" s="36"/>
      <c r="J34" s="36"/>
      <c r="K34" s="37"/>
      <c r="L34" s="38">
        <v>216</v>
      </c>
      <c r="M34" s="38">
        <v>99</v>
      </c>
      <c r="N34" s="39" t="s">
        <v>235</v>
      </c>
      <c r="O34" s="40">
        <v>0</v>
      </c>
      <c r="P34" s="41"/>
      <c r="Q34" s="41"/>
      <c r="R34" s="41"/>
      <c r="S34" s="34">
        <v>45991</v>
      </c>
      <c r="T34" s="42">
        <v>0</v>
      </c>
      <c r="U34" s="42">
        <v>0</v>
      </c>
      <c r="V34" s="42">
        <v>0</v>
      </c>
      <c r="W34" s="38"/>
      <c r="X34" s="38"/>
      <c r="Y34" s="43">
        <v>2</v>
      </c>
      <c r="Z34" s="38"/>
      <c r="AA34" s="44"/>
      <c r="AB34" s="38"/>
      <c r="AC34" s="45"/>
      <c r="AD34" s="46">
        <v>0</v>
      </c>
      <c r="AE34" s="46">
        <v>0</v>
      </c>
      <c r="AF34" s="46">
        <v>0</v>
      </c>
      <c r="AG34" s="46">
        <v>0</v>
      </c>
      <c r="AL34" s="11"/>
      <c r="AM34" s="11"/>
      <c r="AN34" s="11"/>
      <c r="AO34" s="11"/>
      <c r="AP34" s="11"/>
      <c r="AQ34" s="11"/>
    </row>
    <row r="35" spans="1:43" ht="19.8" customHeight="1" x14ac:dyDescent="0.3">
      <c r="A35" s="31">
        <v>27</v>
      </c>
      <c r="B35" s="67" t="s">
        <v>96</v>
      </c>
      <c r="C35" s="68">
        <v>500707</v>
      </c>
      <c r="D35" s="33" t="s">
        <v>19</v>
      </c>
      <c r="E35" s="68" t="s">
        <v>97</v>
      </c>
      <c r="F35" s="68" t="s">
        <v>97</v>
      </c>
      <c r="G35" s="34">
        <v>45991</v>
      </c>
      <c r="H35" s="35"/>
      <c r="I35" s="36"/>
      <c r="J35" s="36"/>
      <c r="K35" s="37"/>
      <c r="L35" s="38">
        <v>113</v>
      </c>
      <c r="M35" s="38">
        <v>28</v>
      </c>
      <c r="N35" s="39" t="s">
        <v>235</v>
      </c>
      <c r="O35" s="40">
        <v>0</v>
      </c>
      <c r="P35" s="41"/>
      <c r="Q35" s="41"/>
      <c r="R35" s="41"/>
      <c r="S35" s="34">
        <v>45991</v>
      </c>
      <c r="T35" s="42">
        <v>0</v>
      </c>
      <c r="U35" s="42">
        <v>9438.5229399999989</v>
      </c>
      <c r="V35" s="42">
        <v>0</v>
      </c>
      <c r="W35" s="38"/>
      <c r="X35" s="38"/>
      <c r="Y35" s="43">
        <v>2</v>
      </c>
      <c r="Z35" s="38"/>
      <c r="AA35" s="44"/>
      <c r="AB35" s="38"/>
      <c r="AC35" s="45"/>
      <c r="AD35" s="46">
        <v>0</v>
      </c>
      <c r="AE35" s="46">
        <v>0</v>
      </c>
      <c r="AF35" s="46">
        <v>0</v>
      </c>
      <c r="AG35" s="46">
        <v>0</v>
      </c>
      <c r="AL35" s="11"/>
      <c r="AM35" s="11"/>
      <c r="AN35" s="11"/>
      <c r="AO35" s="11"/>
      <c r="AP35" s="11"/>
      <c r="AQ35" s="11"/>
    </row>
    <row r="36" spans="1:43" ht="19.8" customHeight="1" x14ac:dyDescent="0.3">
      <c r="A36" s="31">
        <v>28</v>
      </c>
      <c r="B36" s="67" t="s">
        <v>98</v>
      </c>
      <c r="C36" s="68">
        <v>500039</v>
      </c>
      <c r="D36" s="33" t="s">
        <v>19</v>
      </c>
      <c r="E36" s="68" t="s">
        <v>99</v>
      </c>
      <c r="F36" s="68" t="s">
        <v>100</v>
      </c>
      <c r="G36" s="34">
        <v>45991</v>
      </c>
      <c r="H36" s="35"/>
      <c r="I36" s="36"/>
      <c r="J36" s="36"/>
      <c r="K36" s="37"/>
      <c r="L36" s="38">
        <v>142</v>
      </c>
      <c r="M36" s="38">
        <v>35</v>
      </c>
      <c r="N36" s="39" t="s">
        <v>236</v>
      </c>
      <c r="O36" s="40">
        <v>0</v>
      </c>
      <c r="P36" s="41"/>
      <c r="Q36" s="41"/>
      <c r="R36" s="41"/>
      <c r="S36" s="34">
        <v>45991</v>
      </c>
      <c r="T36" s="42">
        <v>0</v>
      </c>
      <c r="U36" s="42">
        <v>0</v>
      </c>
      <c r="V36" s="42">
        <v>0</v>
      </c>
      <c r="W36" s="38"/>
      <c r="X36" s="38"/>
      <c r="Y36" s="43">
        <v>2</v>
      </c>
      <c r="Z36" s="38"/>
      <c r="AA36" s="44"/>
      <c r="AB36" s="38"/>
      <c r="AC36" s="45"/>
      <c r="AD36" s="46">
        <v>0</v>
      </c>
      <c r="AE36" s="46">
        <v>0</v>
      </c>
      <c r="AF36" s="46">
        <v>0</v>
      </c>
      <c r="AG36" s="46">
        <v>0</v>
      </c>
      <c r="AL36" s="11"/>
      <c r="AM36" s="11"/>
      <c r="AN36" s="11"/>
      <c r="AO36" s="11"/>
      <c r="AP36" s="11"/>
      <c r="AQ36" s="11"/>
    </row>
    <row r="37" spans="1:43" ht="19.8" customHeight="1" x14ac:dyDescent="0.3">
      <c r="A37" s="31">
        <v>29</v>
      </c>
      <c r="B37" s="67" t="s">
        <v>101</v>
      </c>
      <c r="C37" s="68">
        <v>500265</v>
      </c>
      <c r="D37" s="33" t="s">
        <v>19</v>
      </c>
      <c r="E37" s="68" t="s">
        <v>102</v>
      </c>
      <c r="F37" s="68" t="s">
        <v>103</v>
      </c>
      <c r="G37" s="34">
        <v>45991</v>
      </c>
      <c r="H37" s="35"/>
      <c r="I37" s="36"/>
      <c r="J37" s="36"/>
      <c r="K37" s="37"/>
      <c r="L37" s="38">
        <v>99</v>
      </c>
      <c r="M37" s="38">
        <v>24</v>
      </c>
      <c r="N37" s="39" t="s">
        <v>271</v>
      </c>
      <c r="O37" s="40">
        <v>0</v>
      </c>
      <c r="P37" s="41"/>
      <c r="Q37" s="41"/>
      <c r="R37" s="41"/>
      <c r="S37" s="34">
        <v>45991</v>
      </c>
      <c r="T37" s="42">
        <v>0</v>
      </c>
      <c r="U37" s="42">
        <v>0</v>
      </c>
      <c r="V37" s="42">
        <v>0</v>
      </c>
      <c r="W37" s="38"/>
      <c r="X37" s="38"/>
      <c r="Y37" s="43">
        <v>2</v>
      </c>
      <c r="Z37" s="38"/>
      <c r="AA37" s="44"/>
      <c r="AB37" s="38"/>
      <c r="AC37" s="45"/>
      <c r="AD37" s="46">
        <v>0</v>
      </c>
      <c r="AE37" s="46">
        <v>0</v>
      </c>
      <c r="AF37" s="46">
        <v>0</v>
      </c>
      <c r="AG37" s="46">
        <v>0</v>
      </c>
      <c r="AL37" s="11"/>
      <c r="AM37" s="11"/>
      <c r="AN37" s="11"/>
      <c r="AO37" s="11"/>
      <c r="AP37" s="11"/>
      <c r="AQ37" s="11"/>
    </row>
    <row r="38" spans="1:43" ht="19.8" customHeight="1" x14ac:dyDescent="0.3">
      <c r="A38" s="31">
        <v>30</v>
      </c>
      <c r="B38" s="67" t="s">
        <v>104</v>
      </c>
      <c r="C38" s="68">
        <v>500913</v>
      </c>
      <c r="D38" s="33" t="s">
        <v>19</v>
      </c>
      <c r="E38" s="68" t="s">
        <v>105</v>
      </c>
      <c r="F38" s="68" t="s">
        <v>106</v>
      </c>
      <c r="G38" s="34">
        <v>45991</v>
      </c>
      <c r="H38" s="35"/>
      <c r="I38" s="36"/>
      <c r="J38" s="36"/>
      <c r="K38" s="37"/>
      <c r="L38" s="38">
        <v>2</v>
      </c>
      <c r="M38" s="38">
        <v>2</v>
      </c>
      <c r="N38" s="39" t="s">
        <v>235</v>
      </c>
      <c r="O38" s="40">
        <v>0</v>
      </c>
      <c r="P38" s="41"/>
      <c r="Q38" s="41"/>
      <c r="R38" s="41"/>
      <c r="S38" s="34">
        <v>45991</v>
      </c>
      <c r="T38" s="42">
        <v>0</v>
      </c>
      <c r="U38" s="42">
        <v>0</v>
      </c>
      <c r="V38" s="42">
        <v>0</v>
      </c>
      <c r="W38" s="38"/>
      <c r="X38" s="38"/>
      <c r="Y38" s="43">
        <v>2</v>
      </c>
      <c r="Z38" s="38"/>
      <c r="AA38" s="44"/>
      <c r="AB38" s="38"/>
      <c r="AC38" s="45"/>
      <c r="AD38" s="46">
        <v>0</v>
      </c>
      <c r="AE38" s="46">
        <v>0</v>
      </c>
      <c r="AF38" s="46">
        <v>0</v>
      </c>
      <c r="AG38" s="46">
        <v>0</v>
      </c>
      <c r="AL38" s="11"/>
      <c r="AM38" s="11"/>
      <c r="AN38" s="11"/>
      <c r="AO38" s="11"/>
      <c r="AP38" s="11"/>
      <c r="AQ38" s="11"/>
    </row>
    <row r="39" spans="1:43" ht="19.8" customHeight="1" x14ac:dyDescent="0.3">
      <c r="A39" s="31">
        <v>31</v>
      </c>
      <c r="B39" s="67" t="s">
        <v>107</v>
      </c>
      <c r="C39" s="68">
        <v>500918</v>
      </c>
      <c r="D39" s="33" t="s">
        <v>19</v>
      </c>
      <c r="E39" s="68" t="s">
        <v>108</v>
      </c>
      <c r="F39" s="68" t="s">
        <v>108</v>
      </c>
      <c r="G39" s="34">
        <v>45991</v>
      </c>
      <c r="H39" s="35"/>
      <c r="I39" s="36"/>
      <c r="J39" s="36"/>
      <c r="K39" s="37"/>
      <c r="L39" s="38">
        <v>2</v>
      </c>
      <c r="M39" s="38">
        <v>2</v>
      </c>
      <c r="N39" s="39" t="s">
        <v>235</v>
      </c>
      <c r="O39" s="40">
        <v>0</v>
      </c>
      <c r="P39" s="41"/>
      <c r="Q39" s="41"/>
      <c r="R39" s="41"/>
      <c r="S39" s="34">
        <v>45991</v>
      </c>
      <c r="T39" s="42">
        <v>0</v>
      </c>
      <c r="U39" s="42">
        <v>0</v>
      </c>
      <c r="V39" s="42">
        <v>0</v>
      </c>
      <c r="W39" s="38"/>
      <c r="X39" s="38"/>
      <c r="Y39" s="43">
        <v>2</v>
      </c>
      <c r="Z39" s="38"/>
      <c r="AA39" s="44"/>
      <c r="AB39" s="38"/>
      <c r="AC39" s="45"/>
      <c r="AD39" s="46">
        <v>0</v>
      </c>
      <c r="AE39" s="46">
        <v>0</v>
      </c>
      <c r="AF39" s="46">
        <v>0</v>
      </c>
      <c r="AG39" s="46">
        <v>0</v>
      </c>
      <c r="AL39" s="11"/>
      <c r="AM39" s="11"/>
      <c r="AN39" s="11"/>
      <c r="AO39" s="11"/>
      <c r="AP39" s="11"/>
      <c r="AQ39" s="11"/>
    </row>
    <row r="40" spans="1:43" ht="19.8" customHeight="1" x14ac:dyDescent="0.3">
      <c r="A40" s="31">
        <v>32</v>
      </c>
      <c r="B40" s="67" t="s">
        <v>111</v>
      </c>
      <c r="C40" s="68">
        <v>500883</v>
      </c>
      <c r="D40" s="33" t="s">
        <v>19</v>
      </c>
      <c r="E40" s="68" t="s">
        <v>196</v>
      </c>
      <c r="F40" s="68" t="s">
        <v>112</v>
      </c>
      <c r="G40" s="34">
        <v>45991</v>
      </c>
      <c r="H40" s="35"/>
      <c r="I40" s="36"/>
      <c r="J40" s="36"/>
      <c r="K40" s="37"/>
      <c r="L40" s="38">
        <v>91</v>
      </c>
      <c r="M40" s="38">
        <v>91</v>
      </c>
      <c r="N40" s="39" t="s">
        <v>235</v>
      </c>
      <c r="O40" s="40">
        <v>0</v>
      </c>
      <c r="P40" s="41"/>
      <c r="Q40" s="41"/>
      <c r="R40" s="41"/>
      <c r="S40" s="34">
        <v>45991</v>
      </c>
      <c r="T40" s="42">
        <v>0</v>
      </c>
      <c r="U40" s="42">
        <v>0</v>
      </c>
      <c r="V40" s="42">
        <v>0</v>
      </c>
      <c r="W40" s="38"/>
      <c r="X40" s="38"/>
      <c r="Y40" s="43">
        <v>2</v>
      </c>
      <c r="Z40" s="38"/>
      <c r="AA40" s="44"/>
      <c r="AB40" s="38"/>
      <c r="AC40" s="45"/>
      <c r="AD40" s="46">
        <v>0</v>
      </c>
      <c r="AE40" s="46">
        <v>0</v>
      </c>
      <c r="AF40" s="46">
        <v>0</v>
      </c>
      <c r="AG40" s="46">
        <v>0</v>
      </c>
      <c r="AL40" s="11"/>
      <c r="AM40" s="11"/>
      <c r="AN40" s="11"/>
      <c r="AO40" s="11"/>
      <c r="AP40" s="11"/>
      <c r="AQ40" s="11"/>
    </row>
    <row r="41" spans="1:43" ht="19.8" customHeight="1" x14ac:dyDescent="0.3">
      <c r="A41" s="31">
        <v>33</v>
      </c>
      <c r="B41" s="67" t="s">
        <v>111</v>
      </c>
      <c r="C41" s="68">
        <v>500884</v>
      </c>
      <c r="D41" s="33" t="s">
        <v>19</v>
      </c>
      <c r="E41" s="68" t="s">
        <v>196</v>
      </c>
      <c r="F41" s="68" t="s">
        <v>113</v>
      </c>
      <c r="G41" s="34">
        <v>45991</v>
      </c>
      <c r="H41" s="35"/>
      <c r="I41" s="36"/>
      <c r="J41" s="36"/>
      <c r="K41" s="37"/>
      <c r="L41" s="38">
        <v>91</v>
      </c>
      <c r="M41" s="38">
        <v>91</v>
      </c>
      <c r="N41" s="39" t="s">
        <v>235</v>
      </c>
      <c r="O41" s="40">
        <v>0</v>
      </c>
      <c r="P41" s="41"/>
      <c r="Q41" s="41"/>
      <c r="R41" s="41"/>
      <c r="S41" s="34">
        <v>45991</v>
      </c>
      <c r="T41" s="42">
        <v>0</v>
      </c>
      <c r="U41" s="42">
        <v>0</v>
      </c>
      <c r="V41" s="42">
        <v>0</v>
      </c>
      <c r="W41" s="38"/>
      <c r="X41" s="38"/>
      <c r="Y41" s="43">
        <v>2</v>
      </c>
      <c r="Z41" s="38"/>
      <c r="AA41" s="44"/>
      <c r="AB41" s="38"/>
      <c r="AC41" s="45"/>
      <c r="AD41" s="46">
        <v>0</v>
      </c>
      <c r="AE41" s="46">
        <v>0</v>
      </c>
      <c r="AF41" s="46">
        <v>0</v>
      </c>
      <c r="AG41" s="46">
        <v>0</v>
      </c>
      <c r="AL41" s="11"/>
      <c r="AM41" s="11"/>
      <c r="AN41" s="11"/>
      <c r="AO41" s="11"/>
      <c r="AP41" s="11"/>
      <c r="AQ41" s="11"/>
    </row>
    <row r="42" spans="1:43" ht="19.8" customHeight="1" x14ac:dyDescent="0.3">
      <c r="A42" s="31">
        <v>34</v>
      </c>
      <c r="B42" s="67" t="s">
        <v>114</v>
      </c>
      <c r="C42" s="68">
        <v>500980</v>
      </c>
      <c r="D42" s="33" t="s">
        <v>19</v>
      </c>
      <c r="E42" s="68" t="s">
        <v>115</v>
      </c>
      <c r="F42" s="68" t="s">
        <v>115</v>
      </c>
      <c r="G42" s="34">
        <v>45991</v>
      </c>
      <c r="H42" s="35"/>
      <c r="I42" s="36"/>
      <c r="J42" s="36"/>
      <c r="K42" s="37"/>
      <c r="L42" s="38">
        <v>55</v>
      </c>
      <c r="M42" s="38">
        <v>55</v>
      </c>
      <c r="N42" s="39" t="s">
        <v>270</v>
      </c>
      <c r="O42" s="40">
        <v>0</v>
      </c>
      <c r="P42" s="41"/>
      <c r="Q42" s="41"/>
      <c r="R42" s="41"/>
      <c r="S42" s="34">
        <v>45991</v>
      </c>
      <c r="T42" s="42">
        <v>0</v>
      </c>
      <c r="U42" s="42">
        <v>0</v>
      </c>
      <c r="V42" s="42">
        <v>0</v>
      </c>
      <c r="W42" s="38"/>
      <c r="X42" s="38"/>
      <c r="Y42" s="43">
        <v>2</v>
      </c>
      <c r="Z42" s="38"/>
      <c r="AA42" s="44"/>
      <c r="AB42" s="38"/>
      <c r="AC42" s="45"/>
      <c r="AD42" s="46">
        <v>0</v>
      </c>
      <c r="AE42" s="46">
        <v>0</v>
      </c>
      <c r="AF42" s="46">
        <v>0</v>
      </c>
      <c r="AG42" s="46">
        <v>0</v>
      </c>
      <c r="AL42" s="11"/>
      <c r="AM42" s="11"/>
      <c r="AN42" s="11"/>
      <c r="AO42" s="11"/>
      <c r="AP42" s="11"/>
      <c r="AQ42" s="11"/>
    </row>
    <row r="43" spans="1:43" ht="19.8" customHeight="1" x14ac:dyDescent="0.3">
      <c r="A43" s="31">
        <v>35</v>
      </c>
      <c r="B43" s="67" t="s">
        <v>116</v>
      </c>
      <c r="C43" s="68">
        <v>500522</v>
      </c>
      <c r="D43" s="33" t="s">
        <v>19</v>
      </c>
      <c r="E43" s="68" t="s">
        <v>117</v>
      </c>
      <c r="F43" s="68" t="s">
        <v>118</v>
      </c>
      <c r="G43" s="34">
        <v>45991</v>
      </c>
      <c r="H43" s="35"/>
      <c r="I43" s="36"/>
      <c r="J43" s="36"/>
      <c r="K43" s="37"/>
      <c r="L43" s="38">
        <v>158</v>
      </c>
      <c r="M43" s="38">
        <v>39</v>
      </c>
      <c r="N43" s="39" t="s">
        <v>236</v>
      </c>
      <c r="O43" s="40">
        <v>0</v>
      </c>
      <c r="P43" s="41"/>
      <c r="Q43" s="41"/>
      <c r="R43" s="41"/>
      <c r="S43" s="34">
        <v>45991</v>
      </c>
      <c r="T43" s="42">
        <v>0</v>
      </c>
      <c r="U43" s="42">
        <v>0</v>
      </c>
      <c r="V43" s="42">
        <v>0</v>
      </c>
      <c r="W43" s="38"/>
      <c r="X43" s="38"/>
      <c r="Y43" s="43">
        <v>2</v>
      </c>
      <c r="Z43" s="38"/>
      <c r="AA43" s="44"/>
      <c r="AB43" s="38"/>
      <c r="AC43" s="45"/>
      <c r="AD43" s="46">
        <v>0</v>
      </c>
      <c r="AE43" s="46">
        <v>0</v>
      </c>
      <c r="AF43" s="46">
        <v>0</v>
      </c>
      <c r="AG43" s="46">
        <v>0</v>
      </c>
      <c r="AL43" s="11"/>
      <c r="AM43" s="11"/>
      <c r="AN43" s="11"/>
      <c r="AO43" s="11"/>
      <c r="AP43" s="11"/>
      <c r="AQ43" s="11"/>
    </row>
    <row r="44" spans="1:43" ht="19.8" customHeight="1" x14ac:dyDescent="0.3">
      <c r="A44" s="31">
        <v>36</v>
      </c>
      <c r="B44" s="67" t="s">
        <v>121</v>
      </c>
      <c r="C44" s="68">
        <v>500885</v>
      </c>
      <c r="D44" s="33" t="s">
        <v>19</v>
      </c>
      <c r="E44" s="68" t="s">
        <v>122</v>
      </c>
      <c r="F44" s="68" t="s">
        <v>122</v>
      </c>
      <c r="G44" s="34">
        <v>45991</v>
      </c>
      <c r="H44" s="35"/>
      <c r="I44" s="36"/>
      <c r="J44" s="36"/>
      <c r="K44" s="37"/>
      <c r="L44" s="38">
        <v>48</v>
      </c>
      <c r="M44" s="38">
        <v>16</v>
      </c>
      <c r="N44" s="39" t="s">
        <v>270</v>
      </c>
      <c r="O44" s="40">
        <v>0</v>
      </c>
      <c r="P44" s="41"/>
      <c r="Q44" s="41"/>
      <c r="R44" s="41"/>
      <c r="S44" s="34">
        <v>45991</v>
      </c>
      <c r="T44" s="42">
        <v>0</v>
      </c>
      <c r="U44" s="42">
        <v>0</v>
      </c>
      <c r="V44" s="42">
        <v>0</v>
      </c>
      <c r="W44" s="38"/>
      <c r="X44" s="38"/>
      <c r="Y44" s="43">
        <v>2</v>
      </c>
      <c r="Z44" s="38"/>
      <c r="AA44" s="44"/>
      <c r="AB44" s="38"/>
      <c r="AC44" s="45"/>
      <c r="AD44" s="46">
        <v>0</v>
      </c>
      <c r="AE44" s="46">
        <v>0</v>
      </c>
      <c r="AF44" s="46">
        <v>0</v>
      </c>
      <c r="AG44" s="46">
        <v>0</v>
      </c>
      <c r="AL44" s="11"/>
      <c r="AM44" s="11"/>
      <c r="AN44" s="11"/>
      <c r="AO44" s="11"/>
      <c r="AP44" s="11"/>
      <c r="AQ44" s="11"/>
    </row>
    <row r="45" spans="1:43" ht="19.8" customHeight="1" x14ac:dyDescent="0.3">
      <c r="A45" s="31">
        <v>37</v>
      </c>
      <c r="B45" s="67" t="s">
        <v>123</v>
      </c>
      <c r="C45" s="68">
        <v>500914</v>
      </c>
      <c r="D45" s="33" t="s">
        <v>19</v>
      </c>
      <c r="E45" s="68" t="s">
        <v>124</v>
      </c>
      <c r="F45" s="68" t="s">
        <v>124</v>
      </c>
      <c r="G45" s="34">
        <v>45991</v>
      </c>
      <c r="H45" s="35"/>
      <c r="I45" s="36"/>
      <c r="J45" s="36"/>
      <c r="K45" s="37"/>
      <c r="L45" s="38">
        <v>48</v>
      </c>
      <c r="M45" s="38">
        <v>12</v>
      </c>
      <c r="N45" s="39" t="s">
        <v>270</v>
      </c>
      <c r="O45" s="40">
        <v>0</v>
      </c>
      <c r="P45" s="41"/>
      <c r="Q45" s="76"/>
      <c r="R45" s="41"/>
      <c r="S45" s="34">
        <v>45991</v>
      </c>
      <c r="T45" s="42">
        <v>0</v>
      </c>
      <c r="U45" s="42">
        <v>0</v>
      </c>
      <c r="V45" s="42">
        <v>0</v>
      </c>
      <c r="W45" s="38"/>
      <c r="X45" s="38"/>
      <c r="Y45" s="43">
        <v>2</v>
      </c>
      <c r="Z45" s="38"/>
      <c r="AA45" s="44"/>
      <c r="AB45" s="38"/>
      <c r="AC45" s="45"/>
      <c r="AD45" s="46">
        <v>0</v>
      </c>
      <c r="AE45" s="46">
        <v>0</v>
      </c>
      <c r="AF45" s="46">
        <v>0</v>
      </c>
      <c r="AG45" s="46">
        <v>0</v>
      </c>
      <c r="AL45" s="11"/>
      <c r="AM45" s="11"/>
      <c r="AN45" s="11"/>
      <c r="AO45" s="11"/>
      <c r="AP45" s="11"/>
      <c r="AQ45" s="11"/>
    </row>
    <row r="46" spans="1:43" ht="19.8" customHeight="1" x14ac:dyDescent="0.3">
      <c r="A46" s="31">
        <v>38</v>
      </c>
      <c r="B46" s="67" t="s">
        <v>125</v>
      </c>
      <c r="C46" s="68">
        <v>500947</v>
      </c>
      <c r="D46" s="33" t="s">
        <v>19</v>
      </c>
      <c r="E46" s="68" t="s">
        <v>126</v>
      </c>
      <c r="F46" s="68" t="s">
        <v>126</v>
      </c>
      <c r="G46" s="34">
        <v>45991</v>
      </c>
      <c r="H46" s="35"/>
      <c r="I46" s="36"/>
      <c r="J46" s="36"/>
      <c r="K46" s="37"/>
      <c r="L46" s="38">
        <v>48</v>
      </c>
      <c r="M46" s="38">
        <v>12</v>
      </c>
      <c r="N46" s="39" t="s">
        <v>270</v>
      </c>
      <c r="O46" s="40">
        <v>0</v>
      </c>
      <c r="P46" s="41"/>
      <c r="Q46" s="41"/>
      <c r="R46" s="41"/>
      <c r="S46" s="34">
        <v>45991</v>
      </c>
      <c r="T46" s="42">
        <v>0</v>
      </c>
      <c r="U46" s="42">
        <v>5352.7779057041798</v>
      </c>
      <c r="V46" s="42">
        <v>0</v>
      </c>
      <c r="W46" s="38"/>
      <c r="X46" s="38"/>
      <c r="Y46" s="43">
        <v>2</v>
      </c>
      <c r="Z46" s="40"/>
      <c r="AA46" s="44"/>
      <c r="AB46" s="38"/>
      <c r="AC46" s="45"/>
      <c r="AD46" s="46">
        <v>0</v>
      </c>
      <c r="AE46" s="46">
        <v>0</v>
      </c>
      <c r="AF46" s="46">
        <v>0</v>
      </c>
      <c r="AG46" s="46">
        <v>0</v>
      </c>
      <c r="AL46" s="11"/>
      <c r="AM46" s="11"/>
      <c r="AN46" s="11"/>
      <c r="AO46" s="11"/>
      <c r="AP46" s="11"/>
      <c r="AQ46" s="11"/>
    </row>
    <row r="47" spans="1:43" ht="19.8" customHeight="1" x14ac:dyDescent="0.3">
      <c r="A47" s="31">
        <v>39</v>
      </c>
      <c r="B47" s="67" t="s">
        <v>127</v>
      </c>
      <c r="C47" s="68">
        <v>501018</v>
      </c>
      <c r="D47" s="33" t="s">
        <v>19</v>
      </c>
      <c r="E47" s="68" t="s">
        <v>128</v>
      </c>
      <c r="F47" s="68" t="s">
        <v>128</v>
      </c>
      <c r="G47" s="34">
        <v>45991</v>
      </c>
      <c r="H47" s="35"/>
      <c r="I47" s="36"/>
      <c r="J47" s="36"/>
      <c r="K47" s="37"/>
      <c r="L47" s="38">
        <v>0</v>
      </c>
      <c r="M47" s="38">
        <v>99</v>
      </c>
      <c r="N47" s="39" t="s">
        <v>235</v>
      </c>
      <c r="O47" s="40">
        <v>0</v>
      </c>
      <c r="P47" s="41"/>
      <c r="Q47" s="41"/>
      <c r="R47" s="41"/>
      <c r="S47" s="34">
        <v>45991</v>
      </c>
      <c r="T47" s="42">
        <v>0</v>
      </c>
      <c r="U47" s="42">
        <v>0</v>
      </c>
      <c r="V47" s="42">
        <v>0</v>
      </c>
      <c r="W47" s="38"/>
      <c r="X47" s="38"/>
      <c r="Y47" s="43">
        <v>2</v>
      </c>
      <c r="Z47" s="38"/>
      <c r="AA47" s="44"/>
      <c r="AB47" s="38"/>
      <c r="AC47" s="45"/>
      <c r="AD47" s="46">
        <v>0</v>
      </c>
      <c r="AE47" s="46">
        <v>0</v>
      </c>
      <c r="AF47" s="46">
        <v>0</v>
      </c>
      <c r="AG47" s="46">
        <v>0</v>
      </c>
      <c r="AL47" s="11"/>
      <c r="AM47" s="11"/>
      <c r="AN47" s="11"/>
      <c r="AO47" s="11"/>
      <c r="AP47" s="11"/>
      <c r="AQ47" s="11"/>
    </row>
    <row r="48" spans="1:43" ht="19.8" customHeight="1" x14ac:dyDescent="0.3">
      <c r="A48" s="31">
        <v>40</v>
      </c>
      <c r="B48" s="77" t="s">
        <v>129</v>
      </c>
      <c r="C48" s="78">
        <v>500538</v>
      </c>
      <c r="D48" s="33" t="s">
        <v>27</v>
      </c>
      <c r="E48" s="33" t="s">
        <v>130</v>
      </c>
      <c r="F48" s="33" t="s">
        <v>131</v>
      </c>
      <c r="G48" s="34">
        <v>45991</v>
      </c>
      <c r="H48" s="35"/>
      <c r="I48" s="36"/>
      <c r="J48" s="36"/>
      <c r="K48" s="37"/>
      <c r="L48" s="38">
        <v>0</v>
      </c>
      <c r="M48" s="38">
        <v>0</v>
      </c>
      <c r="N48" s="79" t="s">
        <v>238</v>
      </c>
      <c r="O48" s="40">
        <v>0</v>
      </c>
      <c r="P48" s="41"/>
      <c r="Q48" s="41"/>
      <c r="R48" s="41"/>
      <c r="S48" s="34">
        <v>45991</v>
      </c>
      <c r="T48" s="42">
        <v>0</v>
      </c>
      <c r="U48" s="42">
        <v>0</v>
      </c>
      <c r="V48" s="42">
        <v>0</v>
      </c>
      <c r="W48" s="38" t="s">
        <v>274</v>
      </c>
      <c r="X48" s="38" t="s">
        <v>275</v>
      </c>
      <c r="Y48" s="43">
        <v>2</v>
      </c>
      <c r="Z48" s="38"/>
      <c r="AA48" s="44"/>
      <c r="AB48" s="38"/>
      <c r="AC48" s="45"/>
      <c r="AD48" s="46">
        <v>0</v>
      </c>
      <c r="AE48" s="46">
        <v>0</v>
      </c>
      <c r="AF48" s="46">
        <v>0</v>
      </c>
      <c r="AG48" s="46">
        <v>0</v>
      </c>
      <c r="AL48" s="11"/>
      <c r="AM48" s="11"/>
      <c r="AN48" s="11"/>
      <c r="AO48" s="11"/>
      <c r="AP48" s="11"/>
      <c r="AQ48" s="11"/>
    </row>
    <row r="49" spans="1:43" ht="19.8" customHeight="1" x14ac:dyDescent="0.3">
      <c r="A49" s="31">
        <v>41</v>
      </c>
      <c r="B49" s="32" t="s">
        <v>129</v>
      </c>
      <c r="C49" s="33">
        <v>0</v>
      </c>
      <c r="D49" s="33" t="s">
        <v>27</v>
      </c>
      <c r="E49" s="33" t="s">
        <v>130</v>
      </c>
      <c r="F49" s="33" t="s">
        <v>132</v>
      </c>
      <c r="G49" s="34">
        <v>45991</v>
      </c>
      <c r="H49" s="45">
        <v>0</v>
      </c>
      <c r="I49" s="45">
        <v>0</v>
      </c>
      <c r="J49" s="45">
        <v>0</v>
      </c>
      <c r="K49" s="37">
        <f t="shared" si="0"/>
        <v>0</v>
      </c>
      <c r="L49" s="38">
        <v>0</v>
      </c>
      <c r="M49" s="38">
        <v>0</v>
      </c>
      <c r="N49" s="39" t="s">
        <v>270</v>
      </c>
      <c r="O49" s="40">
        <v>0</v>
      </c>
      <c r="P49" s="41"/>
      <c r="Q49" s="42">
        <v>0</v>
      </c>
      <c r="R49" s="42">
        <v>0</v>
      </c>
      <c r="S49" s="34">
        <v>45991</v>
      </c>
      <c r="T49" s="42">
        <v>0</v>
      </c>
      <c r="U49" s="42">
        <v>0</v>
      </c>
      <c r="V49" s="42">
        <v>0</v>
      </c>
      <c r="W49" s="38"/>
      <c r="X49" s="38"/>
      <c r="Y49" s="43">
        <v>2</v>
      </c>
      <c r="Z49" s="40">
        <v>100</v>
      </c>
      <c r="AA49" s="40">
        <v>100</v>
      </c>
      <c r="AB49" s="38">
        <v>3</v>
      </c>
      <c r="AC49" s="45">
        <v>0</v>
      </c>
      <c r="AD49" s="46">
        <v>0</v>
      </c>
      <c r="AE49" s="46">
        <v>0</v>
      </c>
      <c r="AF49" s="46">
        <v>0</v>
      </c>
      <c r="AG49" s="46">
        <v>0</v>
      </c>
      <c r="AL49" s="11"/>
      <c r="AM49" s="11"/>
      <c r="AN49" s="11"/>
      <c r="AO49" s="11"/>
      <c r="AP49" s="11"/>
      <c r="AQ49" s="11"/>
    </row>
    <row r="50" spans="1:43" ht="19.8" customHeight="1" x14ac:dyDescent="0.3">
      <c r="A50" s="31">
        <v>42</v>
      </c>
      <c r="B50" s="67" t="s">
        <v>133</v>
      </c>
      <c r="C50" s="68">
        <v>500887</v>
      </c>
      <c r="D50" s="33" t="s">
        <v>27</v>
      </c>
      <c r="E50" s="68" t="s">
        <v>134</v>
      </c>
      <c r="F50" s="68" t="s">
        <v>135</v>
      </c>
      <c r="G50" s="34">
        <v>45991</v>
      </c>
      <c r="H50" s="35"/>
      <c r="I50" s="36"/>
      <c r="J50" s="36"/>
      <c r="K50" s="37"/>
      <c r="L50" s="38">
        <v>37</v>
      </c>
      <c r="M50" s="38">
        <v>44</v>
      </c>
      <c r="N50" s="39" t="s">
        <v>270</v>
      </c>
      <c r="O50" s="40">
        <v>0</v>
      </c>
      <c r="P50" s="41"/>
      <c r="Q50" s="41"/>
      <c r="R50" s="41"/>
      <c r="S50" s="34">
        <v>45991</v>
      </c>
      <c r="T50" s="42">
        <v>0</v>
      </c>
      <c r="U50" s="42">
        <v>10974.756804872952</v>
      </c>
      <c r="V50" s="42">
        <v>0</v>
      </c>
      <c r="W50" s="38"/>
      <c r="X50" s="38"/>
      <c r="Y50" s="43">
        <v>2</v>
      </c>
      <c r="Z50" s="80"/>
      <c r="AA50" s="80"/>
      <c r="AB50" s="38"/>
      <c r="AC50" s="45"/>
      <c r="AD50" s="46">
        <v>0</v>
      </c>
      <c r="AE50" s="46">
        <v>0</v>
      </c>
      <c r="AF50" s="46">
        <v>0</v>
      </c>
      <c r="AG50" s="46">
        <v>0</v>
      </c>
      <c r="AL50" s="11"/>
      <c r="AM50" s="11"/>
      <c r="AN50" s="11"/>
      <c r="AO50" s="11"/>
      <c r="AP50" s="11"/>
      <c r="AQ50" s="11"/>
    </row>
    <row r="51" spans="1:43" ht="19.8" customHeight="1" x14ac:dyDescent="0.3">
      <c r="A51" s="31">
        <v>43</v>
      </c>
      <c r="B51" s="67" t="s">
        <v>133</v>
      </c>
      <c r="C51" s="68">
        <v>0</v>
      </c>
      <c r="D51" s="33" t="s">
        <v>27</v>
      </c>
      <c r="E51" s="68" t="s">
        <v>134</v>
      </c>
      <c r="F51" s="68" t="s">
        <v>136</v>
      </c>
      <c r="G51" s="34">
        <v>45991</v>
      </c>
      <c r="H51" s="45">
        <v>0</v>
      </c>
      <c r="I51" s="45">
        <v>0</v>
      </c>
      <c r="J51" s="45">
        <v>0</v>
      </c>
      <c r="K51" s="37">
        <f t="shared" si="0"/>
        <v>0</v>
      </c>
      <c r="L51" s="38">
        <v>0</v>
      </c>
      <c r="M51" s="38">
        <v>0</v>
      </c>
      <c r="N51" s="39" t="s">
        <v>270</v>
      </c>
      <c r="O51" s="40">
        <v>0</v>
      </c>
      <c r="P51" s="41"/>
      <c r="Q51" s="42">
        <v>0</v>
      </c>
      <c r="R51" s="42">
        <v>0</v>
      </c>
      <c r="S51" s="34">
        <v>45991</v>
      </c>
      <c r="T51" s="42">
        <v>0</v>
      </c>
      <c r="U51" s="42">
        <v>0</v>
      </c>
      <c r="V51" s="42">
        <v>0</v>
      </c>
      <c r="W51" s="38"/>
      <c r="X51" s="38"/>
      <c r="Y51" s="43">
        <v>2</v>
      </c>
      <c r="Z51" s="40">
        <v>100</v>
      </c>
      <c r="AA51" s="40">
        <v>100</v>
      </c>
      <c r="AB51" s="38">
        <v>3</v>
      </c>
      <c r="AC51" s="45">
        <v>0</v>
      </c>
      <c r="AD51" s="46">
        <v>0</v>
      </c>
      <c r="AE51" s="46">
        <v>0</v>
      </c>
      <c r="AF51" s="46">
        <v>0</v>
      </c>
      <c r="AG51" s="46">
        <v>0</v>
      </c>
      <c r="AL51" s="11"/>
      <c r="AM51" s="11"/>
      <c r="AN51" s="11"/>
      <c r="AO51" s="11"/>
      <c r="AP51" s="11"/>
      <c r="AQ51" s="11"/>
    </row>
    <row r="52" spans="1:43" ht="19.8" customHeight="1" x14ac:dyDescent="0.3">
      <c r="A52" s="31">
        <v>44</v>
      </c>
      <c r="B52" s="81" t="s">
        <v>133</v>
      </c>
      <c r="C52" s="82">
        <v>501040</v>
      </c>
      <c r="D52" s="33" t="s">
        <v>27</v>
      </c>
      <c r="E52" s="33" t="s">
        <v>137</v>
      </c>
      <c r="F52" s="33" t="s">
        <v>138</v>
      </c>
      <c r="G52" s="34">
        <v>45991</v>
      </c>
      <c r="H52" s="35"/>
      <c r="I52" s="36"/>
      <c r="J52" s="36"/>
      <c r="K52" s="37"/>
      <c r="L52" s="38">
        <v>37</v>
      </c>
      <c r="M52" s="38">
        <v>4</v>
      </c>
      <c r="N52" s="39" t="s">
        <v>270</v>
      </c>
      <c r="O52" s="40">
        <v>0</v>
      </c>
      <c r="P52" s="41"/>
      <c r="Q52" s="41"/>
      <c r="R52" s="41"/>
      <c r="S52" s="34">
        <v>45991</v>
      </c>
      <c r="T52" s="42">
        <v>0</v>
      </c>
      <c r="U52" s="42">
        <v>1989.6961435221438</v>
      </c>
      <c r="V52" s="42">
        <v>0</v>
      </c>
      <c r="W52" s="38"/>
      <c r="X52" s="38"/>
      <c r="Y52" s="43">
        <v>2</v>
      </c>
      <c r="Z52" s="80"/>
      <c r="AA52" s="80"/>
      <c r="AB52" s="38"/>
      <c r="AC52" s="45"/>
      <c r="AD52" s="46">
        <v>0</v>
      </c>
      <c r="AE52" s="46">
        <v>0</v>
      </c>
      <c r="AF52" s="46">
        <v>0</v>
      </c>
      <c r="AG52" s="46">
        <v>0</v>
      </c>
      <c r="AL52" s="11"/>
      <c r="AM52" s="11"/>
      <c r="AN52" s="11"/>
      <c r="AO52" s="11"/>
      <c r="AP52" s="11"/>
      <c r="AQ52" s="11"/>
    </row>
    <row r="53" spans="1:43" ht="19.8" customHeight="1" x14ac:dyDescent="0.3">
      <c r="A53" s="31">
        <v>45</v>
      </c>
      <c r="B53" s="83" t="s">
        <v>133</v>
      </c>
      <c r="C53" s="84">
        <v>0</v>
      </c>
      <c r="D53" s="85" t="s">
        <v>27</v>
      </c>
      <c r="E53" s="33" t="s">
        <v>137</v>
      </c>
      <c r="F53" s="33" t="s">
        <v>139</v>
      </c>
      <c r="G53" s="34">
        <v>45991</v>
      </c>
      <c r="H53" s="45">
        <v>0</v>
      </c>
      <c r="I53" s="45">
        <v>0</v>
      </c>
      <c r="J53" s="45">
        <v>0</v>
      </c>
      <c r="K53" s="37">
        <f t="shared" si="0"/>
        <v>0</v>
      </c>
      <c r="L53" s="38">
        <v>0</v>
      </c>
      <c r="M53" s="38">
        <v>0</v>
      </c>
      <c r="N53" s="39" t="s">
        <v>270</v>
      </c>
      <c r="O53" s="40">
        <v>0</v>
      </c>
      <c r="P53" s="41"/>
      <c r="Q53" s="42">
        <v>0</v>
      </c>
      <c r="R53" s="42">
        <v>0</v>
      </c>
      <c r="S53" s="34">
        <v>45991</v>
      </c>
      <c r="T53" s="42">
        <v>0</v>
      </c>
      <c r="U53" s="42">
        <v>0</v>
      </c>
      <c r="V53" s="42">
        <v>0</v>
      </c>
      <c r="W53" s="38"/>
      <c r="X53" s="38"/>
      <c r="Y53" s="43">
        <v>2</v>
      </c>
      <c r="Z53" s="40">
        <v>100</v>
      </c>
      <c r="AA53" s="40">
        <v>100</v>
      </c>
      <c r="AB53" s="38">
        <v>3</v>
      </c>
      <c r="AC53" s="45">
        <v>0</v>
      </c>
      <c r="AD53" s="46">
        <v>0</v>
      </c>
      <c r="AE53" s="46">
        <v>0</v>
      </c>
      <c r="AF53" s="46">
        <v>0</v>
      </c>
      <c r="AG53" s="46">
        <v>0</v>
      </c>
      <c r="AL53" s="11"/>
      <c r="AM53" s="11"/>
      <c r="AN53" s="11"/>
      <c r="AO53" s="11"/>
      <c r="AP53" s="11"/>
      <c r="AQ53" s="11"/>
    </row>
    <row r="54" spans="1:43" ht="19.8" customHeight="1" x14ac:dyDescent="0.3">
      <c r="A54" s="31">
        <v>46</v>
      </c>
      <c r="B54" s="86" t="s">
        <v>199</v>
      </c>
      <c r="C54" s="87">
        <v>501162</v>
      </c>
      <c r="D54" s="88" t="s">
        <v>19</v>
      </c>
      <c r="E54" s="89" t="s">
        <v>197</v>
      </c>
      <c r="F54" s="68" t="s">
        <v>197</v>
      </c>
      <c r="G54" s="34">
        <v>45991</v>
      </c>
      <c r="H54" s="35"/>
      <c r="I54" s="36"/>
      <c r="J54" s="36"/>
      <c r="K54" s="37"/>
      <c r="L54" s="38">
        <v>11</v>
      </c>
      <c r="M54" s="38">
        <v>11</v>
      </c>
      <c r="N54" s="39" t="s">
        <v>235</v>
      </c>
      <c r="O54" s="40">
        <v>0</v>
      </c>
      <c r="P54" s="41"/>
      <c r="Q54" s="41"/>
      <c r="R54" s="41"/>
      <c r="S54" s="34">
        <v>45991</v>
      </c>
      <c r="T54" s="42">
        <v>0</v>
      </c>
      <c r="U54" s="42">
        <v>733.26338611861138</v>
      </c>
      <c r="V54" s="42">
        <v>0</v>
      </c>
      <c r="W54" s="38"/>
      <c r="X54" s="38"/>
      <c r="Y54" s="43">
        <v>2</v>
      </c>
      <c r="Z54" s="38"/>
      <c r="AA54" s="44"/>
      <c r="AB54" s="38"/>
      <c r="AC54" s="45"/>
      <c r="AD54" s="46">
        <v>0</v>
      </c>
      <c r="AE54" s="46">
        <v>0</v>
      </c>
      <c r="AF54" s="46">
        <v>0</v>
      </c>
      <c r="AG54" s="46">
        <v>0</v>
      </c>
      <c r="AL54" s="11"/>
      <c r="AM54" s="11"/>
      <c r="AN54" s="11"/>
      <c r="AO54" s="11"/>
      <c r="AP54" s="11"/>
      <c r="AQ54" s="11"/>
    </row>
    <row r="55" spans="1:43" ht="19.8" customHeight="1" x14ac:dyDescent="0.3">
      <c r="A55" s="31">
        <v>47</v>
      </c>
      <c r="B55" s="86" t="s">
        <v>198</v>
      </c>
      <c r="C55" s="87">
        <v>501163</v>
      </c>
      <c r="D55" s="88" t="s">
        <v>27</v>
      </c>
      <c r="E55" s="89" t="s">
        <v>200</v>
      </c>
      <c r="F55" s="68" t="s">
        <v>200</v>
      </c>
      <c r="G55" s="34">
        <v>45991</v>
      </c>
      <c r="H55" s="35"/>
      <c r="I55" s="36"/>
      <c r="J55" s="36"/>
      <c r="K55" s="37"/>
      <c r="L55" s="38">
        <v>13</v>
      </c>
      <c r="M55" s="38">
        <v>18</v>
      </c>
      <c r="N55" s="39" t="s">
        <v>235</v>
      </c>
      <c r="O55" s="40">
        <v>0</v>
      </c>
      <c r="P55" s="41"/>
      <c r="Q55" s="41"/>
      <c r="R55" s="41"/>
      <c r="S55" s="34">
        <v>45991</v>
      </c>
      <c r="T55" s="42">
        <v>0</v>
      </c>
      <c r="U55" s="42">
        <v>4712.9237268904108</v>
      </c>
      <c r="V55" s="42">
        <v>0</v>
      </c>
      <c r="W55" s="38"/>
      <c r="X55" s="38"/>
      <c r="Y55" s="43">
        <v>2</v>
      </c>
      <c r="Z55" s="38"/>
      <c r="AA55" s="44"/>
      <c r="AB55" s="38"/>
      <c r="AC55" s="45"/>
      <c r="AD55" s="46">
        <v>0</v>
      </c>
      <c r="AE55" s="46">
        <v>0</v>
      </c>
      <c r="AF55" s="46">
        <v>0</v>
      </c>
      <c r="AG55" s="46">
        <v>0</v>
      </c>
      <c r="AL55" s="11"/>
      <c r="AM55" s="11"/>
      <c r="AN55" s="11"/>
      <c r="AO55" s="11"/>
      <c r="AP55" s="11"/>
      <c r="AQ55" s="11"/>
    </row>
    <row r="56" spans="1:43" ht="19.8" customHeight="1" x14ac:dyDescent="0.3">
      <c r="A56" s="31">
        <v>48</v>
      </c>
      <c r="B56" s="90" t="s">
        <v>203</v>
      </c>
      <c r="C56" s="87">
        <v>501152</v>
      </c>
      <c r="D56" s="88" t="s">
        <v>27</v>
      </c>
      <c r="E56" s="89" t="s">
        <v>204</v>
      </c>
      <c r="F56" s="68" t="s">
        <v>204</v>
      </c>
      <c r="G56" s="34">
        <v>45991</v>
      </c>
      <c r="H56" s="35"/>
      <c r="I56" s="36"/>
      <c r="J56" s="36"/>
      <c r="K56" s="37"/>
      <c r="L56" s="38">
        <v>10</v>
      </c>
      <c r="M56" s="38">
        <v>6</v>
      </c>
      <c r="N56" s="39" t="s">
        <v>235</v>
      </c>
      <c r="O56" s="40">
        <v>0</v>
      </c>
      <c r="P56" s="41"/>
      <c r="Q56" s="41"/>
      <c r="R56" s="41"/>
      <c r="S56" s="34">
        <v>45991</v>
      </c>
      <c r="T56" s="42">
        <v>0</v>
      </c>
      <c r="U56" s="42">
        <v>2583.69</v>
      </c>
      <c r="V56" s="42">
        <v>0</v>
      </c>
      <c r="W56" s="38"/>
      <c r="X56" s="38"/>
      <c r="Y56" s="43">
        <v>2</v>
      </c>
      <c r="Z56" s="38"/>
      <c r="AA56" s="44"/>
      <c r="AB56" s="38"/>
      <c r="AC56" s="45"/>
      <c r="AD56" s="46">
        <v>0</v>
      </c>
      <c r="AE56" s="46">
        <v>0</v>
      </c>
      <c r="AF56" s="46">
        <v>0</v>
      </c>
      <c r="AG56" s="46">
        <v>0</v>
      </c>
      <c r="AL56" s="11"/>
      <c r="AM56" s="11"/>
      <c r="AN56" s="11"/>
      <c r="AO56" s="11"/>
      <c r="AP56" s="11"/>
      <c r="AQ56" s="11"/>
    </row>
    <row r="57" spans="1:43" ht="19.8" customHeight="1" x14ac:dyDescent="0.3">
      <c r="A57" s="31">
        <v>49</v>
      </c>
      <c r="B57" s="90" t="s">
        <v>193</v>
      </c>
      <c r="C57" s="87">
        <v>501256</v>
      </c>
      <c r="D57" s="88" t="s">
        <v>19</v>
      </c>
      <c r="E57" s="89" t="s">
        <v>213</v>
      </c>
      <c r="F57" s="68" t="s">
        <v>213</v>
      </c>
      <c r="G57" s="34">
        <v>45991</v>
      </c>
      <c r="H57" s="35"/>
      <c r="I57" s="36"/>
      <c r="J57" s="36"/>
      <c r="K57" s="37"/>
      <c r="L57" s="38">
        <v>0</v>
      </c>
      <c r="M57" s="38">
        <v>0</v>
      </c>
      <c r="N57" s="39" t="s">
        <v>271</v>
      </c>
      <c r="O57" s="40">
        <v>0</v>
      </c>
      <c r="P57" s="41"/>
      <c r="Q57" s="41"/>
      <c r="R57" s="41"/>
      <c r="S57" s="34">
        <v>45991</v>
      </c>
      <c r="T57" s="42">
        <v>0</v>
      </c>
      <c r="U57" s="42">
        <v>0</v>
      </c>
      <c r="V57" s="42">
        <v>0</v>
      </c>
      <c r="W57" s="38" t="s">
        <v>272</v>
      </c>
      <c r="X57" s="38" t="s">
        <v>273</v>
      </c>
      <c r="Y57" s="43">
        <v>2</v>
      </c>
      <c r="Z57" s="38"/>
      <c r="AA57" s="44"/>
      <c r="AB57" s="38"/>
      <c r="AC57" s="45"/>
      <c r="AD57" s="46">
        <v>0</v>
      </c>
      <c r="AE57" s="46">
        <v>0</v>
      </c>
      <c r="AF57" s="46">
        <v>0</v>
      </c>
      <c r="AG57" s="46">
        <v>0</v>
      </c>
      <c r="AL57" s="11"/>
      <c r="AM57" s="11"/>
      <c r="AN57" s="11"/>
      <c r="AO57" s="11"/>
      <c r="AP57" s="11"/>
      <c r="AQ57" s="11"/>
    </row>
    <row r="58" spans="1:43" ht="19.8" customHeight="1" x14ac:dyDescent="0.3">
      <c r="A58" s="31">
        <v>50</v>
      </c>
      <c r="B58" s="90" t="s">
        <v>205</v>
      </c>
      <c r="C58" s="87">
        <v>501116</v>
      </c>
      <c r="D58" s="91" t="s">
        <v>27</v>
      </c>
      <c r="E58" s="89" t="s">
        <v>211</v>
      </c>
      <c r="F58" s="68" t="s">
        <v>211</v>
      </c>
      <c r="G58" s="34">
        <v>45991</v>
      </c>
      <c r="H58" s="35"/>
      <c r="I58" s="36"/>
      <c r="J58" s="36"/>
      <c r="K58" s="37"/>
      <c r="L58" s="38">
        <v>4</v>
      </c>
      <c r="M58" s="38">
        <v>5</v>
      </c>
      <c r="N58" s="39" t="s">
        <v>270</v>
      </c>
      <c r="O58" s="40">
        <v>0</v>
      </c>
      <c r="P58" s="41"/>
      <c r="Q58" s="41"/>
      <c r="R58" s="41"/>
      <c r="S58" s="34">
        <v>45991</v>
      </c>
      <c r="T58" s="42">
        <v>0</v>
      </c>
      <c r="U58" s="42">
        <v>47961.64287038958</v>
      </c>
      <c r="V58" s="42">
        <v>0</v>
      </c>
      <c r="W58" s="38" t="s">
        <v>272</v>
      </c>
      <c r="X58" s="38" t="s">
        <v>275</v>
      </c>
      <c r="Y58" s="43">
        <v>2</v>
      </c>
      <c r="Z58" s="38"/>
      <c r="AA58" s="44"/>
      <c r="AB58" s="38"/>
      <c r="AC58" s="45"/>
      <c r="AD58" s="46">
        <v>0</v>
      </c>
      <c r="AE58" s="46">
        <v>0</v>
      </c>
      <c r="AF58" s="46">
        <v>0</v>
      </c>
      <c r="AG58" s="46">
        <v>0</v>
      </c>
      <c r="AL58" s="11"/>
      <c r="AM58" s="11"/>
      <c r="AN58" s="11"/>
      <c r="AO58" s="11"/>
      <c r="AP58" s="11"/>
      <c r="AQ58" s="11"/>
    </row>
    <row r="59" spans="1:43" ht="19.8" customHeight="1" x14ac:dyDescent="0.3">
      <c r="A59" s="31">
        <v>51</v>
      </c>
      <c r="B59" s="92" t="s">
        <v>206</v>
      </c>
      <c r="C59" s="93">
        <v>501117</v>
      </c>
      <c r="D59" s="84" t="s">
        <v>27</v>
      </c>
      <c r="E59" s="89" t="s">
        <v>212</v>
      </c>
      <c r="F59" s="68" t="s">
        <v>212</v>
      </c>
      <c r="G59" s="34">
        <v>45991</v>
      </c>
      <c r="H59" s="35"/>
      <c r="I59" s="36"/>
      <c r="J59" s="36"/>
      <c r="K59" s="37"/>
      <c r="L59" s="38">
        <v>4</v>
      </c>
      <c r="M59" s="38">
        <v>5</v>
      </c>
      <c r="N59" s="39" t="s">
        <v>235</v>
      </c>
      <c r="O59" s="40">
        <v>0</v>
      </c>
      <c r="P59" s="41"/>
      <c r="Q59" s="41"/>
      <c r="R59" s="41"/>
      <c r="S59" s="34">
        <v>45991</v>
      </c>
      <c r="T59" s="42">
        <v>0</v>
      </c>
      <c r="U59" s="42">
        <v>19815.460984109588</v>
      </c>
      <c r="V59" s="42">
        <v>0</v>
      </c>
      <c r="W59" s="38"/>
      <c r="X59" s="38"/>
      <c r="Y59" s="43">
        <v>2</v>
      </c>
      <c r="Z59" s="38"/>
      <c r="AA59" s="44"/>
      <c r="AB59" s="38"/>
      <c r="AC59" s="45"/>
      <c r="AD59" s="46">
        <v>0</v>
      </c>
      <c r="AE59" s="46">
        <v>0</v>
      </c>
      <c r="AF59" s="46">
        <v>0</v>
      </c>
      <c r="AG59" s="46">
        <v>0</v>
      </c>
      <c r="AL59" s="11"/>
      <c r="AM59" s="11"/>
      <c r="AN59" s="11"/>
      <c r="AO59" s="11"/>
      <c r="AP59" s="11"/>
      <c r="AQ59" s="11"/>
    </row>
    <row r="60" spans="1:43" ht="19.8" customHeight="1" x14ac:dyDescent="0.3">
      <c r="A60" s="31">
        <v>52</v>
      </c>
      <c r="B60" s="94" t="s">
        <v>207</v>
      </c>
      <c r="C60" s="68">
        <v>501216</v>
      </c>
      <c r="D60" s="95" t="s">
        <v>27</v>
      </c>
      <c r="E60" s="89" t="s">
        <v>214</v>
      </c>
      <c r="F60" s="68" t="s">
        <v>214</v>
      </c>
      <c r="G60" s="34">
        <v>45991</v>
      </c>
      <c r="H60" s="35"/>
      <c r="I60" s="36"/>
      <c r="J60" s="36"/>
      <c r="K60" s="37"/>
      <c r="L60" s="38">
        <v>6</v>
      </c>
      <c r="M60" s="38">
        <v>6</v>
      </c>
      <c r="N60" s="39" t="s">
        <v>235</v>
      </c>
      <c r="O60" s="40">
        <v>0</v>
      </c>
      <c r="P60" s="41"/>
      <c r="Q60" s="41"/>
      <c r="R60" s="41"/>
      <c r="S60" s="34">
        <v>45991</v>
      </c>
      <c r="T60" s="42">
        <v>0</v>
      </c>
      <c r="U60" s="42">
        <v>45830.541019999997</v>
      </c>
      <c r="V60" s="42">
        <v>0</v>
      </c>
      <c r="W60" s="38"/>
      <c r="X60" s="38"/>
      <c r="Y60" s="43">
        <v>2</v>
      </c>
      <c r="Z60" s="38"/>
      <c r="AA60" s="44"/>
      <c r="AB60" s="38"/>
      <c r="AC60" s="45"/>
      <c r="AD60" s="46">
        <v>0</v>
      </c>
      <c r="AE60" s="46">
        <v>0</v>
      </c>
      <c r="AF60" s="46">
        <v>0</v>
      </c>
      <c r="AG60" s="46">
        <v>0</v>
      </c>
      <c r="AL60" s="11"/>
      <c r="AM60" s="11"/>
      <c r="AN60" s="11"/>
      <c r="AO60" s="11"/>
      <c r="AP60" s="11"/>
      <c r="AQ60" s="11"/>
    </row>
    <row r="61" spans="1:43" ht="19.8" customHeight="1" x14ac:dyDescent="0.3">
      <c r="A61" s="31">
        <v>53</v>
      </c>
      <c r="B61" s="94" t="s">
        <v>208</v>
      </c>
      <c r="C61" s="68">
        <v>501223</v>
      </c>
      <c r="D61" s="95" t="s">
        <v>27</v>
      </c>
      <c r="E61" s="89" t="s">
        <v>215</v>
      </c>
      <c r="F61" s="68" t="s">
        <v>215</v>
      </c>
      <c r="G61" s="34">
        <v>45991</v>
      </c>
      <c r="H61" s="35"/>
      <c r="I61" s="36"/>
      <c r="J61" s="36"/>
      <c r="K61" s="37"/>
      <c r="L61" s="38">
        <v>3</v>
      </c>
      <c r="M61" s="38">
        <v>3</v>
      </c>
      <c r="N61" s="39" t="s">
        <v>235</v>
      </c>
      <c r="O61" s="40">
        <v>0</v>
      </c>
      <c r="P61" s="41"/>
      <c r="Q61" s="41"/>
      <c r="R61" s="41"/>
      <c r="S61" s="34">
        <v>45991</v>
      </c>
      <c r="T61" s="42">
        <v>0</v>
      </c>
      <c r="U61" s="42">
        <v>19786.251539999997</v>
      </c>
      <c r="V61" s="42">
        <v>0</v>
      </c>
      <c r="W61" s="38"/>
      <c r="X61" s="38"/>
      <c r="Y61" s="43">
        <v>2</v>
      </c>
      <c r="Z61" s="38"/>
      <c r="AA61" s="44"/>
      <c r="AB61" s="38"/>
      <c r="AC61" s="45"/>
      <c r="AD61" s="46">
        <v>0</v>
      </c>
      <c r="AE61" s="46">
        <v>0</v>
      </c>
      <c r="AF61" s="46">
        <v>0</v>
      </c>
      <c r="AG61" s="46">
        <v>0</v>
      </c>
      <c r="AL61" s="11"/>
      <c r="AM61" s="11"/>
      <c r="AN61" s="11"/>
      <c r="AO61" s="11"/>
      <c r="AP61" s="11"/>
      <c r="AQ61" s="11"/>
    </row>
    <row r="62" spans="1:43" ht="19.8" customHeight="1" x14ac:dyDescent="0.3">
      <c r="A62" s="31">
        <v>54</v>
      </c>
      <c r="B62" s="96" t="s">
        <v>209</v>
      </c>
      <c r="C62" s="68">
        <v>501090</v>
      </c>
      <c r="D62" s="95" t="s">
        <v>27</v>
      </c>
      <c r="E62" s="89" t="s">
        <v>276</v>
      </c>
      <c r="F62" s="68" t="s">
        <v>276</v>
      </c>
      <c r="G62" s="34">
        <v>45991</v>
      </c>
      <c r="H62" s="35"/>
      <c r="I62" s="36"/>
      <c r="J62" s="36"/>
      <c r="K62" s="37"/>
      <c r="L62" s="38">
        <v>5</v>
      </c>
      <c r="M62" s="38">
        <v>6</v>
      </c>
      <c r="N62" s="39" t="s">
        <v>235</v>
      </c>
      <c r="O62" s="40">
        <v>0</v>
      </c>
      <c r="P62" s="41"/>
      <c r="Q62" s="41"/>
      <c r="R62" s="41"/>
      <c r="S62" s="34">
        <v>45991</v>
      </c>
      <c r="T62" s="42">
        <v>0</v>
      </c>
      <c r="U62" s="42">
        <v>2168.44</v>
      </c>
      <c r="V62" s="42">
        <v>0</v>
      </c>
      <c r="W62" s="38"/>
      <c r="X62" s="38"/>
      <c r="Y62" s="43">
        <v>2</v>
      </c>
      <c r="Z62" s="38"/>
      <c r="AA62" s="44"/>
      <c r="AB62" s="38"/>
      <c r="AC62" s="45"/>
      <c r="AD62" s="46">
        <v>0</v>
      </c>
      <c r="AE62" s="46">
        <v>0</v>
      </c>
      <c r="AF62" s="46">
        <v>0</v>
      </c>
      <c r="AG62" s="46">
        <v>0</v>
      </c>
      <c r="AL62" s="11"/>
      <c r="AM62" s="11"/>
      <c r="AN62" s="11"/>
      <c r="AO62" s="11"/>
      <c r="AP62" s="11"/>
      <c r="AQ62" s="11"/>
    </row>
    <row r="63" spans="1:43" ht="19.8" customHeight="1" x14ac:dyDescent="0.3">
      <c r="A63" s="31">
        <v>55</v>
      </c>
      <c r="B63" s="96" t="s">
        <v>210</v>
      </c>
      <c r="C63" s="97">
        <v>501257</v>
      </c>
      <c r="D63" s="95" t="s">
        <v>27</v>
      </c>
      <c r="E63" s="89" t="s">
        <v>277</v>
      </c>
      <c r="F63" s="68" t="s">
        <v>277</v>
      </c>
      <c r="G63" s="34">
        <v>45991</v>
      </c>
      <c r="H63" s="35"/>
      <c r="I63" s="36"/>
      <c r="J63" s="36"/>
      <c r="K63" s="37"/>
      <c r="L63" s="38">
        <v>4</v>
      </c>
      <c r="M63" s="38">
        <v>5</v>
      </c>
      <c r="N63" s="39" t="s">
        <v>271</v>
      </c>
      <c r="O63" s="40">
        <v>0</v>
      </c>
      <c r="P63" s="41"/>
      <c r="Q63" s="41"/>
      <c r="R63" s="41"/>
      <c r="S63" s="34">
        <v>45991</v>
      </c>
      <c r="T63" s="42">
        <v>0</v>
      </c>
      <c r="U63" s="42">
        <v>74.817440255986497</v>
      </c>
      <c r="V63" s="42">
        <v>0</v>
      </c>
      <c r="W63" s="38" t="s">
        <v>272</v>
      </c>
      <c r="X63" s="38" t="s">
        <v>275</v>
      </c>
      <c r="Y63" s="43">
        <v>2</v>
      </c>
      <c r="Z63" s="38"/>
      <c r="AA63" s="44"/>
      <c r="AB63" s="38"/>
      <c r="AC63" s="45"/>
      <c r="AD63" s="46">
        <v>0</v>
      </c>
      <c r="AE63" s="46">
        <v>0</v>
      </c>
      <c r="AF63" s="46">
        <v>0</v>
      </c>
      <c r="AG63" s="46">
        <v>0</v>
      </c>
      <c r="AL63" s="11"/>
      <c r="AM63" s="11"/>
      <c r="AN63" s="11"/>
      <c r="AO63" s="11"/>
      <c r="AP63" s="11"/>
      <c r="AQ63" s="11"/>
    </row>
    <row r="64" spans="1:43" ht="19.8" customHeight="1" x14ac:dyDescent="0.25">
      <c r="A64" s="31">
        <v>56</v>
      </c>
      <c r="B64" s="98" t="s">
        <v>232</v>
      </c>
      <c r="C64" s="99">
        <v>501294</v>
      </c>
      <c r="D64" s="89"/>
      <c r="E64" s="89"/>
      <c r="F64" s="68"/>
      <c r="G64" s="34">
        <v>45991</v>
      </c>
      <c r="H64" s="35"/>
      <c r="I64" s="36"/>
      <c r="J64" s="36"/>
      <c r="K64" s="37"/>
      <c r="L64" s="38">
        <v>0</v>
      </c>
      <c r="M64" s="38">
        <v>0</v>
      </c>
      <c r="N64" s="39" t="s">
        <v>235</v>
      </c>
      <c r="O64" s="40">
        <v>0</v>
      </c>
      <c r="P64" s="41"/>
      <c r="Q64" s="41"/>
      <c r="R64" s="41"/>
      <c r="S64" s="34">
        <v>45991</v>
      </c>
      <c r="T64" s="42">
        <v>0</v>
      </c>
      <c r="U64" s="42">
        <v>0</v>
      </c>
      <c r="V64" s="42">
        <v>0</v>
      </c>
      <c r="W64" s="38"/>
      <c r="X64" s="38"/>
      <c r="Y64" s="43">
        <v>2</v>
      </c>
      <c r="Z64" s="38"/>
      <c r="AA64" s="44"/>
      <c r="AB64" s="38"/>
      <c r="AC64" s="45"/>
      <c r="AD64" s="46">
        <v>0</v>
      </c>
      <c r="AE64" s="46">
        <v>0</v>
      </c>
      <c r="AF64" s="46">
        <v>0</v>
      </c>
      <c r="AG64" s="46">
        <v>0</v>
      </c>
      <c r="AL64" s="11"/>
      <c r="AM64" s="11"/>
      <c r="AN64" s="11"/>
      <c r="AO64" s="11"/>
      <c r="AP64" s="11"/>
      <c r="AQ64" s="11"/>
    </row>
    <row r="65" spans="1:43" ht="19.8" customHeight="1" x14ac:dyDescent="0.25">
      <c r="A65" s="31">
        <v>57</v>
      </c>
      <c r="B65" s="98" t="s">
        <v>233</v>
      </c>
      <c r="C65" s="99">
        <v>501295</v>
      </c>
      <c r="D65" s="89"/>
      <c r="E65" s="89"/>
      <c r="F65" s="68"/>
      <c r="G65" s="34">
        <v>45991</v>
      </c>
      <c r="H65" s="35"/>
      <c r="I65" s="36"/>
      <c r="J65" s="36"/>
      <c r="K65" s="37"/>
      <c r="L65" s="38">
        <v>0</v>
      </c>
      <c r="M65" s="38">
        <v>0</v>
      </c>
      <c r="N65" s="39" t="s">
        <v>235</v>
      </c>
      <c r="O65" s="40">
        <v>0</v>
      </c>
      <c r="P65" s="41"/>
      <c r="Q65" s="41"/>
      <c r="R65" s="41"/>
      <c r="S65" s="34">
        <v>45991</v>
      </c>
      <c r="T65" s="42">
        <v>0</v>
      </c>
      <c r="U65" s="42">
        <v>0</v>
      </c>
      <c r="V65" s="42">
        <v>0</v>
      </c>
      <c r="W65" s="38"/>
      <c r="X65" s="38"/>
      <c r="Y65" s="43">
        <v>2</v>
      </c>
      <c r="Z65" s="38"/>
      <c r="AA65" s="44"/>
      <c r="AB65" s="38"/>
      <c r="AC65" s="45"/>
      <c r="AD65" s="46">
        <v>0</v>
      </c>
      <c r="AE65" s="46">
        <v>0</v>
      </c>
      <c r="AF65" s="46">
        <v>0</v>
      </c>
      <c r="AG65" s="46">
        <v>0</v>
      </c>
      <c r="AL65" s="11"/>
      <c r="AM65" s="11"/>
      <c r="AN65" s="11"/>
      <c r="AO65" s="11"/>
      <c r="AP65" s="11"/>
      <c r="AQ65" s="11"/>
    </row>
    <row r="66" spans="1:43" ht="19.8" customHeight="1" x14ac:dyDescent="0.25">
      <c r="A66" s="31">
        <v>58</v>
      </c>
      <c r="B66" s="98" t="s">
        <v>234</v>
      </c>
      <c r="C66" s="99">
        <v>501296</v>
      </c>
      <c r="D66" s="89"/>
      <c r="E66" s="89"/>
      <c r="F66" s="68"/>
      <c r="G66" s="34">
        <v>45991</v>
      </c>
      <c r="H66" s="35"/>
      <c r="I66" s="36"/>
      <c r="J66" s="36"/>
      <c r="K66" s="37"/>
      <c r="L66" s="38">
        <v>0</v>
      </c>
      <c r="M66" s="38">
        <v>0</v>
      </c>
      <c r="N66" s="39" t="s">
        <v>235</v>
      </c>
      <c r="O66" s="40">
        <v>0</v>
      </c>
      <c r="P66" s="41"/>
      <c r="Q66" s="41"/>
      <c r="R66" s="41"/>
      <c r="S66" s="34">
        <v>45991</v>
      </c>
      <c r="T66" s="42">
        <v>0</v>
      </c>
      <c r="U66" s="42">
        <v>0</v>
      </c>
      <c r="V66" s="42">
        <v>0</v>
      </c>
      <c r="W66" s="38"/>
      <c r="X66" s="38"/>
      <c r="Y66" s="43">
        <v>2</v>
      </c>
      <c r="Z66" s="38"/>
      <c r="AA66" s="44"/>
      <c r="AB66" s="38"/>
      <c r="AC66" s="45"/>
      <c r="AD66" s="46">
        <v>0</v>
      </c>
      <c r="AE66" s="46">
        <v>0</v>
      </c>
      <c r="AF66" s="46">
        <v>0</v>
      </c>
      <c r="AG66" s="46">
        <v>0</v>
      </c>
      <c r="AL66" s="11"/>
      <c r="AM66" s="11"/>
      <c r="AN66" s="11"/>
      <c r="AO66" s="11"/>
      <c r="AP66" s="11"/>
      <c r="AQ66" s="11"/>
    </row>
    <row r="67" spans="1:43" ht="19.8" customHeight="1" x14ac:dyDescent="0.3">
      <c r="A67" s="31">
        <v>59</v>
      </c>
      <c r="B67" s="100" t="s">
        <v>129</v>
      </c>
      <c r="C67" s="101">
        <v>501308</v>
      </c>
      <c r="D67" s="33" t="s">
        <v>27</v>
      </c>
      <c r="E67" s="33" t="s">
        <v>130</v>
      </c>
      <c r="F67" s="33" t="s">
        <v>131</v>
      </c>
      <c r="G67" s="34">
        <v>45991</v>
      </c>
      <c r="H67" s="35"/>
      <c r="I67" s="36"/>
      <c r="J67" s="36"/>
      <c r="K67" s="37"/>
      <c r="L67" s="38">
        <v>0</v>
      </c>
      <c r="M67" s="38">
        <v>0</v>
      </c>
      <c r="N67" s="56" t="s">
        <v>271</v>
      </c>
      <c r="O67" s="40">
        <v>0</v>
      </c>
      <c r="P67" s="41"/>
      <c r="Q67" s="41"/>
      <c r="R67" s="41"/>
      <c r="S67" s="34">
        <v>45991</v>
      </c>
      <c r="T67" s="42">
        <v>0</v>
      </c>
      <c r="U67" s="42">
        <v>0</v>
      </c>
      <c r="V67" s="42">
        <v>0</v>
      </c>
      <c r="W67" s="38"/>
      <c r="X67" s="38"/>
      <c r="Y67" s="43">
        <v>2</v>
      </c>
      <c r="Z67" s="38"/>
      <c r="AA67" s="44"/>
      <c r="AB67" s="38"/>
      <c r="AC67" s="45"/>
      <c r="AD67" s="46">
        <v>0</v>
      </c>
      <c r="AE67" s="46">
        <v>0</v>
      </c>
      <c r="AF67" s="46">
        <v>0</v>
      </c>
      <c r="AG67" s="46">
        <v>0</v>
      </c>
      <c r="AL67" s="11"/>
      <c r="AM67" s="11"/>
      <c r="AN67" s="11"/>
      <c r="AO67" s="11"/>
      <c r="AP67" s="11"/>
      <c r="AQ67" s="11"/>
    </row>
    <row r="68" spans="1:43" ht="19.8" customHeight="1" x14ac:dyDescent="0.3">
      <c r="A68" s="31">
        <v>60</v>
      </c>
      <c r="B68" s="102" t="s">
        <v>140</v>
      </c>
      <c r="C68" s="103">
        <v>500900</v>
      </c>
      <c r="D68" s="104" t="s">
        <v>27</v>
      </c>
      <c r="E68" s="105" t="s">
        <v>141</v>
      </c>
      <c r="F68" s="106" t="s">
        <v>142</v>
      </c>
      <c r="G68" s="34">
        <v>45991</v>
      </c>
      <c r="H68" s="107">
        <v>3553526.21</v>
      </c>
      <c r="I68" s="107">
        <v>1897.5901815287693</v>
      </c>
      <c r="J68" s="107"/>
      <c r="K68" s="37">
        <v>21227.25</v>
      </c>
      <c r="L68" s="38">
        <v>97</v>
      </c>
      <c r="M68" s="38">
        <v>24</v>
      </c>
      <c r="N68" s="39" t="s">
        <v>278</v>
      </c>
      <c r="O68" s="40">
        <v>0</v>
      </c>
      <c r="P68" s="42">
        <v>0</v>
      </c>
      <c r="Q68" s="42">
        <v>0</v>
      </c>
      <c r="R68" s="42">
        <v>0</v>
      </c>
      <c r="S68" s="34">
        <v>45991</v>
      </c>
      <c r="T68" s="42">
        <v>0</v>
      </c>
      <c r="U68" s="42">
        <v>0</v>
      </c>
      <c r="V68" s="42">
        <v>0</v>
      </c>
      <c r="W68" s="38"/>
      <c r="X68" s="38"/>
      <c r="Y68" s="108"/>
      <c r="Z68" s="109"/>
      <c r="AA68" s="109"/>
      <c r="AB68" s="38" t="s">
        <v>279</v>
      </c>
      <c r="AC68" s="45">
        <v>0</v>
      </c>
      <c r="AD68" s="46">
        <v>0</v>
      </c>
      <c r="AE68" s="46">
        <v>0</v>
      </c>
      <c r="AF68" s="46">
        <v>0</v>
      </c>
      <c r="AG68" s="46">
        <v>0</v>
      </c>
      <c r="AL68" s="11"/>
      <c r="AM68" s="11"/>
      <c r="AN68" s="11"/>
      <c r="AO68" s="11"/>
      <c r="AP68" s="11"/>
      <c r="AQ68" s="11"/>
    </row>
    <row r="69" spans="1:43" ht="19.8" customHeight="1" x14ac:dyDescent="0.3">
      <c r="A69" s="31">
        <v>61</v>
      </c>
      <c r="B69" s="110" t="s">
        <v>143</v>
      </c>
      <c r="C69" s="111">
        <v>500317</v>
      </c>
      <c r="D69" s="112" t="s">
        <v>19</v>
      </c>
      <c r="E69" s="106" t="s">
        <v>144</v>
      </c>
      <c r="F69" s="106" t="s">
        <v>144</v>
      </c>
      <c r="G69" s="34">
        <v>45991</v>
      </c>
      <c r="H69" s="113">
        <v>368666.37337011239</v>
      </c>
      <c r="I69" s="113">
        <v>71115.722197293027</v>
      </c>
      <c r="J69" s="113"/>
      <c r="K69" s="37">
        <v>32000</v>
      </c>
      <c r="L69" s="38">
        <v>111</v>
      </c>
      <c r="M69" s="38">
        <v>111</v>
      </c>
      <c r="N69" s="39" t="s">
        <v>278</v>
      </c>
      <c r="O69" s="40">
        <v>0</v>
      </c>
      <c r="P69" s="42">
        <v>0</v>
      </c>
      <c r="Q69" s="42">
        <v>0</v>
      </c>
      <c r="R69" s="42">
        <v>0</v>
      </c>
      <c r="S69" s="34">
        <v>45991</v>
      </c>
      <c r="T69" s="42">
        <v>0</v>
      </c>
      <c r="U69" s="42">
        <v>0</v>
      </c>
      <c r="V69" s="42">
        <v>0</v>
      </c>
      <c r="W69" s="38"/>
      <c r="X69" s="38"/>
      <c r="Y69" s="108"/>
      <c r="Z69" s="109"/>
      <c r="AA69" s="109"/>
      <c r="AB69" s="38" t="s">
        <v>279</v>
      </c>
      <c r="AC69" s="45">
        <v>0</v>
      </c>
      <c r="AD69" s="46">
        <v>0</v>
      </c>
      <c r="AE69" s="46">
        <v>0</v>
      </c>
      <c r="AF69" s="46">
        <v>0</v>
      </c>
      <c r="AG69" s="46">
        <v>0</v>
      </c>
      <c r="AL69" s="11"/>
      <c r="AM69" s="11"/>
      <c r="AN69" s="11"/>
      <c r="AO69" s="11"/>
      <c r="AP69" s="11"/>
      <c r="AQ69" s="11"/>
    </row>
    <row r="70" spans="1:43" ht="19.8" customHeight="1" x14ac:dyDescent="0.3">
      <c r="A70" s="31">
        <v>62</v>
      </c>
      <c r="B70" s="114" t="s">
        <v>145</v>
      </c>
      <c r="C70" s="106">
        <v>500702</v>
      </c>
      <c r="D70" s="115" t="s">
        <v>19</v>
      </c>
      <c r="E70" s="106" t="s">
        <v>146</v>
      </c>
      <c r="F70" s="106" t="s">
        <v>147</v>
      </c>
      <c r="G70" s="34">
        <v>45991</v>
      </c>
      <c r="H70" s="116">
        <v>943600.99437999993</v>
      </c>
      <c r="I70" s="116">
        <v>5686.0235822499999</v>
      </c>
      <c r="J70" s="117"/>
      <c r="K70" s="37">
        <v>31524.958147588433</v>
      </c>
      <c r="L70" s="38">
        <v>113</v>
      </c>
      <c r="M70" s="38">
        <v>113</v>
      </c>
      <c r="N70" s="39" t="s">
        <v>278</v>
      </c>
      <c r="O70" s="40">
        <v>0</v>
      </c>
      <c r="P70" s="42">
        <v>0</v>
      </c>
      <c r="Q70" s="42">
        <v>0</v>
      </c>
      <c r="R70" s="42">
        <v>0</v>
      </c>
      <c r="S70" s="34">
        <v>45991</v>
      </c>
      <c r="T70" s="42">
        <v>0</v>
      </c>
      <c r="U70" s="42">
        <v>0</v>
      </c>
      <c r="V70" s="42">
        <v>0</v>
      </c>
      <c r="W70" s="38"/>
      <c r="X70" s="38"/>
      <c r="Y70" s="108"/>
      <c r="Z70" s="109"/>
      <c r="AA70" s="109"/>
      <c r="AB70" s="38" t="s">
        <v>279</v>
      </c>
      <c r="AC70" s="45">
        <v>0</v>
      </c>
      <c r="AD70" s="46">
        <v>0</v>
      </c>
      <c r="AE70" s="46">
        <v>0</v>
      </c>
      <c r="AF70" s="46">
        <v>0</v>
      </c>
      <c r="AG70" s="46">
        <v>0</v>
      </c>
      <c r="AL70" s="11"/>
      <c r="AM70" s="11"/>
      <c r="AN70" s="11"/>
      <c r="AO70" s="11"/>
      <c r="AP70" s="11"/>
      <c r="AQ70" s="11"/>
    </row>
    <row r="71" spans="1:43" ht="19.8" customHeight="1" x14ac:dyDescent="0.3">
      <c r="A71" s="31">
        <v>63</v>
      </c>
      <c r="B71" s="114" t="s">
        <v>148</v>
      </c>
      <c r="C71" s="106">
        <v>500716</v>
      </c>
      <c r="D71" s="115" t="s">
        <v>27</v>
      </c>
      <c r="E71" s="106" t="s">
        <v>149</v>
      </c>
      <c r="F71" s="106" t="s">
        <v>150</v>
      </c>
      <c r="G71" s="34">
        <v>45991</v>
      </c>
      <c r="H71" s="116">
        <v>897953.2383925051</v>
      </c>
      <c r="I71" s="118">
        <v>1038963.7704698711</v>
      </c>
      <c r="J71" s="117"/>
      <c r="K71" s="37">
        <v>40000</v>
      </c>
      <c r="L71" s="38">
        <v>133</v>
      </c>
      <c r="M71" s="38">
        <v>4</v>
      </c>
      <c r="N71" s="39" t="s">
        <v>278</v>
      </c>
      <c r="O71" s="40">
        <v>0</v>
      </c>
      <c r="P71" s="42">
        <v>0</v>
      </c>
      <c r="Q71" s="42">
        <v>0</v>
      </c>
      <c r="R71" s="42">
        <v>0</v>
      </c>
      <c r="S71" s="34">
        <v>45991</v>
      </c>
      <c r="T71" s="42">
        <v>0</v>
      </c>
      <c r="U71" s="42">
        <v>0</v>
      </c>
      <c r="V71" s="42">
        <v>0</v>
      </c>
      <c r="W71" s="38"/>
      <c r="X71" s="38"/>
      <c r="Y71" s="108"/>
      <c r="Z71" s="109"/>
      <c r="AA71" s="109"/>
      <c r="AB71" s="38" t="s">
        <v>279</v>
      </c>
      <c r="AC71" s="45">
        <v>0</v>
      </c>
      <c r="AD71" s="46">
        <v>0</v>
      </c>
      <c r="AE71" s="46">
        <v>0</v>
      </c>
      <c r="AF71" s="46">
        <v>0</v>
      </c>
      <c r="AG71" s="46">
        <v>0</v>
      </c>
      <c r="AL71" s="11"/>
      <c r="AM71" s="11"/>
      <c r="AN71" s="11"/>
      <c r="AO71" s="11"/>
      <c r="AP71" s="11"/>
      <c r="AQ71" s="11"/>
    </row>
    <row r="72" spans="1:43" ht="19.8" customHeight="1" x14ac:dyDescent="0.3">
      <c r="A72" s="31">
        <v>64</v>
      </c>
      <c r="B72" s="114" t="s">
        <v>151</v>
      </c>
      <c r="C72" s="106">
        <v>500051</v>
      </c>
      <c r="D72" s="115" t="s">
        <v>19</v>
      </c>
      <c r="E72" s="106" t="s">
        <v>152</v>
      </c>
      <c r="F72" s="106" t="s">
        <v>152</v>
      </c>
      <c r="G72" s="34">
        <v>45991</v>
      </c>
      <c r="H72" s="116">
        <v>5719220.9890199993</v>
      </c>
      <c r="I72" s="118">
        <v>1473023.4886389952</v>
      </c>
      <c r="J72" s="117"/>
      <c r="K72" s="37">
        <v>330.43999999999994</v>
      </c>
      <c r="L72" s="38">
        <v>183</v>
      </c>
      <c r="M72" s="38">
        <v>45</v>
      </c>
      <c r="N72" s="39" t="s">
        <v>278</v>
      </c>
      <c r="O72" s="40">
        <v>0</v>
      </c>
      <c r="P72" s="42">
        <v>0</v>
      </c>
      <c r="Q72" s="42">
        <v>0</v>
      </c>
      <c r="R72" s="42">
        <v>0</v>
      </c>
      <c r="S72" s="34">
        <v>45991</v>
      </c>
      <c r="T72" s="42">
        <v>0</v>
      </c>
      <c r="U72" s="42">
        <v>0</v>
      </c>
      <c r="V72" s="42">
        <v>0</v>
      </c>
      <c r="W72" s="38"/>
      <c r="X72" s="38"/>
      <c r="Y72" s="108"/>
      <c r="Z72" s="109"/>
      <c r="AA72" s="109"/>
      <c r="AB72" s="38" t="s">
        <v>279</v>
      </c>
      <c r="AC72" s="45">
        <v>0</v>
      </c>
      <c r="AD72" s="46">
        <v>0</v>
      </c>
      <c r="AE72" s="46">
        <v>0</v>
      </c>
      <c r="AF72" s="46">
        <v>0</v>
      </c>
      <c r="AG72" s="46">
        <v>0</v>
      </c>
      <c r="AL72" s="11"/>
      <c r="AM72" s="11"/>
      <c r="AN72" s="11"/>
      <c r="AO72" s="11"/>
      <c r="AP72" s="11"/>
      <c r="AQ72" s="11"/>
    </row>
    <row r="73" spans="1:43" ht="19.8" customHeight="1" x14ac:dyDescent="0.3">
      <c r="A73" s="31">
        <v>65</v>
      </c>
      <c r="B73" s="114" t="s">
        <v>153</v>
      </c>
      <c r="C73" s="106">
        <v>500665</v>
      </c>
      <c r="D73" s="115" t="s">
        <v>19</v>
      </c>
      <c r="E73" s="106" t="s">
        <v>154</v>
      </c>
      <c r="F73" s="106" t="s">
        <v>155</v>
      </c>
      <c r="G73" s="34">
        <v>45991</v>
      </c>
      <c r="H73" s="119">
        <v>44055817.998499982</v>
      </c>
      <c r="I73" s="119">
        <v>7887776.0330226794</v>
      </c>
      <c r="J73" s="107"/>
      <c r="K73" s="37">
        <v>6774148.5411599996</v>
      </c>
      <c r="L73" s="38">
        <v>113</v>
      </c>
      <c r="M73" s="38">
        <v>99</v>
      </c>
      <c r="N73" s="39" t="s">
        <v>278</v>
      </c>
      <c r="O73" s="40">
        <v>0</v>
      </c>
      <c r="P73" s="42">
        <v>0</v>
      </c>
      <c r="Q73" s="42">
        <v>0</v>
      </c>
      <c r="R73" s="42">
        <v>0</v>
      </c>
      <c r="S73" s="34">
        <v>45991</v>
      </c>
      <c r="T73" s="42">
        <v>0</v>
      </c>
      <c r="U73" s="42">
        <v>0</v>
      </c>
      <c r="V73" s="42">
        <v>0</v>
      </c>
      <c r="W73" s="38"/>
      <c r="X73" s="38"/>
      <c r="Y73" s="108"/>
      <c r="Z73" s="109"/>
      <c r="AA73" s="109"/>
      <c r="AB73" s="38" t="s">
        <v>279</v>
      </c>
      <c r="AC73" s="45">
        <v>0</v>
      </c>
      <c r="AD73" s="46">
        <v>0</v>
      </c>
      <c r="AE73" s="46">
        <v>0</v>
      </c>
      <c r="AF73" s="46">
        <v>0</v>
      </c>
      <c r="AG73" s="46">
        <v>0</v>
      </c>
      <c r="AL73" s="11"/>
      <c r="AM73" s="11"/>
      <c r="AN73" s="11"/>
      <c r="AO73" s="11"/>
      <c r="AP73" s="11"/>
      <c r="AQ73" s="11"/>
    </row>
    <row r="74" spans="1:43" s="127" customFormat="1" ht="19.8" customHeight="1" x14ac:dyDescent="0.3">
      <c r="A74" s="31">
        <v>66</v>
      </c>
      <c r="B74" s="114" t="s">
        <v>156</v>
      </c>
      <c r="C74" s="106">
        <v>500508</v>
      </c>
      <c r="D74" s="115" t="s">
        <v>19</v>
      </c>
      <c r="E74" s="106" t="s">
        <v>157</v>
      </c>
      <c r="F74" s="106" t="s">
        <v>158</v>
      </c>
      <c r="G74" s="34">
        <v>45991</v>
      </c>
      <c r="H74" s="120">
        <v>681058.39</v>
      </c>
      <c r="I74" s="120">
        <v>163405.75618340686</v>
      </c>
      <c r="J74" s="121"/>
      <c r="K74" s="37">
        <v>0</v>
      </c>
      <c r="L74" s="122">
        <v>154</v>
      </c>
      <c r="M74" s="122">
        <v>154</v>
      </c>
      <c r="N74" s="39" t="s">
        <v>278</v>
      </c>
      <c r="O74" s="123">
        <v>0</v>
      </c>
      <c r="P74" s="42">
        <v>0</v>
      </c>
      <c r="Q74" s="42">
        <v>0</v>
      </c>
      <c r="R74" s="42">
        <v>0</v>
      </c>
      <c r="S74" s="34">
        <v>45991</v>
      </c>
      <c r="T74" s="124">
        <v>0</v>
      </c>
      <c r="U74" s="42">
        <v>0</v>
      </c>
      <c r="V74" s="124">
        <v>0</v>
      </c>
      <c r="W74" s="38"/>
      <c r="X74" s="38"/>
      <c r="Y74" s="108"/>
      <c r="Z74" s="109"/>
      <c r="AA74" s="109"/>
      <c r="AB74" s="38" t="s">
        <v>279</v>
      </c>
      <c r="AC74" s="125">
        <v>0</v>
      </c>
      <c r="AD74" s="126">
        <v>0</v>
      </c>
      <c r="AE74" s="126">
        <v>0</v>
      </c>
      <c r="AF74" s="126">
        <v>0</v>
      </c>
      <c r="AG74" s="126">
        <v>0</v>
      </c>
      <c r="AL74" s="128"/>
      <c r="AM74" s="128"/>
      <c r="AN74" s="128"/>
      <c r="AO74" s="128"/>
      <c r="AP74" s="128"/>
      <c r="AQ74" s="128"/>
    </row>
    <row r="75" spans="1:43" ht="19.8" customHeight="1" x14ac:dyDescent="0.3">
      <c r="A75" s="31">
        <v>67</v>
      </c>
      <c r="B75" s="114" t="s">
        <v>159</v>
      </c>
      <c r="C75" s="106">
        <v>500186</v>
      </c>
      <c r="D75" s="115" t="s">
        <v>27</v>
      </c>
      <c r="E75" s="106" t="s">
        <v>160</v>
      </c>
      <c r="F75" s="106" t="s">
        <v>160</v>
      </c>
      <c r="G75" s="34">
        <v>45991</v>
      </c>
      <c r="H75" s="113">
        <v>224277757.46734318</v>
      </c>
      <c r="I75" s="113">
        <v>97461753.321891665</v>
      </c>
      <c r="J75" s="107"/>
      <c r="K75" s="37">
        <v>10124253.060690235</v>
      </c>
      <c r="L75" s="38">
        <v>170</v>
      </c>
      <c r="M75" s="38">
        <v>99</v>
      </c>
      <c r="N75" s="39" t="s">
        <v>278</v>
      </c>
      <c r="O75" s="40">
        <v>0</v>
      </c>
      <c r="P75" s="42">
        <v>0</v>
      </c>
      <c r="Q75" s="42">
        <v>0</v>
      </c>
      <c r="R75" s="42">
        <v>0</v>
      </c>
      <c r="S75" s="34">
        <v>45991</v>
      </c>
      <c r="T75" s="42">
        <v>0</v>
      </c>
      <c r="U75" s="42">
        <v>0</v>
      </c>
      <c r="V75" s="42">
        <v>0</v>
      </c>
      <c r="W75" s="38"/>
      <c r="X75" s="38"/>
      <c r="Y75" s="108"/>
      <c r="Z75" s="109"/>
      <c r="AA75" s="109"/>
      <c r="AB75" s="38" t="s">
        <v>279</v>
      </c>
      <c r="AC75" s="45">
        <v>0</v>
      </c>
      <c r="AD75" s="46">
        <v>0</v>
      </c>
      <c r="AE75" s="46">
        <v>0</v>
      </c>
      <c r="AF75" s="46">
        <v>0</v>
      </c>
      <c r="AG75" s="46">
        <v>0</v>
      </c>
      <c r="AL75" s="11"/>
      <c r="AM75" s="11"/>
      <c r="AN75" s="11"/>
      <c r="AO75" s="11"/>
      <c r="AP75" s="11"/>
      <c r="AQ75" s="11"/>
    </row>
    <row r="76" spans="1:43" ht="19.8" customHeight="1" x14ac:dyDescent="0.3">
      <c r="A76" s="31">
        <v>68</v>
      </c>
      <c r="B76" s="114" t="s">
        <v>161</v>
      </c>
      <c r="C76" s="106">
        <v>500742</v>
      </c>
      <c r="D76" s="115" t="s">
        <v>19</v>
      </c>
      <c r="E76" s="106" t="s">
        <v>202</v>
      </c>
      <c r="F76" s="106" t="s">
        <v>202</v>
      </c>
      <c r="G76" s="34">
        <v>45991</v>
      </c>
      <c r="H76" s="113">
        <v>155907.59</v>
      </c>
      <c r="I76" s="129">
        <v>0</v>
      </c>
      <c r="J76" s="129"/>
      <c r="K76" s="37">
        <v>0</v>
      </c>
      <c r="L76" s="38">
        <v>125</v>
      </c>
      <c r="M76" s="38">
        <v>99</v>
      </c>
      <c r="N76" s="39" t="s">
        <v>278</v>
      </c>
      <c r="O76" s="40">
        <v>0</v>
      </c>
      <c r="P76" s="42">
        <v>0</v>
      </c>
      <c r="Q76" s="42">
        <v>0</v>
      </c>
      <c r="R76" s="42">
        <v>0</v>
      </c>
      <c r="S76" s="34">
        <v>45991</v>
      </c>
      <c r="T76" s="42">
        <v>0</v>
      </c>
      <c r="U76" s="42">
        <v>0</v>
      </c>
      <c r="V76" s="42">
        <v>0</v>
      </c>
      <c r="W76" s="38"/>
      <c r="X76" s="38"/>
      <c r="Y76" s="108"/>
      <c r="Z76" s="109"/>
      <c r="AA76" s="109"/>
      <c r="AB76" s="38" t="s">
        <v>279</v>
      </c>
      <c r="AC76" s="45">
        <v>0</v>
      </c>
      <c r="AD76" s="46">
        <v>0</v>
      </c>
      <c r="AE76" s="46">
        <v>0</v>
      </c>
      <c r="AF76" s="46">
        <v>0</v>
      </c>
      <c r="AG76" s="46">
        <v>0</v>
      </c>
      <c r="AL76" s="11"/>
      <c r="AM76" s="11"/>
      <c r="AN76" s="11"/>
      <c r="AO76" s="11"/>
      <c r="AP76" s="11"/>
      <c r="AQ76" s="11"/>
    </row>
    <row r="77" spans="1:43" ht="19.8" customHeight="1" x14ac:dyDescent="0.3">
      <c r="A77" s="31">
        <v>69</v>
      </c>
      <c r="B77" s="114" t="s">
        <v>162</v>
      </c>
      <c r="C77" s="106">
        <v>500197</v>
      </c>
      <c r="D77" s="115" t="s">
        <v>27</v>
      </c>
      <c r="E77" s="106" t="s">
        <v>163</v>
      </c>
      <c r="F77" s="106" t="s">
        <v>163</v>
      </c>
      <c r="G77" s="34">
        <v>45991</v>
      </c>
      <c r="H77" s="130">
        <v>10901899.460000001</v>
      </c>
      <c r="I77" s="130">
        <v>1963350.3671753425</v>
      </c>
      <c r="J77" s="131"/>
      <c r="K77" s="37">
        <v>0</v>
      </c>
      <c r="L77" s="38">
        <v>201</v>
      </c>
      <c r="M77" s="38">
        <v>13</v>
      </c>
      <c r="N77" s="39" t="s">
        <v>278</v>
      </c>
      <c r="O77" s="40">
        <v>0</v>
      </c>
      <c r="P77" s="42">
        <v>0</v>
      </c>
      <c r="Q77" s="42">
        <v>0</v>
      </c>
      <c r="R77" s="42">
        <v>0</v>
      </c>
      <c r="S77" s="34">
        <v>45991</v>
      </c>
      <c r="T77" s="42">
        <v>0</v>
      </c>
      <c r="U77" s="42">
        <v>0</v>
      </c>
      <c r="V77" s="42">
        <v>0</v>
      </c>
      <c r="W77" s="38"/>
      <c r="X77" s="38"/>
      <c r="Y77" s="108"/>
      <c r="Z77" s="109"/>
      <c r="AA77" s="109"/>
      <c r="AB77" s="38" t="s">
        <v>279</v>
      </c>
      <c r="AC77" s="45">
        <v>0</v>
      </c>
      <c r="AD77" s="46">
        <v>0</v>
      </c>
      <c r="AE77" s="46">
        <v>0</v>
      </c>
      <c r="AF77" s="46">
        <v>0</v>
      </c>
      <c r="AG77" s="46">
        <v>0</v>
      </c>
      <c r="AL77" s="11"/>
      <c r="AM77" s="11"/>
      <c r="AN77" s="11"/>
      <c r="AO77" s="11"/>
      <c r="AP77" s="11"/>
      <c r="AQ77" s="11"/>
    </row>
    <row r="78" spans="1:43" ht="19.8" customHeight="1" x14ac:dyDescent="0.3">
      <c r="A78" s="31">
        <v>70</v>
      </c>
      <c r="B78" s="114" t="s">
        <v>164</v>
      </c>
      <c r="C78" s="106">
        <v>500806</v>
      </c>
      <c r="D78" s="115" t="s">
        <v>19</v>
      </c>
      <c r="E78" s="106" t="s">
        <v>165</v>
      </c>
      <c r="F78" s="106" t="s">
        <v>165</v>
      </c>
      <c r="G78" s="34">
        <v>45991</v>
      </c>
      <c r="H78" s="130">
        <v>970023.52</v>
      </c>
      <c r="I78" s="130">
        <v>8721.77</v>
      </c>
      <c r="J78" s="131"/>
      <c r="K78" s="37">
        <v>0</v>
      </c>
      <c r="L78" s="38">
        <v>101</v>
      </c>
      <c r="M78" s="38">
        <v>99</v>
      </c>
      <c r="N78" s="39" t="s">
        <v>278</v>
      </c>
      <c r="O78" s="40">
        <v>0</v>
      </c>
      <c r="P78" s="42">
        <v>0</v>
      </c>
      <c r="Q78" s="42">
        <v>0</v>
      </c>
      <c r="R78" s="42">
        <v>0</v>
      </c>
      <c r="S78" s="34">
        <v>45991</v>
      </c>
      <c r="T78" s="42">
        <v>0</v>
      </c>
      <c r="U78" s="42">
        <v>0</v>
      </c>
      <c r="V78" s="42">
        <v>0</v>
      </c>
      <c r="W78" s="38"/>
      <c r="X78" s="38"/>
      <c r="Y78" s="108"/>
      <c r="Z78" s="109"/>
      <c r="AA78" s="109"/>
      <c r="AB78" s="38" t="s">
        <v>279</v>
      </c>
      <c r="AC78" s="45">
        <v>0</v>
      </c>
      <c r="AD78" s="46">
        <v>0</v>
      </c>
      <c r="AE78" s="46">
        <v>0</v>
      </c>
      <c r="AF78" s="46">
        <v>0</v>
      </c>
      <c r="AG78" s="46">
        <v>0</v>
      </c>
      <c r="AL78" s="11"/>
      <c r="AM78" s="11"/>
      <c r="AN78" s="11"/>
      <c r="AO78" s="11"/>
      <c r="AP78" s="11"/>
      <c r="AQ78" s="11"/>
    </row>
    <row r="79" spans="1:43" ht="19.8" customHeight="1" x14ac:dyDescent="0.3">
      <c r="A79" s="31">
        <v>71</v>
      </c>
      <c r="B79" s="114" t="s">
        <v>166</v>
      </c>
      <c r="C79" s="106">
        <v>500857</v>
      </c>
      <c r="D79" s="115" t="s">
        <v>27</v>
      </c>
      <c r="E79" s="106" t="s">
        <v>167</v>
      </c>
      <c r="F79" s="106" t="s">
        <v>167</v>
      </c>
      <c r="G79" s="34">
        <v>45991</v>
      </c>
      <c r="H79" s="130">
        <v>1613391.9285549999</v>
      </c>
      <c r="I79" s="130">
        <v>33684.970990000002</v>
      </c>
      <c r="J79" s="107"/>
      <c r="K79" s="37">
        <v>14706.34</v>
      </c>
      <c r="L79" s="38">
        <v>76</v>
      </c>
      <c r="M79" s="38">
        <v>7</v>
      </c>
      <c r="N79" s="39" t="s">
        <v>278</v>
      </c>
      <c r="O79" s="40">
        <v>0</v>
      </c>
      <c r="P79" s="45">
        <v>0</v>
      </c>
      <c r="Q79" s="45">
        <v>0</v>
      </c>
      <c r="R79" s="45">
        <v>0</v>
      </c>
      <c r="S79" s="34">
        <v>45991</v>
      </c>
      <c r="T79" s="42">
        <v>0</v>
      </c>
      <c r="U79" s="42">
        <v>0</v>
      </c>
      <c r="V79" s="42">
        <v>0</v>
      </c>
      <c r="W79" s="38"/>
      <c r="X79" s="38"/>
      <c r="Y79" s="108"/>
      <c r="Z79" s="109"/>
      <c r="AA79" s="109"/>
      <c r="AB79" s="38" t="s">
        <v>279</v>
      </c>
      <c r="AC79" s="45">
        <v>0</v>
      </c>
      <c r="AD79" s="46">
        <v>0</v>
      </c>
      <c r="AE79" s="46">
        <v>0</v>
      </c>
      <c r="AF79" s="46">
        <v>0</v>
      </c>
      <c r="AG79" s="46">
        <v>0</v>
      </c>
      <c r="AL79" s="11"/>
      <c r="AM79" s="11"/>
      <c r="AN79" s="11"/>
      <c r="AO79" s="11"/>
      <c r="AP79" s="11"/>
      <c r="AQ79" s="11"/>
    </row>
    <row r="80" spans="1:43" ht="19.8" customHeight="1" x14ac:dyDescent="0.3">
      <c r="A80" s="31">
        <v>72</v>
      </c>
      <c r="B80" s="114" t="s">
        <v>166</v>
      </c>
      <c r="C80" s="106">
        <v>500773</v>
      </c>
      <c r="D80" s="115" t="s">
        <v>27</v>
      </c>
      <c r="E80" s="106" t="s">
        <v>168</v>
      </c>
      <c r="F80" s="106" t="s">
        <v>169</v>
      </c>
      <c r="G80" s="34">
        <v>45991</v>
      </c>
      <c r="H80" s="130">
        <v>1304312.93</v>
      </c>
      <c r="I80" s="131">
        <v>0</v>
      </c>
      <c r="J80" s="131"/>
      <c r="K80" s="37">
        <v>0</v>
      </c>
      <c r="L80" s="38">
        <v>73</v>
      </c>
      <c r="M80" s="38">
        <v>14</v>
      </c>
      <c r="N80" s="39" t="s">
        <v>278</v>
      </c>
      <c r="O80" s="40">
        <v>0</v>
      </c>
      <c r="P80" s="45">
        <v>0</v>
      </c>
      <c r="Q80" s="45">
        <v>0</v>
      </c>
      <c r="R80" s="45">
        <v>0</v>
      </c>
      <c r="S80" s="34">
        <v>45991</v>
      </c>
      <c r="T80" s="42">
        <v>0</v>
      </c>
      <c r="U80" s="42">
        <v>0</v>
      </c>
      <c r="V80" s="42">
        <v>0</v>
      </c>
      <c r="W80" s="38"/>
      <c r="X80" s="38"/>
      <c r="Y80" s="108"/>
      <c r="Z80" s="109"/>
      <c r="AA80" s="109"/>
      <c r="AB80" s="38" t="s">
        <v>279</v>
      </c>
      <c r="AC80" s="45">
        <v>0</v>
      </c>
      <c r="AD80" s="46">
        <v>0</v>
      </c>
      <c r="AE80" s="46">
        <v>0</v>
      </c>
      <c r="AF80" s="46">
        <v>0</v>
      </c>
      <c r="AG80" s="46">
        <v>0</v>
      </c>
      <c r="AL80" s="11"/>
      <c r="AM80" s="11"/>
      <c r="AN80" s="11"/>
      <c r="AO80" s="11"/>
      <c r="AP80" s="11"/>
      <c r="AQ80" s="11"/>
    </row>
    <row r="81" spans="1:47" ht="19.8" customHeight="1" x14ac:dyDescent="0.3">
      <c r="A81" s="31">
        <v>73</v>
      </c>
      <c r="B81" s="114" t="s">
        <v>170</v>
      </c>
      <c r="C81" s="106">
        <v>500888</v>
      </c>
      <c r="D81" s="115" t="s">
        <v>27</v>
      </c>
      <c r="E81" s="106" t="s">
        <v>171</v>
      </c>
      <c r="F81" s="106" t="s">
        <v>171</v>
      </c>
      <c r="G81" s="34">
        <v>45991</v>
      </c>
      <c r="H81" s="35">
        <v>70984699.488999993</v>
      </c>
      <c r="I81" s="36">
        <v>1109002.2820249998</v>
      </c>
      <c r="J81" s="36"/>
      <c r="K81" s="37">
        <v>262294.63925499999</v>
      </c>
      <c r="L81" s="38">
        <v>98</v>
      </c>
      <c r="M81" s="38">
        <v>19</v>
      </c>
      <c r="N81" s="39" t="s">
        <v>278</v>
      </c>
      <c r="O81" s="40">
        <v>0</v>
      </c>
      <c r="P81" s="45">
        <v>0</v>
      </c>
      <c r="Q81" s="45">
        <v>0</v>
      </c>
      <c r="R81" s="45">
        <v>0</v>
      </c>
      <c r="S81" s="34">
        <v>45991</v>
      </c>
      <c r="T81" s="42">
        <v>0</v>
      </c>
      <c r="U81" s="42">
        <v>0</v>
      </c>
      <c r="V81" s="42">
        <v>0</v>
      </c>
      <c r="W81" s="38"/>
      <c r="X81" s="38"/>
      <c r="Y81" s="108"/>
      <c r="Z81" s="109"/>
      <c r="AA81" s="109"/>
      <c r="AB81" s="38" t="s">
        <v>279</v>
      </c>
      <c r="AC81" s="45">
        <v>0</v>
      </c>
      <c r="AD81" s="46">
        <v>0</v>
      </c>
      <c r="AE81" s="46">
        <v>0</v>
      </c>
      <c r="AF81" s="46">
        <v>0</v>
      </c>
      <c r="AG81" s="46">
        <v>0</v>
      </c>
      <c r="AL81" s="11"/>
      <c r="AM81" s="11"/>
      <c r="AN81" s="11"/>
      <c r="AO81" s="11"/>
      <c r="AP81" s="11"/>
      <c r="AQ81" s="11"/>
    </row>
    <row r="82" spans="1:47" ht="19.8" customHeight="1" x14ac:dyDescent="0.3">
      <c r="A82" s="31">
        <v>74</v>
      </c>
      <c r="B82" s="114" t="s">
        <v>172</v>
      </c>
      <c r="C82" s="106">
        <v>500838</v>
      </c>
      <c r="D82" s="115" t="s">
        <v>27</v>
      </c>
      <c r="E82" s="106" t="s">
        <v>173</v>
      </c>
      <c r="F82" s="106" t="s">
        <v>173</v>
      </c>
      <c r="G82" s="34">
        <v>45991</v>
      </c>
      <c r="H82" s="35">
        <v>138075689.22542998</v>
      </c>
      <c r="I82" s="44">
        <v>1255622.8883549997</v>
      </c>
      <c r="J82" s="44"/>
      <c r="K82" s="37">
        <v>700986.82455999998</v>
      </c>
      <c r="L82" s="38">
        <v>106</v>
      </c>
      <c r="M82" s="38">
        <v>34</v>
      </c>
      <c r="N82" s="39" t="s">
        <v>278</v>
      </c>
      <c r="O82" s="40">
        <v>0</v>
      </c>
      <c r="P82" s="45">
        <v>0</v>
      </c>
      <c r="Q82" s="45">
        <v>0</v>
      </c>
      <c r="R82" s="45">
        <v>0</v>
      </c>
      <c r="S82" s="34">
        <v>45991</v>
      </c>
      <c r="T82" s="42">
        <v>0</v>
      </c>
      <c r="U82" s="42">
        <v>0</v>
      </c>
      <c r="V82" s="42">
        <v>0</v>
      </c>
      <c r="W82" s="38"/>
      <c r="X82" s="38"/>
      <c r="Y82" s="108"/>
      <c r="Z82" s="109"/>
      <c r="AA82" s="109"/>
      <c r="AB82" s="38" t="s">
        <v>279</v>
      </c>
      <c r="AC82" s="45">
        <v>0</v>
      </c>
      <c r="AD82" s="46">
        <v>0</v>
      </c>
      <c r="AE82" s="46">
        <v>0</v>
      </c>
      <c r="AF82" s="46">
        <v>0</v>
      </c>
      <c r="AG82" s="46">
        <v>0</v>
      </c>
      <c r="AL82" s="11"/>
      <c r="AM82" s="11"/>
      <c r="AN82" s="11"/>
      <c r="AO82" s="11"/>
      <c r="AP82" s="11"/>
      <c r="AQ82" s="11"/>
    </row>
    <row r="83" spans="1:47" ht="19.8" customHeight="1" x14ac:dyDescent="0.3">
      <c r="A83" s="31">
        <v>75</v>
      </c>
      <c r="B83" s="114" t="s">
        <v>174</v>
      </c>
      <c r="C83" s="106">
        <v>500560</v>
      </c>
      <c r="D83" s="115" t="s">
        <v>19</v>
      </c>
      <c r="E83" s="106" t="s">
        <v>175</v>
      </c>
      <c r="F83" s="106" t="s">
        <v>175</v>
      </c>
      <c r="G83" s="34">
        <v>45991</v>
      </c>
      <c r="H83" s="35">
        <v>668800</v>
      </c>
      <c r="I83" s="36">
        <v>29467.440000000002</v>
      </c>
      <c r="J83" s="45"/>
      <c r="K83" s="37">
        <v>0</v>
      </c>
      <c r="L83" s="38">
        <v>152</v>
      </c>
      <c r="M83" s="38">
        <v>152</v>
      </c>
      <c r="N83" s="39" t="s">
        <v>278</v>
      </c>
      <c r="O83" s="40">
        <v>0</v>
      </c>
      <c r="P83" s="45">
        <v>0</v>
      </c>
      <c r="Q83" s="45">
        <v>0</v>
      </c>
      <c r="R83" s="45">
        <v>0</v>
      </c>
      <c r="S83" s="34">
        <v>45991</v>
      </c>
      <c r="T83" s="42">
        <v>0</v>
      </c>
      <c r="U83" s="42">
        <v>0</v>
      </c>
      <c r="V83" s="42">
        <v>0</v>
      </c>
      <c r="W83" s="38"/>
      <c r="X83" s="38"/>
      <c r="Y83" s="108"/>
      <c r="Z83" s="109"/>
      <c r="AA83" s="109"/>
      <c r="AB83" s="38" t="s">
        <v>279</v>
      </c>
      <c r="AC83" s="45">
        <v>0</v>
      </c>
      <c r="AD83" s="46">
        <v>0</v>
      </c>
      <c r="AE83" s="46">
        <v>0</v>
      </c>
      <c r="AF83" s="46">
        <v>0</v>
      </c>
      <c r="AG83" s="46">
        <v>0</v>
      </c>
      <c r="AL83" s="11"/>
      <c r="AM83" s="11"/>
      <c r="AN83" s="11"/>
      <c r="AO83" s="11"/>
      <c r="AP83" s="11"/>
      <c r="AQ83" s="11"/>
    </row>
    <row r="84" spans="1:47" ht="19.8" customHeight="1" x14ac:dyDescent="0.3">
      <c r="A84" s="31">
        <v>76</v>
      </c>
      <c r="B84" s="114" t="s">
        <v>176</v>
      </c>
      <c r="C84" s="106">
        <v>500297</v>
      </c>
      <c r="D84" s="115" t="s">
        <v>19</v>
      </c>
      <c r="E84" s="106" t="s">
        <v>177</v>
      </c>
      <c r="F84" s="106" t="s">
        <v>177</v>
      </c>
      <c r="G84" s="34">
        <v>45991</v>
      </c>
      <c r="H84" s="35">
        <v>3899029.7539599994</v>
      </c>
      <c r="I84" s="36">
        <v>1791081.4537</v>
      </c>
      <c r="J84" s="36"/>
      <c r="K84" s="37">
        <v>331236.02995999996</v>
      </c>
      <c r="L84" s="38">
        <v>133</v>
      </c>
      <c r="M84" s="38">
        <v>133</v>
      </c>
      <c r="N84" s="39" t="s">
        <v>278</v>
      </c>
      <c r="O84" s="40">
        <v>0</v>
      </c>
      <c r="P84" s="45">
        <v>0</v>
      </c>
      <c r="Q84" s="45">
        <v>0</v>
      </c>
      <c r="R84" s="45">
        <v>0</v>
      </c>
      <c r="S84" s="34">
        <v>45991</v>
      </c>
      <c r="T84" s="42">
        <v>0</v>
      </c>
      <c r="U84" s="42">
        <v>0</v>
      </c>
      <c r="V84" s="42">
        <v>0</v>
      </c>
      <c r="W84" s="38"/>
      <c r="X84" s="38"/>
      <c r="Y84" s="108"/>
      <c r="Z84" s="109"/>
      <c r="AA84" s="109"/>
      <c r="AB84" s="38" t="s">
        <v>279</v>
      </c>
      <c r="AC84" s="45">
        <v>0</v>
      </c>
      <c r="AD84" s="46">
        <v>0</v>
      </c>
      <c r="AE84" s="46">
        <v>0</v>
      </c>
      <c r="AF84" s="46">
        <v>0</v>
      </c>
      <c r="AG84" s="46">
        <v>0</v>
      </c>
      <c r="AL84" s="11"/>
      <c r="AM84" s="11"/>
      <c r="AN84" s="11"/>
      <c r="AO84" s="11"/>
      <c r="AP84" s="11"/>
      <c r="AQ84" s="11"/>
    </row>
    <row r="85" spans="1:47" ht="19.8" customHeight="1" x14ac:dyDescent="0.3">
      <c r="A85" s="31">
        <v>77</v>
      </c>
      <c r="B85" s="114" t="s">
        <v>178</v>
      </c>
      <c r="C85" s="106">
        <v>500962</v>
      </c>
      <c r="D85" s="115" t="s">
        <v>27</v>
      </c>
      <c r="E85" s="106" t="s">
        <v>179</v>
      </c>
      <c r="F85" s="106" t="s">
        <v>179</v>
      </c>
      <c r="G85" s="34">
        <v>45991</v>
      </c>
      <c r="H85" s="35">
        <v>40515000</v>
      </c>
      <c r="I85" s="36">
        <v>10835983.789999999</v>
      </c>
      <c r="J85" s="45"/>
      <c r="K85" s="37">
        <v>0</v>
      </c>
      <c r="L85" s="38">
        <v>96</v>
      </c>
      <c r="M85" s="38">
        <v>96</v>
      </c>
      <c r="N85" s="39" t="s">
        <v>278</v>
      </c>
      <c r="O85" s="40">
        <v>0</v>
      </c>
      <c r="P85" s="45">
        <v>0</v>
      </c>
      <c r="Q85" s="45">
        <v>0</v>
      </c>
      <c r="R85" s="45">
        <v>0</v>
      </c>
      <c r="S85" s="34">
        <v>45991</v>
      </c>
      <c r="T85" s="42">
        <v>0</v>
      </c>
      <c r="U85" s="42">
        <v>0</v>
      </c>
      <c r="V85" s="42">
        <v>0</v>
      </c>
      <c r="W85" s="38"/>
      <c r="X85" s="38"/>
      <c r="Y85" s="108"/>
      <c r="Z85" s="109"/>
      <c r="AA85" s="109"/>
      <c r="AB85" s="38" t="s">
        <v>279</v>
      </c>
      <c r="AC85" s="45">
        <v>0</v>
      </c>
      <c r="AD85" s="46">
        <v>0</v>
      </c>
      <c r="AE85" s="46">
        <v>0</v>
      </c>
      <c r="AF85" s="46">
        <v>0</v>
      </c>
      <c r="AG85" s="46">
        <v>0</v>
      </c>
      <c r="AL85" s="11"/>
      <c r="AM85" s="11"/>
      <c r="AN85" s="11"/>
      <c r="AO85" s="11"/>
      <c r="AP85" s="11"/>
      <c r="AQ85" s="11"/>
    </row>
    <row r="86" spans="1:47" ht="19.8" customHeight="1" x14ac:dyDescent="0.3">
      <c r="A86" s="31">
        <v>78</v>
      </c>
      <c r="B86" s="114" t="s">
        <v>180</v>
      </c>
      <c r="C86" s="106">
        <v>500515</v>
      </c>
      <c r="D86" s="115" t="s">
        <v>27</v>
      </c>
      <c r="E86" s="106" t="s">
        <v>181</v>
      </c>
      <c r="F86" s="106" t="s">
        <v>182</v>
      </c>
      <c r="G86" s="34">
        <v>45991</v>
      </c>
      <c r="H86" s="35">
        <v>33841904.959169999</v>
      </c>
      <c r="I86" s="36">
        <v>11281942.372249998</v>
      </c>
      <c r="J86" s="36"/>
      <c r="K86" s="37">
        <v>1632868.2635949999</v>
      </c>
      <c r="L86" s="38">
        <v>96</v>
      </c>
      <c r="M86" s="38">
        <v>96</v>
      </c>
      <c r="N86" s="39" t="s">
        <v>278</v>
      </c>
      <c r="O86" s="40">
        <v>0</v>
      </c>
      <c r="P86" s="45">
        <v>0</v>
      </c>
      <c r="Q86" s="45">
        <v>0</v>
      </c>
      <c r="R86" s="45">
        <v>0</v>
      </c>
      <c r="S86" s="34">
        <v>45991</v>
      </c>
      <c r="T86" s="42">
        <v>0</v>
      </c>
      <c r="U86" s="42">
        <v>0</v>
      </c>
      <c r="V86" s="42">
        <v>0</v>
      </c>
      <c r="W86" s="38"/>
      <c r="X86" s="38"/>
      <c r="Y86" s="108"/>
      <c r="Z86" s="109"/>
      <c r="AA86" s="109"/>
      <c r="AB86" s="38" t="s">
        <v>279</v>
      </c>
      <c r="AC86" s="45">
        <v>0</v>
      </c>
      <c r="AD86" s="46">
        <v>0</v>
      </c>
      <c r="AE86" s="46">
        <v>0</v>
      </c>
      <c r="AF86" s="46">
        <v>0</v>
      </c>
      <c r="AG86" s="46">
        <v>0</v>
      </c>
      <c r="AL86" s="11"/>
      <c r="AM86" s="11"/>
      <c r="AN86" s="11"/>
      <c r="AO86" s="11"/>
      <c r="AP86" s="11"/>
      <c r="AQ86" s="11"/>
    </row>
    <row r="87" spans="1:47" ht="19.8" customHeight="1" x14ac:dyDescent="0.3">
      <c r="A87" s="31">
        <v>79</v>
      </c>
      <c r="B87" s="132" t="s">
        <v>26</v>
      </c>
      <c r="C87" s="106">
        <v>500529</v>
      </c>
      <c r="D87" s="115" t="s">
        <v>27</v>
      </c>
      <c r="E87" s="106" t="s">
        <v>28</v>
      </c>
      <c r="F87" s="106" t="s">
        <v>28</v>
      </c>
      <c r="G87" s="34">
        <v>45991</v>
      </c>
      <c r="H87" s="35">
        <v>31841955.439999998</v>
      </c>
      <c r="I87" s="36">
        <v>5554995.9699999997</v>
      </c>
      <c r="J87" s="45"/>
      <c r="K87" s="37">
        <v>0</v>
      </c>
      <c r="L87" s="38">
        <v>120</v>
      </c>
      <c r="M87" s="38">
        <v>5</v>
      </c>
      <c r="N87" s="39" t="s">
        <v>278</v>
      </c>
      <c r="O87" s="40">
        <v>0</v>
      </c>
      <c r="P87" s="45">
        <v>0</v>
      </c>
      <c r="Q87" s="45">
        <v>0</v>
      </c>
      <c r="R87" s="45">
        <v>0</v>
      </c>
      <c r="S87" s="34">
        <v>45991</v>
      </c>
      <c r="T87" s="42">
        <v>0</v>
      </c>
      <c r="U87" s="42">
        <v>0</v>
      </c>
      <c r="V87" s="42">
        <v>0</v>
      </c>
      <c r="W87" s="38"/>
      <c r="X87" s="38"/>
      <c r="Y87" s="108"/>
      <c r="Z87" s="109"/>
      <c r="AA87" s="133"/>
      <c r="AB87" s="38" t="s">
        <v>279</v>
      </c>
      <c r="AC87" s="45">
        <v>0</v>
      </c>
      <c r="AD87" s="46">
        <v>0</v>
      </c>
      <c r="AE87" s="46">
        <v>0</v>
      </c>
      <c r="AF87" s="46">
        <v>0</v>
      </c>
      <c r="AG87" s="46">
        <v>0</v>
      </c>
      <c r="AL87" s="11"/>
      <c r="AM87" s="11"/>
      <c r="AN87" s="11"/>
      <c r="AO87" s="11"/>
      <c r="AP87" s="11"/>
      <c r="AQ87" s="11"/>
    </row>
    <row r="88" spans="1:47" ht="19.8" customHeight="1" x14ac:dyDescent="0.3">
      <c r="A88" s="31">
        <v>80</v>
      </c>
      <c r="B88" s="114" t="s">
        <v>48</v>
      </c>
      <c r="C88" s="115">
        <v>500546</v>
      </c>
      <c r="D88" s="115" t="s">
        <v>19</v>
      </c>
      <c r="E88" s="106" t="s">
        <v>49</v>
      </c>
      <c r="F88" s="106" t="s">
        <v>49</v>
      </c>
      <c r="G88" s="34">
        <v>45991</v>
      </c>
      <c r="H88" s="35">
        <v>382874.32</v>
      </c>
      <c r="I88" s="36">
        <v>41033.26</v>
      </c>
      <c r="J88" s="36"/>
      <c r="K88" s="37">
        <v>33066.42</v>
      </c>
      <c r="L88" s="38">
        <v>115</v>
      </c>
      <c r="M88" s="38">
        <v>115</v>
      </c>
      <c r="N88" s="39" t="s">
        <v>278</v>
      </c>
      <c r="O88" s="40">
        <v>0</v>
      </c>
      <c r="P88" s="45">
        <v>0</v>
      </c>
      <c r="Q88" s="45">
        <v>0</v>
      </c>
      <c r="R88" s="45">
        <v>0</v>
      </c>
      <c r="S88" s="34">
        <v>45991</v>
      </c>
      <c r="T88" s="42">
        <v>0</v>
      </c>
      <c r="U88" s="42">
        <v>0</v>
      </c>
      <c r="V88" s="42">
        <v>0</v>
      </c>
      <c r="W88" s="38"/>
      <c r="X88" s="38"/>
      <c r="Y88" s="108"/>
      <c r="Z88" s="109"/>
      <c r="AA88" s="133"/>
      <c r="AB88" s="38" t="s">
        <v>279</v>
      </c>
      <c r="AC88" s="45">
        <v>0</v>
      </c>
      <c r="AD88" s="46">
        <v>0</v>
      </c>
      <c r="AE88" s="46">
        <v>0</v>
      </c>
      <c r="AF88" s="46">
        <v>0</v>
      </c>
      <c r="AG88" s="46">
        <v>0</v>
      </c>
      <c r="AL88" s="11"/>
      <c r="AM88" s="11"/>
      <c r="AN88" s="11"/>
      <c r="AO88" s="11"/>
      <c r="AP88" s="11"/>
      <c r="AQ88" s="11"/>
    </row>
    <row r="89" spans="1:47" ht="19.8" customHeight="1" x14ac:dyDescent="0.3">
      <c r="A89" s="31">
        <v>81</v>
      </c>
      <c r="B89" s="114" t="s">
        <v>50</v>
      </c>
      <c r="C89" s="106">
        <v>500644</v>
      </c>
      <c r="D89" s="115" t="s">
        <v>19</v>
      </c>
      <c r="E89" s="106" t="s">
        <v>51</v>
      </c>
      <c r="F89" s="106" t="s">
        <v>51</v>
      </c>
      <c r="G89" s="34">
        <v>45991</v>
      </c>
      <c r="H89" s="35">
        <v>429343.13406575355</v>
      </c>
      <c r="I89" s="45">
        <v>0</v>
      </c>
      <c r="J89" s="45"/>
      <c r="K89" s="37">
        <v>0</v>
      </c>
      <c r="L89" s="38">
        <v>131</v>
      </c>
      <c r="M89" s="38">
        <v>131</v>
      </c>
      <c r="N89" s="39" t="s">
        <v>278</v>
      </c>
      <c r="O89" s="40">
        <v>0</v>
      </c>
      <c r="P89" s="45">
        <v>0</v>
      </c>
      <c r="Q89" s="45">
        <v>0</v>
      </c>
      <c r="R89" s="45">
        <v>0</v>
      </c>
      <c r="S89" s="34">
        <v>45991</v>
      </c>
      <c r="T89" s="42">
        <v>0</v>
      </c>
      <c r="U89" s="42">
        <v>0</v>
      </c>
      <c r="V89" s="42">
        <v>0</v>
      </c>
      <c r="W89" s="38"/>
      <c r="X89" s="38"/>
      <c r="Y89" s="108"/>
      <c r="Z89" s="109"/>
      <c r="AA89" s="133"/>
      <c r="AB89" s="38" t="s">
        <v>279</v>
      </c>
      <c r="AC89" s="45">
        <v>0</v>
      </c>
      <c r="AD89" s="46">
        <v>0</v>
      </c>
      <c r="AE89" s="46">
        <v>0</v>
      </c>
      <c r="AF89" s="46">
        <v>0</v>
      </c>
      <c r="AG89" s="46">
        <v>0</v>
      </c>
      <c r="AL89" s="11"/>
      <c r="AM89" s="11"/>
      <c r="AN89" s="11"/>
      <c r="AO89" s="11"/>
      <c r="AP89" s="11"/>
      <c r="AQ89" s="11"/>
    </row>
    <row r="90" spans="1:47" ht="19.8" customHeight="1" x14ac:dyDescent="0.3">
      <c r="A90" s="31">
        <v>82</v>
      </c>
      <c r="B90" s="114" t="s">
        <v>52</v>
      </c>
      <c r="C90" s="106">
        <v>500613</v>
      </c>
      <c r="D90" s="115" t="s">
        <v>19</v>
      </c>
      <c r="E90" s="106" t="s">
        <v>53</v>
      </c>
      <c r="F90" s="106" t="s">
        <v>53</v>
      </c>
      <c r="G90" s="34">
        <v>45991</v>
      </c>
      <c r="H90" s="35">
        <v>9248314.4499999993</v>
      </c>
      <c r="I90" s="36">
        <v>375644.12707664911</v>
      </c>
      <c r="J90" s="36"/>
      <c r="K90" s="37">
        <v>80293.649999999994</v>
      </c>
      <c r="L90" s="38">
        <v>81</v>
      </c>
      <c r="M90" s="38">
        <v>81</v>
      </c>
      <c r="N90" s="39" t="s">
        <v>278</v>
      </c>
      <c r="O90" s="40">
        <v>0</v>
      </c>
      <c r="P90" s="45">
        <v>0</v>
      </c>
      <c r="Q90" s="45">
        <v>0</v>
      </c>
      <c r="R90" s="45">
        <v>0</v>
      </c>
      <c r="S90" s="34">
        <v>45991</v>
      </c>
      <c r="T90" s="42">
        <v>0</v>
      </c>
      <c r="U90" s="42">
        <v>0</v>
      </c>
      <c r="V90" s="42">
        <v>0</v>
      </c>
      <c r="W90" s="38"/>
      <c r="X90" s="38"/>
      <c r="Y90" s="108"/>
      <c r="Z90" s="109"/>
      <c r="AA90" s="133"/>
      <c r="AB90" s="38" t="s">
        <v>279</v>
      </c>
      <c r="AC90" s="45">
        <v>0</v>
      </c>
      <c r="AD90" s="46">
        <v>0</v>
      </c>
      <c r="AE90" s="46">
        <v>0</v>
      </c>
      <c r="AF90" s="46">
        <v>0</v>
      </c>
      <c r="AG90" s="46">
        <v>0</v>
      </c>
      <c r="AL90" s="11"/>
      <c r="AM90" s="11"/>
      <c r="AN90" s="11"/>
      <c r="AO90" s="11"/>
      <c r="AP90" s="11"/>
      <c r="AQ90" s="11"/>
    </row>
    <row r="91" spans="1:47" ht="19.8" customHeight="1" x14ac:dyDescent="0.3">
      <c r="A91" s="31">
        <v>83</v>
      </c>
      <c r="B91" s="114" t="s">
        <v>64</v>
      </c>
      <c r="C91" s="106">
        <v>500576</v>
      </c>
      <c r="D91" s="115" t="s">
        <v>19</v>
      </c>
      <c r="E91" s="106" t="s">
        <v>65</v>
      </c>
      <c r="F91" s="106" t="s">
        <v>65</v>
      </c>
      <c r="G91" s="34">
        <v>45991</v>
      </c>
      <c r="H91" s="134">
        <v>1690365.55116</v>
      </c>
      <c r="I91" s="45">
        <v>0</v>
      </c>
      <c r="J91" s="45"/>
      <c r="K91" s="37">
        <v>0</v>
      </c>
      <c r="L91" s="38">
        <v>150</v>
      </c>
      <c r="M91" s="38">
        <v>150</v>
      </c>
      <c r="N91" s="39" t="s">
        <v>278</v>
      </c>
      <c r="O91" s="40">
        <v>0</v>
      </c>
      <c r="P91" s="45">
        <v>0</v>
      </c>
      <c r="Q91" s="45">
        <v>0</v>
      </c>
      <c r="R91" s="45">
        <v>0</v>
      </c>
      <c r="S91" s="34">
        <v>45991</v>
      </c>
      <c r="T91" s="42">
        <v>0</v>
      </c>
      <c r="U91" s="42">
        <v>0</v>
      </c>
      <c r="V91" s="42">
        <v>0</v>
      </c>
      <c r="W91" s="38"/>
      <c r="X91" s="38"/>
      <c r="Y91" s="108"/>
      <c r="Z91" s="109"/>
      <c r="AA91" s="133"/>
      <c r="AB91" s="38" t="s">
        <v>279</v>
      </c>
      <c r="AC91" s="45">
        <v>0</v>
      </c>
      <c r="AD91" s="46">
        <v>0</v>
      </c>
      <c r="AE91" s="46">
        <v>0</v>
      </c>
      <c r="AF91" s="46">
        <v>0</v>
      </c>
      <c r="AG91" s="46">
        <v>0</v>
      </c>
      <c r="AL91" s="11"/>
      <c r="AM91" s="11"/>
      <c r="AN91" s="11"/>
      <c r="AO91" s="11"/>
      <c r="AP91" s="11"/>
      <c r="AQ91" s="11"/>
    </row>
    <row r="92" spans="1:47" ht="19.8" customHeight="1" x14ac:dyDescent="0.3">
      <c r="A92" s="31">
        <v>84</v>
      </c>
      <c r="B92" s="114" t="s">
        <v>73</v>
      </c>
      <c r="C92" s="106">
        <v>500631</v>
      </c>
      <c r="D92" s="115" t="s">
        <v>19</v>
      </c>
      <c r="E92" s="106" t="s">
        <v>74</v>
      </c>
      <c r="F92" s="106" t="s">
        <v>74</v>
      </c>
      <c r="G92" s="34">
        <v>45991</v>
      </c>
      <c r="H92" s="35">
        <v>529269.03296999994</v>
      </c>
      <c r="I92" s="36">
        <v>307761.76108500001</v>
      </c>
      <c r="J92" s="36"/>
      <c r="K92" s="37">
        <v>248862.33794</v>
      </c>
      <c r="L92" s="38">
        <v>145</v>
      </c>
      <c r="M92" s="38">
        <v>145</v>
      </c>
      <c r="N92" s="39" t="s">
        <v>278</v>
      </c>
      <c r="O92" s="40">
        <v>0</v>
      </c>
      <c r="P92" s="45">
        <v>0</v>
      </c>
      <c r="Q92" s="45">
        <v>0</v>
      </c>
      <c r="R92" s="45">
        <v>0</v>
      </c>
      <c r="S92" s="34">
        <v>45991</v>
      </c>
      <c r="T92" s="42">
        <v>0</v>
      </c>
      <c r="U92" s="42">
        <v>0</v>
      </c>
      <c r="V92" s="42">
        <v>0</v>
      </c>
      <c r="W92" s="38"/>
      <c r="X92" s="38"/>
      <c r="Y92" s="108"/>
      <c r="Z92" s="109"/>
      <c r="AA92" s="133"/>
      <c r="AB92" s="38" t="s">
        <v>279</v>
      </c>
      <c r="AC92" s="45">
        <v>0</v>
      </c>
      <c r="AD92" s="46">
        <v>0</v>
      </c>
      <c r="AE92" s="46">
        <v>0</v>
      </c>
      <c r="AF92" s="46">
        <v>0</v>
      </c>
      <c r="AG92" s="46">
        <v>0</v>
      </c>
      <c r="AL92" s="11"/>
      <c r="AM92" s="11"/>
      <c r="AN92" s="11"/>
      <c r="AO92" s="11"/>
      <c r="AP92" s="11"/>
      <c r="AQ92" s="11"/>
    </row>
    <row r="93" spans="1:47" ht="19.8" customHeight="1" x14ac:dyDescent="0.3">
      <c r="A93" s="31">
        <v>85</v>
      </c>
      <c r="B93" s="114" t="s">
        <v>109</v>
      </c>
      <c r="C93" s="106">
        <v>500922</v>
      </c>
      <c r="D93" s="115" t="s">
        <v>27</v>
      </c>
      <c r="E93" s="106" t="s">
        <v>110</v>
      </c>
      <c r="F93" s="106" t="s">
        <v>110</v>
      </c>
      <c r="G93" s="34">
        <v>45991</v>
      </c>
      <c r="H93" s="35">
        <v>4277711.74</v>
      </c>
      <c r="I93" s="36">
        <v>268236.37923662789</v>
      </c>
      <c r="J93" s="36"/>
      <c r="K93" s="37">
        <v>30739.72</v>
      </c>
      <c r="L93" s="38">
        <v>98</v>
      </c>
      <c r="M93" s="38">
        <v>98</v>
      </c>
      <c r="N93" s="39" t="s">
        <v>278</v>
      </c>
      <c r="O93" s="40">
        <v>0</v>
      </c>
      <c r="P93" s="45">
        <v>0</v>
      </c>
      <c r="Q93" s="45">
        <v>0</v>
      </c>
      <c r="R93" s="45">
        <v>0</v>
      </c>
      <c r="S93" s="34">
        <v>45991</v>
      </c>
      <c r="T93" s="42">
        <v>0</v>
      </c>
      <c r="U93" s="42">
        <v>0</v>
      </c>
      <c r="V93" s="42">
        <v>0</v>
      </c>
      <c r="W93" s="38"/>
      <c r="X93" s="38"/>
      <c r="Y93" s="108"/>
      <c r="Z93" s="109"/>
      <c r="AA93" s="133"/>
      <c r="AB93" s="38" t="s">
        <v>279</v>
      </c>
      <c r="AC93" s="45">
        <v>0</v>
      </c>
      <c r="AD93" s="46">
        <v>0</v>
      </c>
      <c r="AE93" s="46">
        <v>0</v>
      </c>
      <c r="AF93" s="46">
        <v>0</v>
      </c>
      <c r="AG93" s="46">
        <v>0</v>
      </c>
      <c r="AL93" s="11"/>
      <c r="AM93" s="11"/>
      <c r="AN93" s="11"/>
      <c r="AO93" s="11"/>
      <c r="AP93" s="11"/>
      <c r="AQ93" s="11"/>
    </row>
    <row r="94" spans="1:47" ht="19.8" customHeight="1" x14ac:dyDescent="0.3">
      <c r="A94" s="31">
        <v>86</v>
      </c>
      <c r="B94" s="114" t="s">
        <v>119</v>
      </c>
      <c r="C94" s="106">
        <v>501025</v>
      </c>
      <c r="D94" s="115" t="s">
        <v>27</v>
      </c>
      <c r="E94" s="106" t="s">
        <v>120</v>
      </c>
      <c r="F94" s="106" t="s">
        <v>120</v>
      </c>
      <c r="G94" s="34">
        <v>45991</v>
      </c>
      <c r="H94" s="35">
        <v>2878321.4116799999</v>
      </c>
      <c r="I94" s="45">
        <v>0</v>
      </c>
      <c r="J94" s="36"/>
      <c r="K94" s="37">
        <v>16959.07</v>
      </c>
      <c r="L94" s="38">
        <v>59</v>
      </c>
      <c r="M94" s="38">
        <v>6</v>
      </c>
      <c r="N94" s="39" t="s">
        <v>278</v>
      </c>
      <c r="O94" s="40">
        <v>0</v>
      </c>
      <c r="P94" s="45">
        <v>0</v>
      </c>
      <c r="Q94" s="45">
        <v>0</v>
      </c>
      <c r="R94" s="45">
        <v>0</v>
      </c>
      <c r="S94" s="34">
        <v>45991</v>
      </c>
      <c r="T94" s="42">
        <v>0</v>
      </c>
      <c r="U94" s="42">
        <v>0</v>
      </c>
      <c r="V94" s="42">
        <v>0</v>
      </c>
      <c r="W94" s="38"/>
      <c r="X94" s="38"/>
      <c r="Y94" s="108"/>
      <c r="Z94" s="109"/>
      <c r="AA94" s="133"/>
      <c r="AB94" s="38" t="s">
        <v>279</v>
      </c>
      <c r="AC94" s="45">
        <v>0</v>
      </c>
      <c r="AD94" s="46">
        <v>0</v>
      </c>
      <c r="AE94" s="46">
        <v>0</v>
      </c>
      <c r="AF94" s="46">
        <v>0</v>
      </c>
      <c r="AG94" s="46">
        <v>0</v>
      </c>
      <c r="AL94" s="11"/>
      <c r="AM94" s="11"/>
      <c r="AN94" s="11"/>
      <c r="AO94" s="11"/>
      <c r="AP94" s="11"/>
      <c r="AQ94" s="11"/>
    </row>
    <row r="95" spans="1:47" ht="19.8" customHeight="1" x14ac:dyDescent="0.3">
      <c r="A95" s="31">
        <v>87</v>
      </c>
      <c r="B95" s="114" t="s">
        <v>191</v>
      </c>
      <c r="C95" s="106">
        <v>500190</v>
      </c>
      <c r="D95" s="115" t="s">
        <v>27</v>
      </c>
      <c r="E95" s="106" t="s">
        <v>192</v>
      </c>
      <c r="F95" s="106" t="s">
        <v>192</v>
      </c>
      <c r="G95" s="34">
        <v>45991</v>
      </c>
      <c r="H95" s="135">
        <v>0</v>
      </c>
      <c r="I95" s="44">
        <v>917117.81</v>
      </c>
      <c r="J95" s="36"/>
      <c r="K95" s="37">
        <v>5000</v>
      </c>
      <c r="L95" s="38">
        <v>63</v>
      </c>
      <c r="M95" s="38">
        <v>4</v>
      </c>
      <c r="N95" s="39" t="s">
        <v>278</v>
      </c>
      <c r="O95" s="40">
        <v>0</v>
      </c>
      <c r="P95" s="45">
        <v>0</v>
      </c>
      <c r="Q95" s="45">
        <v>0</v>
      </c>
      <c r="R95" s="45">
        <v>0</v>
      </c>
      <c r="S95" s="34">
        <v>45991</v>
      </c>
      <c r="T95" s="42">
        <v>0</v>
      </c>
      <c r="U95" s="42">
        <v>0</v>
      </c>
      <c r="V95" s="42">
        <v>0</v>
      </c>
      <c r="W95" s="38"/>
      <c r="X95" s="38"/>
      <c r="Y95" s="108"/>
      <c r="Z95" s="109"/>
      <c r="AA95" s="133"/>
      <c r="AB95" s="38" t="s">
        <v>279</v>
      </c>
      <c r="AC95" s="45">
        <v>0</v>
      </c>
      <c r="AD95" s="46">
        <v>0</v>
      </c>
      <c r="AE95" s="46">
        <v>0</v>
      </c>
      <c r="AF95" s="46">
        <v>0</v>
      </c>
      <c r="AG95" s="46">
        <v>0</v>
      </c>
      <c r="AL95" s="11"/>
      <c r="AM95" s="11"/>
      <c r="AN95" s="11"/>
      <c r="AO95" s="11"/>
      <c r="AP95" s="11"/>
      <c r="AQ95" s="11"/>
    </row>
    <row r="96" spans="1:47" ht="19.8" customHeight="1" x14ac:dyDescent="0.3">
      <c r="A96" s="31">
        <v>88</v>
      </c>
      <c r="B96" s="136" t="s">
        <v>29</v>
      </c>
      <c r="C96" s="115">
        <v>500663</v>
      </c>
      <c r="D96" s="115" t="s">
        <v>27</v>
      </c>
      <c r="E96" s="115" t="s">
        <v>195</v>
      </c>
      <c r="F96" s="115" t="s">
        <v>30</v>
      </c>
      <c r="G96" s="34">
        <v>45991</v>
      </c>
      <c r="H96" s="137">
        <v>2176754.08665</v>
      </c>
      <c r="I96" s="45">
        <v>0</v>
      </c>
      <c r="J96" s="138"/>
      <c r="K96" s="37">
        <v>9183.4500000000007</v>
      </c>
      <c r="L96" s="38">
        <v>86</v>
      </c>
      <c r="M96" s="38">
        <v>99</v>
      </c>
      <c r="N96" s="39" t="s">
        <v>278</v>
      </c>
      <c r="O96" s="40">
        <v>0</v>
      </c>
      <c r="P96" s="45">
        <v>0</v>
      </c>
      <c r="Q96" s="45">
        <v>0</v>
      </c>
      <c r="R96" s="45">
        <v>0</v>
      </c>
      <c r="S96" s="34">
        <v>45991</v>
      </c>
      <c r="T96" s="42">
        <v>0</v>
      </c>
      <c r="U96" s="42">
        <v>0</v>
      </c>
      <c r="V96" s="42">
        <v>0</v>
      </c>
      <c r="W96" s="38"/>
      <c r="X96" s="38"/>
      <c r="Y96" s="108"/>
      <c r="Z96" s="109"/>
      <c r="AA96" s="133"/>
      <c r="AB96" s="38" t="s">
        <v>279</v>
      </c>
      <c r="AC96" s="45">
        <v>0</v>
      </c>
      <c r="AD96" s="46">
        <v>0</v>
      </c>
      <c r="AE96" s="46">
        <v>0</v>
      </c>
      <c r="AF96" s="46">
        <v>0</v>
      </c>
      <c r="AG96" s="46">
        <v>0</v>
      </c>
      <c r="AH96" s="48"/>
      <c r="AI96" s="47"/>
      <c r="AJ96" s="48"/>
      <c r="AK96" s="48"/>
      <c r="AL96" s="11"/>
      <c r="AM96" s="11"/>
      <c r="AN96" s="11"/>
      <c r="AO96" s="11"/>
      <c r="AP96" s="11"/>
      <c r="AQ96" s="11"/>
      <c r="AR96" s="11"/>
      <c r="AS96" s="11"/>
      <c r="AT96" s="11"/>
      <c r="AU96" s="11"/>
    </row>
    <row r="97" spans="1:43" ht="19.8" customHeight="1" x14ac:dyDescent="0.3">
      <c r="A97" s="31">
        <v>89</v>
      </c>
      <c r="B97" s="114" t="s">
        <v>79</v>
      </c>
      <c r="C97" s="106">
        <v>500866</v>
      </c>
      <c r="D97" s="115" t="s">
        <v>19</v>
      </c>
      <c r="E97" s="106" t="s">
        <v>80</v>
      </c>
      <c r="F97" s="106" t="s">
        <v>80</v>
      </c>
      <c r="G97" s="34">
        <v>45991</v>
      </c>
      <c r="H97" s="45">
        <v>0</v>
      </c>
      <c r="I97" s="139">
        <v>130144.62</v>
      </c>
      <c r="J97" s="140"/>
      <c r="K97" s="37">
        <v>0</v>
      </c>
      <c r="L97" s="38">
        <v>106</v>
      </c>
      <c r="M97" s="38">
        <v>99</v>
      </c>
      <c r="N97" s="39" t="s">
        <v>278</v>
      </c>
      <c r="O97" s="40">
        <v>0</v>
      </c>
      <c r="P97" s="45">
        <v>0</v>
      </c>
      <c r="Q97" s="45">
        <v>0</v>
      </c>
      <c r="R97" s="45">
        <v>0</v>
      </c>
      <c r="S97" s="34">
        <v>45991</v>
      </c>
      <c r="T97" s="42">
        <v>0</v>
      </c>
      <c r="U97" s="42">
        <v>0</v>
      </c>
      <c r="V97" s="42">
        <v>0</v>
      </c>
      <c r="W97" s="38"/>
      <c r="X97" s="38"/>
      <c r="Y97" s="108"/>
      <c r="Z97" s="109"/>
      <c r="AA97" s="133"/>
      <c r="AB97" s="38" t="s">
        <v>279</v>
      </c>
      <c r="AC97" s="45">
        <v>0</v>
      </c>
      <c r="AD97" s="46">
        <v>0</v>
      </c>
      <c r="AE97" s="46">
        <v>0</v>
      </c>
      <c r="AF97" s="46">
        <v>0</v>
      </c>
      <c r="AG97" s="46">
        <v>0</v>
      </c>
      <c r="AL97" s="11"/>
      <c r="AM97" s="11"/>
      <c r="AN97" s="11"/>
      <c r="AO97" s="11"/>
      <c r="AP97" s="11"/>
      <c r="AQ97" s="11"/>
    </row>
    <row r="98" spans="1:43" ht="19.8" customHeight="1" x14ac:dyDescent="0.3">
      <c r="A98" s="31">
        <v>90</v>
      </c>
      <c r="B98" s="114" t="s">
        <v>81</v>
      </c>
      <c r="C98" s="106">
        <v>500852</v>
      </c>
      <c r="D98" s="115" t="s">
        <v>19</v>
      </c>
      <c r="E98" s="106" t="s">
        <v>82</v>
      </c>
      <c r="F98" s="106" t="s">
        <v>82</v>
      </c>
      <c r="G98" s="34">
        <v>45991</v>
      </c>
      <c r="H98" s="45">
        <v>0</v>
      </c>
      <c r="I98" s="138">
        <v>7567.56</v>
      </c>
      <c r="J98" s="140"/>
      <c r="K98" s="37">
        <v>7567.56</v>
      </c>
      <c r="L98" s="38">
        <v>106</v>
      </c>
      <c r="M98" s="38">
        <v>99</v>
      </c>
      <c r="N98" s="39" t="s">
        <v>278</v>
      </c>
      <c r="O98" s="40">
        <v>0</v>
      </c>
      <c r="P98" s="45">
        <v>0</v>
      </c>
      <c r="Q98" s="45">
        <v>0</v>
      </c>
      <c r="R98" s="45">
        <v>0</v>
      </c>
      <c r="S98" s="34">
        <v>45991</v>
      </c>
      <c r="T98" s="42">
        <v>0</v>
      </c>
      <c r="U98" s="42">
        <v>0</v>
      </c>
      <c r="V98" s="42">
        <v>0</v>
      </c>
      <c r="W98" s="38"/>
      <c r="X98" s="38"/>
      <c r="Y98" s="108"/>
      <c r="Z98" s="109"/>
      <c r="AA98" s="133"/>
      <c r="AB98" s="38" t="s">
        <v>279</v>
      </c>
      <c r="AC98" s="45">
        <v>0</v>
      </c>
      <c r="AD98" s="46">
        <v>0</v>
      </c>
      <c r="AE98" s="46">
        <v>0</v>
      </c>
      <c r="AF98" s="46">
        <v>0</v>
      </c>
      <c r="AG98" s="46">
        <v>0</v>
      </c>
      <c r="AL98" s="11"/>
      <c r="AM98" s="11"/>
      <c r="AN98" s="11"/>
      <c r="AO98" s="11"/>
      <c r="AP98" s="11"/>
      <c r="AQ98" s="11"/>
    </row>
    <row r="99" spans="1:43" ht="19.8" customHeight="1" x14ac:dyDescent="0.3">
      <c r="A99" s="31">
        <v>91</v>
      </c>
      <c r="B99" s="114" t="s">
        <v>83</v>
      </c>
      <c r="C99" s="106">
        <v>500577</v>
      </c>
      <c r="D99" s="115" t="s">
        <v>19</v>
      </c>
      <c r="E99" s="106" t="s">
        <v>84</v>
      </c>
      <c r="F99" s="106" t="s">
        <v>84</v>
      </c>
      <c r="G99" s="34">
        <v>45991</v>
      </c>
      <c r="H99" s="36">
        <v>747562.14</v>
      </c>
      <c r="I99" s="141">
        <v>0</v>
      </c>
      <c r="J99" s="142"/>
      <c r="K99" s="37">
        <v>68315.100000000006</v>
      </c>
      <c r="L99" s="38">
        <v>149</v>
      </c>
      <c r="M99" s="38">
        <v>149</v>
      </c>
      <c r="N99" s="39" t="s">
        <v>278</v>
      </c>
      <c r="O99" s="40">
        <v>0</v>
      </c>
      <c r="P99" s="45">
        <v>0</v>
      </c>
      <c r="Q99" s="45">
        <v>0</v>
      </c>
      <c r="R99" s="45">
        <v>0</v>
      </c>
      <c r="S99" s="34">
        <v>45991</v>
      </c>
      <c r="T99" s="42">
        <v>0</v>
      </c>
      <c r="U99" s="42">
        <v>0</v>
      </c>
      <c r="V99" s="42">
        <v>0</v>
      </c>
      <c r="W99" s="38"/>
      <c r="X99" s="38"/>
      <c r="Y99" s="108"/>
      <c r="Z99" s="109"/>
      <c r="AA99" s="133"/>
      <c r="AB99" s="38" t="s">
        <v>279</v>
      </c>
      <c r="AC99" s="45">
        <v>0</v>
      </c>
      <c r="AD99" s="46">
        <v>0</v>
      </c>
      <c r="AE99" s="46">
        <v>0</v>
      </c>
      <c r="AF99" s="46">
        <v>0</v>
      </c>
      <c r="AG99" s="46">
        <v>0</v>
      </c>
      <c r="AL99" s="11"/>
      <c r="AM99" s="11"/>
      <c r="AN99" s="11"/>
      <c r="AO99" s="11"/>
      <c r="AP99" s="11"/>
      <c r="AQ99" s="11"/>
    </row>
    <row r="100" spans="1:43" s="5" customFormat="1" ht="22.95" customHeight="1" x14ac:dyDescent="0.3">
      <c r="A100" s="143"/>
      <c r="B100" s="144"/>
      <c r="C100" s="145"/>
      <c r="D100" s="48"/>
      <c r="E100" s="145"/>
      <c r="F100" s="145"/>
      <c r="G100" s="146"/>
      <c r="H100" s="147"/>
      <c r="I100" s="147"/>
      <c r="J100" s="147"/>
      <c r="K100" s="147"/>
      <c r="L100" s="147"/>
      <c r="M100" s="147"/>
      <c r="N100" s="4"/>
      <c r="O100" s="4"/>
      <c r="P100" s="148"/>
      <c r="Q100" s="148"/>
      <c r="R100" s="149"/>
      <c r="S100" s="4"/>
      <c r="T100" s="4"/>
      <c r="U100" s="150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L100" s="75"/>
      <c r="AM100" s="75"/>
      <c r="AN100" s="75"/>
      <c r="AO100" s="75"/>
      <c r="AP100" s="75"/>
      <c r="AQ100" s="75"/>
    </row>
    <row r="101" spans="1:43" s="5" customFormat="1" ht="22.95" customHeight="1" x14ac:dyDescent="0.3">
      <c r="A101" s="143"/>
      <c r="B101" s="144"/>
      <c r="C101" s="145"/>
      <c r="D101" s="48"/>
      <c r="E101" s="145"/>
      <c r="F101" s="145"/>
      <c r="G101" s="146"/>
      <c r="H101" s="147"/>
      <c r="I101" s="147"/>
      <c r="J101" s="147"/>
      <c r="K101" s="147"/>
      <c r="L101" s="147"/>
      <c r="M101" s="147"/>
      <c r="N101" s="4"/>
      <c r="O101" s="4"/>
      <c r="P101" s="148"/>
      <c r="Q101" s="148"/>
      <c r="R101" s="149"/>
      <c r="S101" s="4"/>
      <c r="T101" s="4"/>
      <c r="U101" s="150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L101" s="75"/>
      <c r="AM101" s="75"/>
      <c r="AN101" s="75"/>
      <c r="AO101" s="75"/>
      <c r="AP101" s="75"/>
      <c r="AQ101" s="75"/>
    </row>
    <row r="102" spans="1:43" s="5" customFormat="1" ht="22.95" customHeight="1" x14ac:dyDescent="0.3">
      <c r="A102" s="143"/>
      <c r="B102" s="144"/>
      <c r="C102" s="145"/>
      <c r="D102" s="48"/>
      <c r="E102" s="145"/>
      <c r="F102" s="145"/>
      <c r="G102" s="146"/>
      <c r="H102" s="147"/>
      <c r="I102" s="147"/>
      <c r="J102" s="147"/>
      <c r="K102" s="147"/>
      <c r="L102" s="147"/>
      <c r="M102" s="147"/>
      <c r="N102" s="4"/>
      <c r="O102" s="4"/>
      <c r="P102" s="148"/>
      <c r="Q102" s="148"/>
      <c r="R102" s="149"/>
      <c r="S102" s="4"/>
      <c r="T102" s="4"/>
      <c r="U102" s="150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L102" s="75"/>
      <c r="AM102" s="75"/>
      <c r="AN102" s="75"/>
      <c r="AO102" s="75"/>
      <c r="AP102" s="75"/>
      <c r="AQ102" s="75"/>
    </row>
    <row r="103" spans="1:43" s="5" customFormat="1" ht="22.95" customHeight="1" x14ac:dyDescent="0.3">
      <c r="A103" s="143"/>
      <c r="B103" s="144"/>
      <c r="C103" s="145"/>
      <c r="D103" s="48"/>
      <c r="E103" s="145"/>
      <c r="F103" s="145"/>
      <c r="G103" s="146"/>
      <c r="H103" s="147"/>
      <c r="I103" s="147"/>
      <c r="J103" s="147"/>
      <c r="K103" s="147"/>
      <c r="L103" s="147"/>
      <c r="M103" s="147"/>
      <c r="N103" s="4"/>
      <c r="O103" s="4"/>
      <c r="P103" s="148"/>
      <c r="Q103" s="148"/>
      <c r="R103" s="149"/>
      <c r="S103" s="4"/>
      <c r="T103" s="4"/>
      <c r="U103" s="150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L103" s="75"/>
      <c r="AM103" s="75"/>
      <c r="AN103" s="75"/>
      <c r="AO103" s="75"/>
      <c r="AP103" s="75"/>
      <c r="AQ103" s="75"/>
    </row>
    <row r="104" spans="1:43" s="5" customFormat="1" ht="22.95" customHeight="1" x14ac:dyDescent="0.3">
      <c r="A104" s="143"/>
      <c r="B104" s="144"/>
      <c r="C104" s="145"/>
      <c r="D104" s="48"/>
      <c r="E104" s="145"/>
      <c r="F104" s="145"/>
      <c r="G104" s="146"/>
      <c r="H104" s="147"/>
      <c r="I104" s="147"/>
      <c r="J104" s="147"/>
      <c r="K104" s="147"/>
      <c r="L104" s="147"/>
      <c r="M104" s="147"/>
      <c r="N104" s="4"/>
      <c r="O104" s="4"/>
      <c r="P104" s="148"/>
      <c r="Q104" s="148"/>
      <c r="R104" s="149"/>
      <c r="S104" s="4"/>
      <c r="T104" s="4"/>
      <c r="U104" s="150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L104" s="75"/>
      <c r="AM104" s="75"/>
      <c r="AN104" s="75"/>
      <c r="AO104" s="75"/>
      <c r="AP104" s="75"/>
      <c r="AQ104" s="75"/>
    </row>
    <row r="105" spans="1:43" s="5" customFormat="1" ht="22.95" customHeight="1" x14ac:dyDescent="0.3">
      <c r="A105" s="143"/>
      <c r="B105" s="144"/>
      <c r="C105" s="145"/>
      <c r="D105" s="48"/>
      <c r="E105" s="145"/>
      <c r="F105" s="145"/>
      <c r="G105" s="146"/>
      <c r="H105" s="147"/>
      <c r="I105" s="147"/>
      <c r="J105" s="147"/>
      <c r="K105" s="147"/>
      <c r="L105" s="147"/>
      <c r="M105" s="147"/>
      <c r="N105" s="4"/>
      <c r="O105" s="4"/>
      <c r="P105" s="148"/>
      <c r="Q105" s="148"/>
      <c r="R105" s="149"/>
      <c r="S105" s="4"/>
      <c r="T105" s="4"/>
      <c r="U105" s="150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L105" s="75"/>
      <c r="AM105" s="75"/>
      <c r="AN105" s="75"/>
      <c r="AO105" s="75"/>
      <c r="AP105" s="75"/>
      <c r="AQ105" s="75"/>
    </row>
    <row r="106" spans="1:43" s="5" customFormat="1" ht="22.95" customHeight="1" x14ac:dyDescent="0.3">
      <c r="A106" s="143"/>
      <c r="B106" s="144"/>
      <c r="C106" s="145"/>
      <c r="D106" s="48"/>
      <c r="E106" s="145"/>
      <c r="F106" s="145"/>
      <c r="G106" s="146"/>
      <c r="H106" s="147"/>
      <c r="I106" s="147"/>
      <c r="J106" s="147"/>
      <c r="K106" s="147"/>
      <c r="L106" s="147"/>
      <c r="M106" s="147"/>
      <c r="N106" s="4"/>
      <c r="O106" s="4"/>
      <c r="P106" s="148"/>
      <c r="Q106" s="148"/>
      <c r="R106" s="149"/>
      <c r="S106" s="4"/>
      <c r="T106" s="4"/>
      <c r="U106" s="150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L106" s="75"/>
      <c r="AM106" s="75"/>
      <c r="AN106" s="75"/>
      <c r="AO106" s="75"/>
      <c r="AP106" s="75"/>
      <c r="AQ106" s="75"/>
    </row>
    <row r="107" spans="1:43" s="5" customFormat="1" ht="22.95" customHeight="1" x14ac:dyDescent="0.3">
      <c r="A107" s="143"/>
      <c r="B107" s="144"/>
      <c r="C107" s="145"/>
      <c r="D107" s="48"/>
      <c r="E107" s="145"/>
      <c r="F107" s="145"/>
      <c r="G107" s="146"/>
      <c r="H107" s="147"/>
      <c r="I107" s="147"/>
      <c r="J107" s="147"/>
      <c r="K107" s="147"/>
      <c r="L107" s="147"/>
      <c r="M107" s="147"/>
      <c r="N107" s="4"/>
      <c r="O107" s="4"/>
      <c r="P107" s="148"/>
      <c r="Q107" s="148"/>
      <c r="R107" s="149"/>
      <c r="S107" s="4"/>
      <c r="T107" s="4"/>
      <c r="U107" s="150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L107" s="75"/>
      <c r="AM107" s="75"/>
      <c r="AN107" s="75"/>
      <c r="AO107" s="75"/>
      <c r="AP107" s="75"/>
      <c r="AQ107" s="75"/>
    </row>
    <row r="108" spans="1:43" s="5" customFormat="1" ht="22.95" customHeight="1" x14ac:dyDescent="0.3">
      <c r="A108" s="143"/>
      <c r="B108" s="144"/>
      <c r="C108" s="145"/>
      <c r="D108" s="48"/>
      <c r="E108" s="145"/>
      <c r="F108" s="145"/>
      <c r="G108" s="146"/>
      <c r="H108" s="147"/>
      <c r="I108" s="147"/>
      <c r="J108" s="147"/>
      <c r="K108" s="147"/>
      <c r="L108" s="147"/>
      <c r="M108" s="147"/>
      <c r="N108" s="4"/>
      <c r="O108" s="4"/>
      <c r="P108" s="148"/>
      <c r="Q108" s="148"/>
      <c r="R108" s="149"/>
      <c r="S108" s="4"/>
      <c r="T108" s="4"/>
      <c r="U108" s="150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L108" s="75"/>
      <c r="AM108" s="75"/>
      <c r="AN108" s="75"/>
      <c r="AO108" s="75"/>
      <c r="AP108" s="75"/>
      <c r="AQ108" s="75"/>
    </row>
    <row r="109" spans="1:43" s="5" customFormat="1" ht="22.95" customHeight="1" x14ac:dyDescent="0.3">
      <c r="A109" s="143"/>
      <c r="B109" s="144"/>
      <c r="C109" s="145"/>
      <c r="D109" s="48"/>
      <c r="E109" s="145"/>
      <c r="F109" s="145"/>
      <c r="G109" s="146"/>
      <c r="H109" s="147"/>
      <c r="I109" s="147"/>
      <c r="J109" s="147"/>
      <c r="K109" s="147"/>
      <c r="L109" s="147"/>
      <c r="M109" s="147"/>
      <c r="N109" s="4"/>
      <c r="O109" s="4"/>
      <c r="P109" s="148"/>
      <c r="Q109" s="148"/>
      <c r="R109" s="149"/>
      <c r="S109" s="4"/>
      <c r="T109" s="4"/>
      <c r="U109" s="150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L109" s="75"/>
      <c r="AM109" s="75"/>
      <c r="AN109" s="75"/>
      <c r="AO109" s="75"/>
      <c r="AP109" s="75"/>
      <c r="AQ109" s="75"/>
    </row>
    <row r="110" spans="1:43" s="5" customFormat="1" ht="22.95" customHeight="1" x14ac:dyDescent="0.3">
      <c r="A110" s="143"/>
      <c r="B110" s="144"/>
      <c r="C110" s="145"/>
      <c r="D110" s="48"/>
      <c r="E110" s="145"/>
      <c r="F110" s="145"/>
      <c r="G110" s="146"/>
      <c r="H110" s="147"/>
      <c r="I110" s="147"/>
      <c r="J110" s="147"/>
      <c r="K110" s="147"/>
      <c r="L110" s="147"/>
      <c r="M110" s="147"/>
      <c r="N110" s="4"/>
      <c r="O110" s="4"/>
      <c r="P110" s="148"/>
      <c r="Q110" s="148"/>
      <c r="R110" s="149"/>
      <c r="S110" s="4"/>
      <c r="T110" s="4"/>
      <c r="U110" s="150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L110" s="75"/>
      <c r="AM110" s="75"/>
      <c r="AN110" s="75"/>
      <c r="AO110" s="75"/>
      <c r="AP110" s="75"/>
      <c r="AQ110" s="75"/>
    </row>
    <row r="111" spans="1:43" s="5" customFormat="1" ht="22.95" customHeight="1" x14ac:dyDescent="0.3">
      <c r="A111" s="143"/>
      <c r="B111" s="144"/>
      <c r="C111" s="145"/>
      <c r="D111" s="48"/>
      <c r="E111" s="145"/>
      <c r="F111" s="145"/>
      <c r="G111" s="146"/>
      <c r="H111" s="147"/>
      <c r="I111" s="147"/>
      <c r="J111" s="147"/>
      <c r="K111" s="147"/>
      <c r="L111" s="147"/>
      <c r="M111" s="147"/>
      <c r="N111" s="147"/>
      <c r="O111" s="147"/>
      <c r="P111" s="151"/>
      <c r="Q111" s="151"/>
      <c r="R111" s="152"/>
      <c r="S111" s="147"/>
      <c r="T111" s="147"/>
      <c r="U111" s="147"/>
      <c r="V111" s="147"/>
      <c r="W111" s="147"/>
      <c r="X111" s="147"/>
      <c r="Y111" s="147"/>
      <c r="Z111" s="147"/>
      <c r="AA111" s="147"/>
      <c r="AB111" s="147"/>
      <c r="AC111" s="147"/>
      <c r="AD111" s="147"/>
      <c r="AE111" s="147"/>
      <c r="AF111" s="147"/>
      <c r="AG111" s="147"/>
      <c r="AL111" s="75"/>
      <c r="AM111" s="75"/>
      <c r="AN111" s="75"/>
      <c r="AO111" s="75"/>
      <c r="AP111" s="75"/>
      <c r="AQ111" s="75"/>
    </row>
    <row r="112" spans="1:43" s="5" customFormat="1" ht="22.95" customHeight="1" x14ac:dyDescent="0.3">
      <c r="A112" s="143"/>
      <c r="B112" s="144"/>
      <c r="C112" s="145"/>
      <c r="D112" s="48"/>
      <c r="E112" s="145"/>
      <c r="F112" s="145"/>
      <c r="G112" s="146"/>
      <c r="H112" s="147"/>
      <c r="I112" s="147"/>
      <c r="J112" s="147"/>
      <c r="K112" s="147"/>
      <c r="L112" s="153"/>
      <c r="M112" s="153"/>
      <c r="N112" s="153"/>
      <c r="O112" s="153"/>
      <c r="P112" s="154"/>
      <c r="Q112" s="154"/>
      <c r="R112" s="155"/>
      <c r="S112" s="153"/>
      <c r="T112" s="153"/>
      <c r="U112" s="153"/>
      <c r="V112" s="153"/>
      <c r="W112" s="153"/>
      <c r="X112" s="153"/>
      <c r="Y112" s="153"/>
      <c r="Z112" s="153"/>
      <c r="AA112" s="153"/>
      <c r="AB112" s="153"/>
      <c r="AC112" s="153"/>
      <c r="AD112" s="153"/>
      <c r="AE112" s="153"/>
      <c r="AF112" s="153"/>
      <c r="AG112" s="153"/>
      <c r="AL112" s="75"/>
      <c r="AM112" s="75"/>
      <c r="AN112" s="75"/>
      <c r="AO112" s="75"/>
      <c r="AP112" s="75"/>
      <c r="AQ112" s="75"/>
    </row>
    <row r="113" spans="1:43" s="5" customFormat="1" ht="22.95" customHeight="1" x14ac:dyDescent="0.3">
      <c r="A113" s="143"/>
      <c r="B113" s="144"/>
      <c r="C113" s="145"/>
      <c r="D113" s="48"/>
      <c r="E113" s="145"/>
      <c r="F113" s="145"/>
      <c r="G113" s="146"/>
      <c r="H113" s="147"/>
      <c r="I113" s="147"/>
      <c r="J113" s="147"/>
      <c r="K113" s="147"/>
      <c r="L113" s="147"/>
      <c r="M113" s="147"/>
      <c r="N113" s="156"/>
      <c r="O113" s="147"/>
      <c r="P113" s="151"/>
      <c r="Q113" s="151"/>
      <c r="R113" s="152"/>
      <c r="S113" s="147"/>
      <c r="T113" s="147"/>
      <c r="U113" s="147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L113" s="75"/>
      <c r="AM113" s="75"/>
      <c r="AN113" s="75"/>
      <c r="AO113" s="75"/>
      <c r="AP113" s="75"/>
      <c r="AQ113" s="75"/>
    </row>
    <row r="114" spans="1:43" ht="22.95" customHeight="1" x14ac:dyDescent="0.3">
      <c r="A114" s="143"/>
      <c r="B114" s="157"/>
      <c r="C114" s="158"/>
      <c r="D114" s="158"/>
      <c r="E114" s="158"/>
      <c r="F114" s="158"/>
      <c r="G114" s="158"/>
      <c r="H114" s="158"/>
      <c r="I114" s="158"/>
      <c r="J114" s="158"/>
      <c r="K114" s="158"/>
      <c r="L114" s="158"/>
      <c r="M114" s="158"/>
      <c r="N114" s="159"/>
      <c r="O114" s="158"/>
      <c r="P114" s="160"/>
      <c r="Q114" s="160"/>
      <c r="R114" s="161"/>
      <c r="S114" s="158"/>
      <c r="T114" s="158"/>
      <c r="U114" s="158"/>
      <c r="V114" s="158"/>
      <c r="W114" s="158"/>
      <c r="X114" s="158"/>
      <c r="Y114" s="158"/>
      <c r="Z114" s="158"/>
      <c r="AA114" s="158"/>
      <c r="AB114" s="158"/>
      <c r="AC114" s="158"/>
      <c r="AD114" s="158"/>
      <c r="AE114" s="158"/>
      <c r="AF114" s="158"/>
      <c r="AG114" s="158"/>
      <c r="AH114" s="158"/>
      <c r="AI114" s="158"/>
      <c r="AJ114" s="158"/>
      <c r="AK114" s="158"/>
      <c r="AL114" s="158"/>
      <c r="AM114" s="158"/>
      <c r="AN114" s="158"/>
      <c r="AO114" s="158"/>
      <c r="AP114" s="158"/>
      <c r="AQ114" s="158"/>
    </row>
    <row r="115" spans="1:43" s="5" customFormat="1" ht="22.95" customHeight="1" x14ac:dyDescent="0.3">
      <c r="A115" s="162"/>
      <c r="B115" s="163" t="s">
        <v>183</v>
      </c>
      <c r="C115" s="164"/>
      <c r="D115" s="164"/>
      <c r="E115" s="164"/>
      <c r="F115" s="164"/>
      <c r="G115" s="164"/>
      <c r="H115" s="164"/>
      <c r="I115" s="164"/>
      <c r="J115" s="164"/>
      <c r="K115" s="164"/>
      <c r="L115" s="164"/>
      <c r="M115" s="164"/>
      <c r="N115" s="13"/>
      <c r="O115" s="164"/>
      <c r="P115" s="163"/>
      <c r="Q115" s="163"/>
      <c r="R115" s="163"/>
      <c r="S115" s="164"/>
      <c r="T115" s="164"/>
      <c r="U115" s="4"/>
      <c r="V115" s="164"/>
      <c r="W115" s="164"/>
      <c r="X115" s="164"/>
      <c r="Y115" s="164"/>
      <c r="Z115" s="164"/>
      <c r="AA115" s="164"/>
      <c r="AB115" s="164"/>
      <c r="AC115" s="164"/>
      <c r="AD115" s="164"/>
      <c r="AE115" s="164"/>
      <c r="AF115" s="164"/>
      <c r="AG115" s="164"/>
      <c r="AH115" s="164"/>
      <c r="AI115" s="164"/>
      <c r="AJ115" s="164"/>
      <c r="AK115" s="164"/>
      <c r="AL115" s="164"/>
      <c r="AM115" s="164"/>
      <c r="AN115" s="164"/>
      <c r="AO115" s="164"/>
      <c r="AP115" s="164"/>
      <c r="AQ115" s="164"/>
    </row>
    <row r="116" spans="1:43" ht="22.95" customHeight="1" x14ac:dyDescent="0.3">
      <c r="A116" s="143"/>
      <c r="B116" s="163"/>
      <c r="C116" s="158"/>
      <c r="D116" s="158"/>
      <c r="E116" s="158"/>
      <c r="F116" s="13"/>
      <c r="G116" s="13"/>
      <c r="H116" s="13"/>
      <c r="I116" s="164"/>
      <c r="J116" s="13"/>
      <c r="K116" s="13"/>
      <c r="L116" s="13"/>
      <c r="M116" s="13"/>
      <c r="N116" s="13"/>
      <c r="O116" s="13"/>
      <c r="P116" s="163"/>
      <c r="Q116" s="163"/>
      <c r="R116" s="163"/>
      <c r="S116" s="13"/>
      <c r="T116" s="13"/>
      <c r="U116" s="18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</row>
    <row r="117" spans="1:43" ht="22.95" customHeight="1" x14ac:dyDescent="0.3">
      <c r="A117" s="143"/>
      <c r="B117" s="163"/>
      <c r="C117" s="158"/>
      <c r="D117" s="158"/>
      <c r="E117" s="158"/>
      <c r="F117" s="158"/>
      <c r="G117" s="164"/>
      <c r="H117" s="165"/>
      <c r="I117" s="164"/>
      <c r="J117" s="165"/>
      <c r="K117" s="165"/>
      <c r="L117" s="165"/>
      <c r="M117" s="165"/>
      <c r="N117" s="15"/>
      <c r="O117" s="165"/>
      <c r="P117" s="166"/>
      <c r="Q117" s="166"/>
      <c r="R117" s="166"/>
      <c r="S117" s="165"/>
      <c r="T117" s="165"/>
      <c r="U117" s="19"/>
      <c r="V117" s="165"/>
      <c r="W117" s="165"/>
      <c r="X117" s="165"/>
      <c r="Y117" s="165"/>
      <c r="Z117" s="165"/>
      <c r="AA117" s="165"/>
      <c r="AB117" s="165"/>
      <c r="AC117" s="165"/>
      <c r="AD117" s="165"/>
      <c r="AE117" s="165"/>
      <c r="AF117" s="165"/>
      <c r="AG117" s="165"/>
      <c r="AL117" s="11"/>
      <c r="AM117" s="11"/>
      <c r="AN117" s="11"/>
      <c r="AO117" s="11"/>
      <c r="AP117" s="11"/>
      <c r="AQ117" s="11"/>
    </row>
    <row r="118" spans="1:43" ht="22.95" customHeight="1" x14ac:dyDescent="0.3">
      <c r="B118" s="163"/>
      <c r="C118" s="158"/>
      <c r="D118" s="158"/>
      <c r="E118" s="158"/>
      <c r="F118" s="158"/>
      <c r="G118" s="164"/>
      <c r="H118" s="165"/>
      <c r="P118" s="169"/>
      <c r="Q118" s="169"/>
      <c r="R118" s="169"/>
      <c r="AL118" s="11"/>
      <c r="AM118" s="11"/>
      <c r="AN118" s="11"/>
      <c r="AO118" s="11"/>
      <c r="AP118" s="11"/>
      <c r="AQ118" s="11"/>
    </row>
    <row r="119" spans="1:43" ht="22.95" customHeight="1" x14ac:dyDescent="0.3">
      <c r="B119" s="163"/>
      <c r="C119" s="158"/>
      <c r="D119" s="158"/>
      <c r="E119" s="158"/>
      <c r="F119" s="158"/>
      <c r="G119" s="164"/>
      <c r="H119" s="165"/>
      <c r="AL119" s="11"/>
      <c r="AM119" s="11"/>
      <c r="AN119" s="11"/>
      <c r="AO119" s="11"/>
      <c r="AP119" s="11"/>
      <c r="AQ119" s="11"/>
    </row>
    <row r="120" spans="1:43" ht="22.95" customHeight="1" x14ac:dyDescent="0.3">
      <c r="B120" s="160"/>
      <c r="C120" s="158"/>
      <c r="D120" s="158"/>
      <c r="E120" s="158"/>
      <c r="F120" s="158"/>
      <c r="G120" s="164"/>
      <c r="H120" s="165"/>
      <c r="AL120" s="11"/>
      <c r="AM120" s="11"/>
      <c r="AN120" s="11"/>
      <c r="AO120" s="11"/>
      <c r="AP120" s="11"/>
      <c r="AQ120" s="11"/>
    </row>
    <row r="121" spans="1:43" ht="22.95" customHeight="1" x14ac:dyDescent="0.3">
      <c r="B121" s="160" t="s">
        <v>184</v>
      </c>
      <c r="C121" s="334" t="s">
        <v>185</v>
      </c>
      <c r="D121" s="334"/>
      <c r="E121" s="158"/>
      <c r="F121" s="158"/>
      <c r="G121" s="164"/>
      <c r="H121" s="165"/>
      <c r="AL121" s="11"/>
      <c r="AM121" s="11"/>
      <c r="AN121" s="11"/>
      <c r="AO121" s="11"/>
      <c r="AP121" s="11"/>
      <c r="AQ121" s="11"/>
    </row>
    <row r="122" spans="1:43" ht="22.95" customHeight="1" x14ac:dyDescent="0.3">
      <c r="B122" s="160" t="s">
        <v>186</v>
      </c>
      <c r="C122" s="342" t="s">
        <v>187</v>
      </c>
      <c r="D122" s="342"/>
      <c r="E122" s="158"/>
      <c r="F122" s="158"/>
      <c r="G122" s="164"/>
      <c r="H122" s="165"/>
      <c r="AL122" s="11"/>
      <c r="AM122" s="11"/>
      <c r="AN122" s="11"/>
      <c r="AO122" s="11"/>
      <c r="AP122" s="11"/>
      <c r="AQ122" s="11"/>
    </row>
    <row r="123" spans="1:43" ht="22.95" customHeight="1" x14ac:dyDescent="0.3">
      <c r="B123" s="160"/>
      <c r="C123" s="158"/>
      <c r="D123" s="158"/>
      <c r="E123" s="158"/>
      <c r="F123" s="158"/>
      <c r="G123" s="164"/>
      <c r="H123" s="165"/>
      <c r="AL123" s="11"/>
      <c r="AM123" s="11"/>
      <c r="AN123" s="11"/>
      <c r="AO123" s="11"/>
      <c r="AP123" s="11"/>
      <c r="AQ123" s="11"/>
    </row>
    <row r="124" spans="1:43" s="5" customFormat="1" ht="22.95" customHeight="1" x14ac:dyDescent="0.3">
      <c r="A124" s="4"/>
      <c r="B124" s="164"/>
      <c r="C124" s="164"/>
      <c r="D124" s="164"/>
      <c r="E124" s="164"/>
      <c r="F124" s="158"/>
      <c r="G124" s="164"/>
      <c r="H124" s="165"/>
      <c r="I124" s="19"/>
      <c r="J124" s="19"/>
      <c r="K124" s="167"/>
      <c r="L124" s="48"/>
      <c r="M124" s="48"/>
      <c r="N124" s="18"/>
      <c r="O124" s="4"/>
      <c r="P124" s="19"/>
      <c r="Q124" s="19"/>
      <c r="R124" s="19"/>
      <c r="S124" s="4"/>
      <c r="W124" s="48"/>
      <c r="X124" s="48"/>
      <c r="AL124" s="75"/>
      <c r="AM124" s="75"/>
      <c r="AN124" s="75"/>
      <c r="AO124" s="75"/>
      <c r="AP124" s="75"/>
      <c r="AQ124" s="75"/>
    </row>
    <row r="125" spans="1:43" s="5" customFormat="1" ht="22.95" customHeight="1" x14ac:dyDescent="0.3">
      <c r="A125" s="4"/>
      <c r="B125" s="163" t="s">
        <v>188</v>
      </c>
      <c r="C125" s="164"/>
      <c r="D125" s="164"/>
      <c r="E125" s="164"/>
      <c r="F125" s="343"/>
      <c r="G125" s="343"/>
      <c r="H125" s="165"/>
      <c r="I125" s="19"/>
      <c r="J125" s="19"/>
      <c r="K125" s="167"/>
      <c r="L125" s="48"/>
      <c r="M125" s="48"/>
      <c r="N125" s="18"/>
      <c r="O125" s="4"/>
      <c r="P125" s="19"/>
      <c r="Q125" s="19"/>
      <c r="R125" s="19"/>
      <c r="S125" s="4"/>
      <c r="W125" s="48"/>
      <c r="X125" s="48"/>
      <c r="AL125" s="75"/>
      <c r="AM125" s="75"/>
      <c r="AN125" s="75"/>
      <c r="AO125" s="75"/>
      <c r="AP125" s="75"/>
      <c r="AQ125" s="75"/>
    </row>
    <row r="126" spans="1:43" ht="22.95" customHeight="1" x14ac:dyDescent="0.3">
      <c r="B126" s="157"/>
      <c r="C126" s="158"/>
      <c r="D126" s="158"/>
      <c r="E126" s="158"/>
      <c r="F126" s="158"/>
      <c r="G126" s="164"/>
      <c r="H126" s="165"/>
    </row>
    <row r="127" spans="1:43" ht="22.95" customHeight="1" x14ac:dyDescent="0.3">
      <c r="B127" s="157"/>
      <c r="C127" s="158"/>
      <c r="D127" s="158"/>
      <c r="E127" s="158"/>
      <c r="F127" s="158"/>
      <c r="G127" s="164"/>
      <c r="H127" s="165"/>
    </row>
    <row r="128" spans="1:43" ht="22.95" customHeight="1" x14ac:dyDescent="0.3">
      <c r="B128" s="157"/>
      <c r="C128" s="158"/>
      <c r="D128" s="158"/>
      <c r="E128" s="158"/>
      <c r="F128" s="158"/>
      <c r="G128" s="164"/>
      <c r="H128" s="165"/>
    </row>
    <row r="129" spans="2:8" ht="22.95" customHeight="1" x14ac:dyDescent="0.3">
      <c r="B129" s="157"/>
      <c r="C129" s="158"/>
      <c r="D129" s="158"/>
      <c r="E129" s="158"/>
      <c r="F129" s="158"/>
      <c r="G129" s="164"/>
      <c r="H129" s="165"/>
    </row>
    <row r="130" spans="2:8" ht="22.95" customHeight="1" x14ac:dyDescent="0.3">
      <c r="B130" s="160" t="s">
        <v>184</v>
      </c>
      <c r="C130" s="334" t="s">
        <v>189</v>
      </c>
      <c r="D130" s="334"/>
      <c r="E130" s="158"/>
      <c r="F130" s="158"/>
      <c r="G130" s="164"/>
      <c r="H130" s="165"/>
    </row>
    <row r="131" spans="2:8" ht="22.95" customHeight="1" x14ac:dyDescent="0.3">
      <c r="B131" s="160" t="s">
        <v>186</v>
      </c>
      <c r="C131" s="342" t="s">
        <v>194</v>
      </c>
      <c r="D131" s="342"/>
      <c r="E131" s="158"/>
      <c r="F131" s="158"/>
      <c r="G131" s="164"/>
      <c r="H131" s="165"/>
    </row>
    <row r="132" spans="2:8" ht="22.95" customHeight="1" x14ac:dyDescent="0.3">
      <c r="B132" s="157"/>
      <c r="C132" s="158"/>
      <c r="D132" s="158"/>
      <c r="E132" s="158"/>
      <c r="F132" s="158"/>
      <c r="G132" s="164"/>
      <c r="H132" s="165"/>
    </row>
    <row r="133" spans="2:8" ht="22.95" customHeight="1" x14ac:dyDescent="0.3">
      <c r="B133" s="157"/>
      <c r="C133" s="158"/>
      <c r="D133" s="158"/>
      <c r="E133" s="158"/>
      <c r="F133" s="158"/>
      <c r="G133" s="164"/>
      <c r="H133" s="165"/>
    </row>
    <row r="134" spans="2:8" ht="22.95" customHeight="1" x14ac:dyDescent="0.3">
      <c r="B134" s="163" t="s">
        <v>190</v>
      </c>
      <c r="C134" s="164"/>
      <c r="D134" s="164"/>
      <c r="E134" s="158"/>
      <c r="F134" s="158"/>
      <c r="G134" s="164"/>
      <c r="H134" s="165"/>
    </row>
    <row r="135" spans="2:8" ht="22.95" customHeight="1" x14ac:dyDescent="0.3">
      <c r="B135" s="157"/>
      <c r="C135" s="158"/>
      <c r="D135" s="158"/>
      <c r="E135" s="158"/>
      <c r="F135" s="158"/>
      <c r="G135" s="164"/>
      <c r="H135" s="165"/>
    </row>
    <row r="136" spans="2:8" ht="22.95" customHeight="1" x14ac:dyDescent="0.3">
      <c r="B136" s="157"/>
      <c r="C136" s="158"/>
      <c r="D136" s="158"/>
      <c r="E136" s="158"/>
      <c r="F136" s="158"/>
      <c r="G136" s="164"/>
      <c r="H136" s="165"/>
    </row>
    <row r="137" spans="2:8" ht="22.95" customHeight="1" x14ac:dyDescent="0.3">
      <c r="B137" s="157"/>
      <c r="C137" s="158"/>
      <c r="D137" s="158"/>
      <c r="E137" s="158"/>
      <c r="F137" s="158"/>
      <c r="G137" s="164"/>
      <c r="H137" s="165"/>
    </row>
    <row r="138" spans="2:8" ht="22.95" customHeight="1" x14ac:dyDescent="0.3">
      <c r="B138" s="157"/>
      <c r="C138" s="158"/>
      <c r="D138" s="158"/>
      <c r="E138" s="158"/>
      <c r="F138" s="158"/>
      <c r="G138" s="164"/>
      <c r="H138" s="165"/>
    </row>
    <row r="139" spans="2:8" ht="22.95" customHeight="1" x14ac:dyDescent="0.3">
      <c r="B139" s="160" t="s">
        <v>184</v>
      </c>
      <c r="C139" s="334"/>
      <c r="D139" s="334"/>
      <c r="E139" s="158"/>
      <c r="F139" s="158"/>
      <c r="G139" s="164"/>
      <c r="H139" s="165"/>
    </row>
    <row r="140" spans="2:8" ht="22.95" customHeight="1" x14ac:dyDescent="0.3">
      <c r="B140" s="160" t="s">
        <v>186</v>
      </c>
      <c r="C140" s="338"/>
      <c r="D140" s="338"/>
      <c r="E140" s="158"/>
      <c r="F140" s="158"/>
      <c r="G140" s="164"/>
      <c r="H140" s="165"/>
    </row>
    <row r="141" spans="2:8" ht="22.95" customHeight="1" x14ac:dyDescent="0.3">
      <c r="B141" s="157"/>
      <c r="C141" s="158"/>
      <c r="D141" s="158"/>
      <c r="E141" s="158"/>
      <c r="F141" s="158"/>
      <c r="G141" s="164"/>
      <c r="H141" s="165"/>
    </row>
    <row r="142" spans="2:8" ht="22.95" customHeight="1" x14ac:dyDescent="0.3">
      <c r="B142" s="157"/>
      <c r="C142" s="158"/>
      <c r="D142" s="158"/>
      <c r="E142" s="158"/>
      <c r="F142" s="158"/>
      <c r="G142" s="164"/>
      <c r="H142" s="165"/>
    </row>
    <row r="143" spans="2:8" ht="22.95" customHeight="1" x14ac:dyDescent="0.3"/>
    <row r="144" spans="2:8" ht="22.95" customHeight="1" x14ac:dyDescent="0.3"/>
    <row r="145" ht="22.95" customHeight="1" x14ac:dyDescent="0.3"/>
    <row r="146" ht="22.95" customHeight="1" x14ac:dyDescent="0.3"/>
    <row r="147" ht="22.95" customHeight="1" x14ac:dyDescent="0.3"/>
    <row r="148" ht="22.95" customHeight="1" x14ac:dyDescent="0.3"/>
    <row r="149" ht="22.95" customHeight="1" x14ac:dyDescent="0.3"/>
    <row r="150" ht="22.95" customHeight="1" x14ac:dyDescent="0.3"/>
    <row r="151" ht="22.95" customHeight="1" x14ac:dyDescent="0.3"/>
    <row r="152" ht="22.95" customHeight="1" x14ac:dyDescent="0.3"/>
    <row r="153" ht="22.95" customHeight="1" x14ac:dyDescent="0.3"/>
    <row r="154" ht="22.95" customHeight="1" x14ac:dyDescent="0.3"/>
    <row r="155" ht="22.95" customHeight="1" x14ac:dyDescent="0.3"/>
    <row r="156" ht="22.95" customHeight="1" x14ac:dyDescent="0.3"/>
    <row r="157" ht="22.95" customHeight="1" x14ac:dyDescent="0.3"/>
    <row r="158" ht="22.95" customHeight="1" x14ac:dyDescent="0.3"/>
    <row r="159" ht="22.95" customHeight="1" x14ac:dyDescent="0.3"/>
    <row r="160" ht="22.95" customHeight="1" x14ac:dyDescent="0.3"/>
    <row r="161" ht="22.95" customHeight="1" x14ac:dyDescent="0.3"/>
    <row r="162" ht="22.95" customHeight="1" x14ac:dyDescent="0.3"/>
    <row r="163" ht="22.95" customHeight="1" x14ac:dyDescent="0.3"/>
    <row r="164" ht="22.95" customHeight="1" x14ac:dyDescent="0.3"/>
    <row r="165" ht="22.95" customHeight="1" x14ac:dyDescent="0.3"/>
    <row r="166" ht="22.95" customHeight="1" x14ac:dyDescent="0.3"/>
    <row r="167" ht="22.95" customHeight="1" x14ac:dyDescent="0.3"/>
    <row r="168" ht="22.95" customHeight="1" x14ac:dyDescent="0.3"/>
    <row r="169" ht="22.95" customHeight="1" x14ac:dyDescent="0.3"/>
    <row r="170" ht="22.95" customHeight="1" x14ac:dyDescent="0.3"/>
    <row r="171" ht="22.95" customHeight="1" x14ac:dyDescent="0.3"/>
    <row r="172" ht="22.95" customHeight="1" x14ac:dyDescent="0.3"/>
    <row r="173" ht="22.95" customHeight="1" x14ac:dyDescent="0.3"/>
    <row r="174" ht="22.95" customHeight="1" x14ac:dyDescent="0.3"/>
    <row r="175" ht="22.95" customHeight="1" x14ac:dyDescent="0.3"/>
    <row r="176" ht="22.95" customHeight="1" x14ac:dyDescent="0.3"/>
    <row r="177" ht="22.95" customHeight="1" x14ac:dyDescent="0.3"/>
    <row r="178" ht="22.95" customHeight="1" x14ac:dyDescent="0.3"/>
    <row r="179" ht="22.95" customHeight="1" x14ac:dyDescent="0.3"/>
    <row r="180" ht="22.95" customHeight="1" x14ac:dyDescent="0.3"/>
    <row r="181" ht="22.95" customHeight="1" x14ac:dyDescent="0.3"/>
    <row r="182" ht="22.95" customHeight="1" x14ac:dyDescent="0.3"/>
    <row r="183" ht="22.95" customHeight="1" x14ac:dyDescent="0.3"/>
    <row r="184" ht="22.95" customHeight="1" x14ac:dyDescent="0.3"/>
    <row r="185" ht="22.95" customHeight="1" x14ac:dyDescent="0.3"/>
    <row r="186" ht="22.95" customHeight="1" x14ac:dyDescent="0.3"/>
    <row r="187" ht="22.95" customHeight="1" x14ac:dyDescent="0.3"/>
    <row r="188" ht="22.95" customHeight="1" x14ac:dyDescent="0.3"/>
    <row r="189" ht="22.95" customHeight="1" x14ac:dyDescent="0.3"/>
    <row r="190" ht="22.95" customHeight="1" x14ac:dyDescent="0.3"/>
    <row r="191" ht="22.95" customHeight="1" x14ac:dyDescent="0.3"/>
    <row r="192" ht="22.95" customHeight="1" x14ac:dyDescent="0.3"/>
    <row r="193" ht="22.95" customHeight="1" x14ac:dyDescent="0.3"/>
    <row r="194" ht="22.95" customHeight="1" x14ac:dyDescent="0.3"/>
    <row r="195" ht="22.95" customHeight="1" x14ac:dyDescent="0.3"/>
    <row r="196" ht="22.95" customHeight="1" x14ac:dyDescent="0.3"/>
    <row r="197" ht="22.95" customHeight="1" x14ac:dyDescent="0.3"/>
    <row r="198" ht="22.95" customHeight="1" x14ac:dyDescent="0.3"/>
    <row r="199" ht="22.95" customHeight="1" x14ac:dyDescent="0.3"/>
    <row r="200" ht="22.95" customHeight="1" x14ac:dyDescent="0.3"/>
    <row r="201" ht="22.95" customHeight="1" x14ac:dyDescent="0.3"/>
    <row r="202" ht="22.95" customHeight="1" x14ac:dyDescent="0.3"/>
    <row r="203" ht="22.95" customHeight="1" x14ac:dyDescent="0.3"/>
  </sheetData>
  <autoFilter ref="A8:AU99" xr:uid="{00000000-0001-0000-0000-000000000000}"/>
  <mergeCells count="18">
    <mergeCell ref="C140:D140"/>
    <mergeCell ref="K7:Q7"/>
    <mergeCell ref="R7:V7"/>
    <mergeCell ref="W7:X7"/>
    <mergeCell ref="Y7:AA7"/>
    <mergeCell ref="C122:D122"/>
    <mergeCell ref="F125:G125"/>
    <mergeCell ref="C130:D130"/>
    <mergeCell ref="C131:D131"/>
    <mergeCell ref="C139:D139"/>
    <mergeCell ref="AB7:AG7"/>
    <mergeCell ref="C121:D121"/>
    <mergeCell ref="C1:E1"/>
    <mergeCell ref="C3:E3"/>
    <mergeCell ref="C4:E4"/>
    <mergeCell ref="C5:E5"/>
    <mergeCell ref="C6:E6"/>
    <mergeCell ref="H7:J7"/>
  </mergeCells>
  <printOptions horizontalCentered="1"/>
  <pageMargins left="0.19685039370078741" right="0.19685039370078741" top="0.59055118110236227" bottom="0.39370078740157483" header="0" footer="0"/>
  <pageSetup paperSize="8" scale="27" orientation="landscape" horizontalDpi="1200" verticalDpi="1200" r:id="rId1"/>
  <headerFooter alignWithMargins="0"/>
  <rowBreaks count="1" manualBreakCount="1">
    <brk id="67" max="32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E202F-A2DC-40AC-A427-29877EB2E2BC}">
  <dimension ref="A1:CE187"/>
  <sheetViews>
    <sheetView showGridLines="0" tabSelected="1" topLeftCell="B10" zoomScaleNormal="100" zoomScaleSheetLayoutView="10" workbookViewId="0">
      <selection activeCell="M16" sqref="L16:M16"/>
    </sheetView>
  </sheetViews>
  <sheetFormatPr defaultColWidth="9.109375" defaultRowHeight="14.4" x14ac:dyDescent="0.3"/>
  <cols>
    <col min="1" max="1" width="7.33203125" style="292" customWidth="1"/>
    <col min="2" max="2" width="42" style="249" customWidth="1"/>
    <col min="3" max="3" width="15.88671875" style="291" customWidth="1"/>
    <col min="4" max="4" width="16.6640625" style="299" customWidth="1"/>
    <col min="5" max="5" width="13" style="293" customWidth="1"/>
    <col min="6" max="6" width="14.33203125" style="292" customWidth="1"/>
    <col min="7" max="7" width="10.6640625" style="294" customWidth="1"/>
    <col min="8" max="8" width="14.33203125" style="295" customWidth="1"/>
    <col min="9" max="9" width="15.88671875" style="303" customWidth="1"/>
    <col min="10" max="10" width="10.88671875" style="249" customWidth="1"/>
    <col min="11" max="11" width="17.5546875" style="249" customWidth="1"/>
    <col min="12" max="12" width="15" style="249" customWidth="1"/>
    <col min="13" max="13" width="17.109375" style="249" customWidth="1"/>
    <col min="14" max="14" width="18.109375" style="249" customWidth="1"/>
    <col min="15" max="15" width="19.5546875" style="249" customWidth="1"/>
    <col min="16" max="16" width="9.109375" style="249"/>
    <col min="17" max="17" width="16.44140625" style="249" customWidth="1"/>
    <col min="18" max="16384" width="9.109375" style="249"/>
  </cols>
  <sheetData>
    <row r="1" spans="1:15" s="263" customFormat="1" x14ac:dyDescent="0.3">
      <c r="B1" s="263" t="s">
        <v>6</v>
      </c>
      <c r="C1" s="264">
        <v>2026</v>
      </c>
      <c r="E1" s="265"/>
      <c r="F1" s="299"/>
      <c r="G1" s="266"/>
      <c r="H1" s="267"/>
      <c r="I1" s="268"/>
    </row>
    <row r="2" spans="1:15" s="263" customFormat="1" x14ac:dyDescent="0.3">
      <c r="B2" s="263" t="s">
        <v>7</v>
      </c>
      <c r="C2" s="264" t="s">
        <v>313</v>
      </c>
      <c r="E2" s="265"/>
      <c r="F2" s="299"/>
      <c r="G2" s="266"/>
      <c r="H2" s="267"/>
      <c r="I2" s="268"/>
    </row>
    <row r="3" spans="1:15" s="272" customFormat="1" x14ac:dyDescent="0.3">
      <c r="A3" s="269"/>
      <c r="B3" s="270"/>
      <c r="C3" s="271"/>
      <c r="D3" s="269"/>
      <c r="E3" s="265"/>
      <c r="F3" s="269"/>
      <c r="G3" s="273"/>
      <c r="H3" s="274"/>
      <c r="I3" s="275"/>
    </row>
    <row r="4" spans="1:15" s="281" customFormat="1" ht="28.8" x14ac:dyDescent="0.3">
      <c r="A4" s="276" t="s">
        <v>9</v>
      </c>
      <c r="B4" s="276" t="s">
        <v>10</v>
      </c>
      <c r="C4" s="277" t="s">
        <v>216</v>
      </c>
      <c r="D4" s="278" t="s">
        <v>15</v>
      </c>
      <c r="E4" s="279" t="s">
        <v>16</v>
      </c>
      <c r="F4" s="170" t="s">
        <v>217</v>
      </c>
      <c r="G4" s="171" t="s">
        <v>218</v>
      </c>
      <c r="H4" s="171" t="s">
        <v>219</v>
      </c>
      <c r="I4" s="172" t="s">
        <v>220</v>
      </c>
      <c r="J4" s="280" t="s">
        <v>230</v>
      </c>
    </row>
    <row r="5" spans="1:15" s="183" customFormat="1" ht="19.95" customHeight="1" x14ac:dyDescent="0.3">
      <c r="A5" s="173">
        <v>1</v>
      </c>
      <c r="B5" s="174" t="s">
        <v>206</v>
      </c>
      <c r="C5" s="175">
        <v>501117</v>
      </c>
      <c r="D5" s="176">
        <v>46053</v>
      </c>
      <c r="E5" s="177">
        <v>6</v>
      </c>
      <c r="F5" s="178" t="s">
        <v>228</v>
      </c>
      <c r="G5" s="179">
        <v>3.25</v>
      </c>
      <c r="H5" s="180">
        <v>0</v>
      </c>
      <c r="I5" s="181">
        <v>2.74</v>
      </c>
      <c r="J5" s="182" t="s">
        <v>283</v>
      </c>
      <c r="L5" s="184"/>
      <c r="M5" s="184"/>
      <c r="N5" s="184"/>
      <c r="O5" s="184"/>
    </row>
    <row r="6" spans="1:15" s="183" customFormat="1" ht="19.95" customHeight="1" x14ac:dyDescent="0.3">
      <c r="A6" s="173">
        <v>2</v>
      </c>
      <c r="B6" s="174" t="s">
        <v>205</v>
      </c>
      <c r="C6" s="175">
        <v>501116</v>
      </c>
      <c r="D6" s="176">
        <v>46053</v>
      </c>
      <c r="E6" s="177">
        <v>6</v>
      </c>
      <c r="F6" s="178" t="s">
        <v>228</v>
      </c>
      <c r="G6" s="179">
        <v>2.75</v>
      </c>
      <c r="H6" s="179">
        <v>7.42</v>
      </c>
      <c r="I6" s="181">
        <v>1</v>
      </c>
      <c r="J6" s="182" t="s">
        <v>283</v>
      </c>
      <c r="N6" s="184"/>
      <c r="O6" s="184"/>
    </row>
    <row r="7" spans="1:15" s="185" customFormat="1" ht="19.95" customHeight="1" x14ac:dyDescent="0.3">
      <c r="A7" s="173">
        <v>3</v>
      </c>
      <c r="B7" s="174" t="s">
        <v>193</v>
      </c>
      <c r="C7" s="175">
        <v>501256</v>
      </c>
      <c r="D7" s="176">
        <v>46053</v>
      </c>
      <c r="E7" s="177">
        <v>0</v>
      </c>
      <c r="F7" s="178" t="s">
        <v>229</v>
      </c>
      <c r="G7" s="180">
        <v>0</v>
      </c>
      <c r="H7" s="179">
        <v>7.66</v>
      </c>
      <c r="I7" s="181">
        <v>1</v>
      </c>
      <c r="J7" s="182" t="s">
        <v>281</v>
      </c>
    </row>
    <row r="8" spans="1:15" s="185" customFormat="1" ht="19.95" customHeight="1" x14ac:dyDescent="0.3">
      <c r="A8" s="173">
        <v>4</v>
      </c>
      <c r="B8" s="186" t="s">
        <v>199</v>
      </c>
      <c r="C8" s="175">
        <v>501162</v>
      </c>
      <c r="D8" s="176">
        <v>46053</v>
      </c>
      <c r="E8" s="177">
        <v>13</v>
      </c>
      <c r="F8" s="178" t="s">
        <v>228</v>
      </c>
      <c r="G8" s="179">
        <v>2</v>
      </c>
      <c r="H8" s="179">
        <v>6.68</v>
      </c>
      <c r="I8" s="181">
        <v>1</v>
      </c>
      <c r="J8" s="182" t="s">
        <v>280</v>
      </c>
    </row>
    <row r="9" spans="1:15" s="185" customFormat="1" ht="19.95" customHeight="1" x14ac:dyDescent="0.3">
      <c r="A9" s="173">
        <v>5</v>
      </c>
      <c r="B9" s="186" t="s">
        <v>198</v>
      </c>
      <c r="C9" s="175">
        <v>501163</v>
      </c>
      <c r="D9" s="176">
        <v>46053</v>
      </c>
      <c r="E9" s="177">
        <v>15</v>
      </c>
      <c r="F9" s="178" t="s">
        <v>228</v>
      </c>
      <c r="G9" s="180">
        <v>0</v>
      </c>
      <c r="H9" s="180">
        <v>0</v>
      </c>
      <c r="I9" s="181">
        <v>2.75</v>
      </c>
      <c r="J9" s="182" t="s">
        <v>280</v>
      </c>
    </row>
    <row r="10" spans="1:15" s="185" customFormat="1" ht="19.95" customHeight="1" x14ac:dyDescent="0.3">
      <c r="A10" s="173">
        <v>6</v>
      </c>
      <c r="B10" s="186" t="s">
        <v>125</v>
      </c>
      <c r="C10" s="175">
        <v>500947</v>
      </c>
      <c r="D10" s="176">
        <v>46053</v>
      </c>
      <c r="E10" s="177">
        <v>50</v>
      </c>
      <c r="F10" s="178" t="s">
        <v>226</v>
      </c>
      <c r="G10" s="180">
        <v>0</v>
      </c>
      <c r="H10" s="180">
        <v>0</v>
      </c>
      <c r="I10" s="181">
        <v>1</v>
      </c>
      <c r="J10" s="182" t="s">
        <v>282</v>
      </c>
    </row>
    <row r="11" spans="1:15" s="185" customFormat="1" ht="19.95" customHeight="1" x14ac:dyDescent="0.3">
      <c r="A11" s="173">
        <v>7</v>
      </c>
      <c r="B11" s="186" t="s">
        <v>123</v>
      </c>
      <c r="C11" s="175">
        <v>500914</v>
      </c>
      <c r="D11" s="176">
        <v>46053</v>
      </c>
      <c r="E11" s="177">
        <v>50</v>
      </c>
      <c r="F11" s="178" t="str">
        <f>IFERROR(VLOOKUP($C11,'[1]MIA&amp;RATE-CONV-OCT25'!$D:$H,2,FALSE),"")</f>
        <v>COF</v>
      </c>
      <c r="G11" s="179">
        <f>IFERROR(VLOOKUP($C11,'[1]MIA&amp;RATE-CONV-OCT25'!$D:$H,3,FALSE),"")</f>
        <v>2.25</v>
      </c>
      <c r="H11" s="179">
        <v>8.26</v>
      </c>
      <c r="I11" s="181">
        <v>1</v>
      </c>
      <c r="J11" s="182" t="s">
        <v>282</v>
      </c>
    </row>
    <row r="12" spans="1:15" s="185" customFormat="1" ht="19.95" customHeight="1" x14ac:dyDescent="0.3">
      <c r="A12" s="173">
        <v>8</v>
      </c>
      <c r="B12" s="186" t="s">
        <v>129</v>
      </c>
      <c r="C12" s="175">
        <v>501308</v>
      </c>
      <c r="D12" s="176">
        <v>46053</v>
      </c>
      <c r="E12" s="177">
        <v>0</v>
      </c>
      <c r="F12" s="178" t="s">
        <v>239</v>
      </c>
      <c r="G12" s="179">
        <v>3.5</v>
      </c>
      <c r="H12" s="179">
        <v>9.5299999999999994</v>
      </c>
      <c r="I12" s="181">
        <v>1</v>
      </c>
      <c r="J12" s="182" t="s">
        <v>284</v>
      </c>
    </row>
    <row r="13" spans="1:15" s="185" customFormat="1" ht="19.95" customHeight="1" x14ac:dyDescent="0.3">
      <c r="A13" s="173">
        <v>10</v>
      </c>
      <c r="B13" s="174" t="s">
        <v>207</v>
      </c>
      <c r="C13" s="175">
        <v>501216</v>
      </c>
      <c r="D13" s="176">
        <v>46053</v>
      </c>
      <c r="E13" s="177">
        <v>8</v>
      </c>
      <c r="F13" s="178" t="s">
        <v>228</v>
      </c>
      <c r="G13" s="179">
        <v>1.5</v>
      </c>
      <c r="H13" s="180">
        <v>0</v>
      </c>
      <c r="I13" s="181">
        <v>2.77</v>
      </c>
      <c r="J13" s="182" t="s">
        <v>284</v>
      </c>
    </row>
    <row r="14" spans="1:15" s="185" customFormat="1" ht="19.95" customHeight="1" x14ac:dyDescent="0.3">
      <c r="A14" s="173">
        <v>9</v>
      </c>
      <c r="B14" s="174" t="s">
        <v>208</v>
      </c>
      <c r="C14" s="175">
        <v>501223</v>
      </c>
      <c r="D14" s="176">
        <v>46053</v>
      </c>
      <c r="E14" s="177">
        <v>5</v>
      </c>
      <c r="F14" s="178" t="s">
        <v>228</v>
      </c>
      <c r="G14" s="179">
        <v>1.7</v>
      </c>
      <c r="H14" s="180">
        <v>0</v>
      </c>
      <c r="I14" s="181">
        <v>2.77</v>
      </c>
      <c r="J14" s="182" t="s">
        <v>284</v>
      </c>
    </row>
    <row r="15" spans="1:15" s="185" customFormat="1" ht="19.95" customHeight="1" x14ac:dyDescent="0.3">
      <c r="A15" s="173">
        <v>11</v>
      </c>
      <c r="B15" s="186" t="s">
        <v>209</v>
      </c>
      <c r="C15" s="175">
        <v>501090</v>
      </c>
      <c r="D15" s="176">
        <v>46053</v>
      </c>
      <c r="E15" s="177">
        <v>7</v>
      </c>
      <c r="F15" s="178" t="s">
        <v>221</v>
      </c>
      <c r="G15" s="180">
        <v>0</v>
      </c>
      <c r="H15" s="179">
        <v>4.5</v>
      </c>
      <c r="I15" s="181">
        <v>1</v>
      </c>
      <c r="J15" s="182" t="s">
        <v>281</v>
      </c>
    </row>
    <row r="16" spans="1:15" s="185" customFormat="1" ht="19.95" customHeight="1" x14ac:dyDescent="0.3">
      <c r="A16" s="173">
        <v>12</v>
      </c>
      <c r="B16" s="186" t="s">
        <v>210</v>
      </c>
      <c r="C16" s="175">
        <v>501257</v>
      </c>
      <c r="D16" s="176">
        <v>46053</v>
      </c>
      <c r="E16" s="177">
        <v>6</v>
      </c>
      <c r="F16" s="178" t="s">
        <v>228</v>
      </c>
      <c r="G16" s="179">
        <v>3</v>
      </c>
      <c r="H16" s="180">
        <v>0</v>
      </c>
      <c r="I16" s="181">
        <v>1</v>
      </c>
      <c r="J16" s="182" t="s">
        <v>281</v>
      </c>
    </row>
    <row r="17" spans="1:83" s="185" customFormat="1" ht="19.95" customHeight="1" x14ac:dyDescent="0.3">
      <c r="A17" s="173">
        <v>13</v>
      </c>
      <c r="B17" s="174" t="s">
        <v>203</v>
      </c>
      <c r="C17" s="175">
        <v>501152</v>
      </c>
      <c r="D17" s="176">
        <v>46053</v>
      </c>
      <c r="E17" s="177">
        <v>12</v>
      </c>
      <c r="F17" s="178" t="s">
        <v>228</v>
      </c>
      <c r="G17" s="179">
        <v>2</v>
      </c>
      <c r="H17" s="180">
        <v>0</v>
      </c>
      <c r="I17" s="181">
        <v>2.77</v>
      </c>
      <c r="J17" s="182" t="s">
        <v>284</v>
      </c>
    </row>
    <row r="18" spans="1:83" s="185" customFormat="1" ht="19.95" customHeight="1" x14ac:dyDescent="0.3">
      <c r="A18" s="173">
        <v>14</v>
      </c>
      <c r="B18" s="186" t="s">
        <v>121</v>
      </c>
      <c r="C18" s="175">
        <v>500885</v>
      </c>
      <c r="D18" s="176">
        <v>46053</v>
      </c>
      <c r="E18" s="177">
        <v>50</v>
      </c>
      <c r="F18" s="178" t="str">
        <f>IFERROR(VLOOKUP($C18,'[1]MIA&amp;RATE-CONV-OCT25'!$D:$H,2,FALSE),"")</f>
        <v>3M LIBOR</v>
      </c>
      <c r="G18" s="179">
        <f>IFERROR(VLOOKUP($C18,'[1]MIA&amp;RATE-CONV-OCT25'!$D:$H,3,FALSE),"")</f>
        <v>2</v>
      </c>
      <c r="H18" s="179">
        <v>8.06</v>
      </c>
      <c r="I18" s="181">
        <v>1</v>
      </c>
      <c r="J18" s="182" t="s">
        <v>280</v>
      </c>
    </row>
    <row r="19" spans="1:83" s="185" customFormat="1" ht="19.95" customHeight="1" x14ac:dyDescent="0.3">
      <c r="A19" s="173">
        <v>15</v>
      </c>
      <c r="B19" s="186" t="s">
        <v>232</v>
      </c>
      <c r="C19" s="175">
        <v>501294</v>
      </c>
      <c r="D19" s="176">
        <v>46053</v>
      </c>
      <c r="E19" s="177">
        <v>0</v>
      </c>
      <c r="F19" s="178" t="s">
        <v>221</v>
      </c>
      <c r="G19" s="180">
        <v>0</v>
      </c>
      <c r="H19" s="179">
        <v>4.5</v>
      </c>
      <c r="I19" s="180">
        <v>0</v>
      </c>
      <c r="J19" s="182" t="s">
        <v>280</v>
      </c>
    </row>
    <row r="20" spans="1:83" s="185" customFormat="1" ht="19.95" customHeight="1" x14ac:dyDescent="0.3">
      <c r="A20" s="173">
        <v>16</v>
      </c>
      <c r="B20" s="186" t="s">
        <v>233</v>
      </c>
      <c r="C20" s="175">
        <v>501295</v>
      </c>
      <c r="D20" s="176">
        <v>46053</v>
      </c>
      <c r="E20" s="177">
        <v>0</v>
      </c>
      <c r="F20" s="178" t="s">
        <v>221</v>
      </c>
      <c r="G20" s="180">
        <v>0</v>
      </c>
      <c r="H20" s="179">
        <v>4.5</v>
      </c>
      <c r="I20" s="180">
        <v>0</v>
      </c>
      <c r="J20" s="182" t="s">
        <v>280</v>
      </c>
    </row>
    <row r="21" spans="1:83" s="196" customFormat="1" ht="19.95" customHeight="1" x14ac:dyDescent="0.3">
      <c r="A21" s="187">
        <v>17</v>
      </c>
      <c r="B21" s="188" t="s">
        <v>31</v>
      </c>
      <c r="C21" s="189">
        <v>100374</v>
      </c>
      <c r="D21" s="190">
        <v>46053</v>
      </c>
      <c r="E21" s="191">
        <v>38</v>
      </c>
      <c r="F21" s="192" t="str">
        <f>IFERROR(VLOOKUP($C21,'[1]MIA&amp;RATE-CONV-OCT25'!$D:$H,2,FALSE),"")</f>
        <v>COF</v>
      </c>
      <c r="G21" s="193">
        <f>IFERROR(VLOOKUP($C21,'[1]MIA&amp;RATE-CONV-OCT25'!$D:$H,3,FALSE),"")</f>
        <v>1.75</v>
      </c>
      <c r="H21" s="193">
        <v>7.78</v>
      </c>
      <c r="I21" s="194">
        <v>2</v>
      </c>
      <c r="J21" s="195" t="s">
        <v>284</v>
      </c>
    </row>
    <row r="22" spans="1:83" s="196" customFormat="1" ht="19.95" customHeight="1" x14ac:dyDescent="0.3">
      <c r="A22" s="197"/>
      <c r="B22" s="282" t="s">
        <v>127</v>
      </c>
      <c r="C22" s="283">
        <v>501018</v>
      </c>
      <c r="D22" s="176">
        <v>46053</v>
      </c>
      <c r="E22" s="177">
        <v>0</v>
      </c>
      <c r="F22" s="178" t="s">
        <v>221</v>
      </c>
      <c r="G22" s="180">
        <v>0</v>
      </c>
      <c r="H22" s="179">
        <v>4</v>
      </c>
      <c r="I22" s="181">
        <v>1</v>
      </c>
      <c r="J22" s="198" t="s">
        <v>282</v>
      </c>
    </row>
    <row r="23" spans="1:83" s="207" customFormat="1" ht="19.95" customHeight="1" x14ac:dyDescent="0.3">
      <c r="A23" s="199">
        <v>50</v>
      </c>
      <c r="B23" s="200" t="s">
        <v>288</v>
      </c>
      <c r="C23" s="201">
        <v>500758</v>
      </c>
      <c r="D23" s="202">
        <v>46053</v>
      </c>
      <c r="E23" s="203">
        <v>104</v>
      </c>
      <c r="F23" s="326" t="s">
        <v>221</v>
      </c>
      <c r="G23" s="204">
        <v>0</v>
      </c>
      <c r="H23" s="204">
        <v>3</v>
      </c>
      <c r="I23" s="205">
        <v>1</v>
      </c>
      <c r="J23" s="206"/>
    </row>
    <row r="24" spans="1:83" s="207" customFormat="1" ht="19.95" customHeight="1" x14ac:dyDescent="0.3">
      <c r="A24" s="199">
        <v>75</v>
      </c>
      <c r="B24" s="208" t="s">
        <v>21</v>
      </c>
      <c r="C24" s="209">
        <v>500771</v>
      </c>
      <c r="D24" s="210">
        <v>46053</v>
      </c>
      <c r="E24" s="211">
        <v>55</v>
      </c>
      <c r="F24" s="209" t="s">
        <v>224</v>
      </c>
      <c r="G24" s="204">
        <v>0</v>
      </c>
      <c r="H24" s="204">
        <v>0</v>
      </c>
      <c r="I24" s="213">
        <v>2.77</v>
      </c>
      <c r="J24" s="214"/>
    </row>
    <row r="25" spans="1:83" s="222" customFormat="1" ht="19.95" customHeight="1" x14ac:dyDescent="0.3">
      <c r="A25" s="173">
        <v>51</v>
      </c>
      <c r="B25" s="215" t="s">
        <v>24</v>
      </c>
      <c r="C25" s="216">
        <v>500512</v>
      </c>
      <c r="D25" s="217">
        <v>46053</v>
      </c>
      <c r="E25" s="218">
        <v>104</v>
      </c>
      <c r="F25" s="327" t="s">
        <v>221</v>
      </c>
      <c r="G25" s="219">
        <v>0</v>
      </c>
      <c r="H25" s="220">
        <v>6</v>
      </c>
      <c r="I25" s="221">
        <v>1</v>
      </c>
      <c r="J25" s="182"/>
    </row>
    <row r="26" spans="1:83" s="224" customFormat="1" ht="19.95" customHeight="1" x14ac:dyDescent="0.3">
      <c r="A26" s="223">
        <v>52</v>
      </c>
      <c r="B26" s="215" t="s">
        <v>36</v>
      </c>
      <c r="C26" s="216">
        <v>501000</v>
      </c>
      <c r="D26" s="217">
        <v>46053</v>
      </c>
      <c r="E26" s="218">
        <v>82</v>
      </c>
      <c r="F26" s="328" t="s">
        <v>311</v>
      </c>
      <c r="G26" s="220">
        <v>2</v>
      </c>
      <c r="H26" s="220">
        <v>6.52</v>
      </c>
      <c r="I26" s="221">
        <v>6.52</v>
      </c>
      <c r="J26" s="182"/>
      <c r="K26" s="222"/>
      <c r="L26" s="222"/>
      <c r="M26" s="222"/>
      <c r="N26" s="222"/>
      <c r="O26" s="222"/>
      <c r="P26" s="222"/>
      <c r="Q26" s="222"/>
      <c r="R26" s="222"/>
      <c r="S26" s="222"/>
      <c r="T26" s="222"/>
      <c r="U26" s="222"/>
      <c r="V26" s="222"/>
      <c r="W26" s="222"/>
      <c r="X26" s="222"/>
      <c r="Y26" s="222"/>
      <c r="Z26" s="222"/>
      <c r="AA26" s="222"/>
      <c r="AB26" s="222"/>
      <c r="AC26" s="222"/>
      <c r="AD26" s="222"/>
      <c r="AE26" s="222"/>
      <c r="AF26" s="222"/>
      <c r="AG26" s="222"/>
      <c r="AH26" s="222"/>
      <c r="AI26" s="222"/>
      <c r="AJ26" s="222"/>
      <c r="AK26" s="222"/>
      <c r="AL26" s="222"/>
      <c r="AM26" s="222"/>
      <c r="AN26" s="222"/>
      <c r="AO26" s="222"/>
      <c r="AP26" s="222"/>
      <c r="AQ26" s="222"/>
      <c r="AR26" s="222"/>
      <c r="AS26" s="222"/>
      <c r="AT26" s="222"/>
      <c r="AU26" s="222"/>
      <c r="AV26" s="222"/>
      <c r="AW26" s="222"/>
      <c r="AX26" s="222"/>
      <c r="AY26" s="222"/>
      <c r="AZ26" s="222"/>
      <c r="BA26" s="222"/>
      <c r="BB26" s="222"/>
      <c r="BC26" s="222"/>
      <c r="BD26" s="222"/>
      <c r="BE26" s="222"/>
      <c r="BF26" s="222"/>
      <c r="BG26" s="222"/>
      <c r="BH26" s="222"/>
      <c r="BI26" s="222"/>
      <c r="BJ26" s="222"/>
      <c r="BK26" s="222"/>
      <c r="BL26" s="222"/>
      <c r="BM26" s="222"/>
      <c r="BN26" s="222"/>
      <c r="BO26" s="222"/>
      <c r="BP26" s="222"/>
      <c r="BQ26" s="222"/>
      <c r="BR26" s="222"/>
      <c r="BS26" s="222"/>
      <c r="BT26" s="222"/>
      <c r="BU26" s="222"/>
      <c r="BV26" s="222"/>
      <c r="BW26" s="222"/>
      <c r="BX26" s="222"/>
      <c r="BY26" s="222"/>
      <c r="BZ26" s="222"/>
      <c r="CA26" s="222"/>
      <c r="CB26" s="222"/>
      <c r="CC26" s="222"/>
      <c r="CD26" s="222"/>
      <c r="CE26" s="222"/>
    </row>
    <row r="27" spans="1:83" s="207" customFormat="1" ht="19.95" customHeight="1" x14ac:dyDescent="0.3">
      <c r="A27" s="199">
        <v>76</v>
      </c>
      <c r="B27" s="212" t="s">
        <v>305</v>
      </c>
      <c r="C27" s="209">
        <v>500850</v>
      </c>
      <c r="D27" s="210">
        <v>46053</v>
      </c>
      <c r="E27" s="211">
        <v>92</v>
      </c>
      <c r="F27" s="209" t="s">
        <v>222</v>
      </c>
      <c r="G27" s="213">
        <v>0</v>
      </c>
      <c r="H27" s="204">
        <v>0</v>
      </c>
      <c r="I27" s="213">
        <v>1</v>
      </c>
      <c r="J27" s="214"/>
    </row>
    <row r="28" spans="1:83" s="207" customFormat="1" ht="19.95" customHeight="1" x14ac:dyDescent="0.3">
      <c r="A28" s="199">
        <v>77</v>
      </c>
      <c r="B28" s="225" t="s">
        <v>40</v>
      </c>
      <c r="C28" s="226">
        <v>500676</v>
      </c>
      <c r="D28" s="210">
        <v>46053</v>
      </c>
      <c r="E28" s="211">
        <v>124</v>
      </c>
      <c r="F28" s="226" t="s">
        <v>223</v>
      </c>
      <c r="G28" s="213">
        <v>0</v>
      </c>
      <c r="H28" s="204">
        <v>0</v>
      </c>
      <c r="I28" s="227">
        <v>2.76</v>
      </c>
      <c r="J28" s="214"/>
    </row>
    <row r="29" spans="1:83" s="229" customFormat="1" ht="19.95" customHeight="1" x14ac:dyDescent="0.3">
      <c r="A29" s="228">
        <v>78</v>
      </c>
      <c r="B29" s="235" t="s">
        <v>308</v>
      </c>
      <c r="C29" s="310">
        <v>500692</v>
      </c>
      <c r="D29" s="210">
        <v>46053</v>
      </c>
      <c r="E29" s="211">
        <v>89</v>
      </c>
      <c r="F29" s="329" t="s">
        <v>223</v>
      </c>
      <c r="G29" s="213">
        <v>0</v>
      </c>
      <c r="H29" s="204">
        <v>0</v>
      </c>
      <c r="I29" s="227">
        <v>2.76</v>
      </c>
      <c r="J29" s="214"/>
      <c r="K29" s="207"/>
      <c r="L29" s="207"/>
      <c r="M29" s="207"/>
      <c r="N29" s="207"/>
      <c r="O29" s="207"/>
      <c r="P29" s="207"/>
      <c r="Q29" s="207"/>
      <c r="R29" s="207"/>
      <c r="S29" s="207"/>
      <c r="T29" s="207"/>
      <c r="U29" s="207"/>
      <c r="V29" s="207"/>
      <c r="W29" s="207"/>
      <c r="X29" s="207"/>
      <c r="Y29" s="207"/>
      <c r="Z29" s="207"/>
      <c r="AA29" s="207"/>
      <c r="AB29" s="207"/>
      <c r="AC29" s="207"/>
      <c r="AD29" s="207"/>
      <c r="AE29" s="207"/>
      <c r="AF29" s="207"/>
      <c r="AG29" s="207"/>
      <c r="AH29" s="207"/>
      <c r="AI29" s="207"/>
      <c r="AJ29" s="207"/>
      <c r="AK29" s="207"/>
      <c r="AL29" s="207"/>
      <c r="AM29" s="207"/>
      <c r="AN29" s="207"/>
      <c r="AO29" s="207"/>
      <c r="AP29" s="207"/>
      <c r="AQ29" s="207"/>
      <c r="AR29" s="207"/>
      <c r="AS29" s="207"/>
      <c r="AT29" s="207"/>
      <c r="AU29" s="207"/>
      <c r="AV29" s="207"/>
      <c r="AW29" s="207"/>
      <c r="AX29" s="207"/>
      <c r="AY29" s="207"/>
      <c r="AZ29" s="207"/>
      <c r="BA29" s="207"/>
      <c r="BB29" s="207"/>
      <c r="BC29" s="207"/>
      <c r="BD29" s="207"/>
      <c r="BE29" s="207"/>
      <c r="BF29" s="207"/>
      <c r="BG29" s="207"/>
      <c r="BH29" s="207"/>
      <c r="BI29" s="207"/>
      <c r="BJ29" s="207"/>
      <c r="BK29" s="207"/>
      <c r="BL29" s="207"/>
      <c r="BM29" s="207"/>
      <c r="BN29" s="207"/>
      <c r="BO29" s="207"/>
      <c r="BP29" s="207"/>
      <c r="BQ29" s="207"/>
      <c r="BR29" s="207"/>
      <c r="BS29" s="207"/>
      <c r="BT29" s="207"/>
      <c r="BU29" s="207"/>
      <c r="BV29" s="207"/>
      <c r="BW29" s="207"/>
      <c r="BX29" s="207"/>
      <c r="BY29" s="207"/>
      <c r="BZ29" s="207"/>
      <c r="CA29" s="207"/>
      <c r="CB29" s="207"/>
      <c r="CC29" s="207"/>
      <c r="CD29" s="207"/>
      <c r="CE29" s="207"/>
    </row>
    <row r="30" spans="1:83" s="229" customFormat="1" ht="19.95" customHeight="1" x14ac:dyDescent="0.3">
      <c r="A30" s="228">
        <v>79</v>
      </c>
      <c r="B30" s="235" t="s">
        <v>309</v>
      </c>
      <c r="C30" s="310">
        <v>500910</v>
      </c>
      <c r="D30" s="210">
        <v>46053</v>
      </c>
      <c r="E30" s="211">
        <v>89</v>
      </c>
      <c r="F30" s="329" t="s">
        <v>222</v>
      </c>
      <c r="G30" s="213">
        <v>0</v>
      </c>
      <c r="H30" s="204">
        <v>0</v>
      </c>
      <c r="I30" s="227">
        <v>2.76</v>
      </c>
      <c r="J30" s="214"/>
      <c r="K30" s="207"/>
      <c r="L30" s="207"/>
      <c r="M30" s="207"/>
      <c r="N30" s="207"/>
      <c r="O30" s="207"/>
      <c r="P30" s="207"/>
      <c r="Q30" s="207"/>
      <c r="R30" s="207"/>
      <c r="S30" s="207"/>
      <c r="T30" s="207"/>
      <c r="U30" s="207"/>
      <c r="V30" s="207"/>
      <c r="W30" s="207"/>
      <c r="X30" s="207"/>
      <c r="Y30" s="207"/>
      <c r="Z30" s="207"/>
      <c r="AA30" s="207"/>
      <c r="AB30" s="207"/>
      <c r="AC30" s="207"/>
      <c r="AD30" s="207"/>
      <c r="AE30" s="207"/>
      <c r="AF30" s="207"/>
      <c r="AG30" s="207"/>
      <c r="AH30" s="207"/>
      <c r="AI30" s="207"/>
      <c r="AJ30" s="207"/>
      <c r="AK30" s="207"/>
      <c r="AL30" s="207"/>
      <c r="AM30" s="207"/>
      <c r="AN30" s="207"/>
      <c r="AO30" s="207"/>
      <c r="AP30" s="207"/>
      <c r="AQ30" s="207"/>
      <c r="AR30" s="207"/>
      <c r="AS30" s="207"/>
      <c r="AT30" s="207"/>
      <c r="AU30" s="207"/>
      <c r="AV30" s="207"/>
      <c r="AW30" s="207"/>
      <c r="AX30" s="207"/>
      <c r="AY30" s="207"/>
      <c r="AZ30" s="207"/>
      <c r="BA30" s="207"/>
      <c r="BB30" s="207"/>
      <c r="BC30" s="207"/>
      <c r="BD30" s="207"/>
      <c r="BE30" s="207"/>
      <c r="BF30" s="207"/>
      <c r="BG30" s="207"/>
      <c r="BH30" s="207"/>
      <c r="BI30" s="207"/>
      <c r="BJ30" s="207"/>
      <c r="BK30" s="207"/>
      <c r="BL30" s="207"/>
      <c r="BM30" s="207"/>
      <c r="BN30" s="207"/>
      <c r="BO30" s="207"/>
      <c r="BP30" s="207"/>
      <c r="BQ30" s="207"/>
      <c r="BR30" s="207"/>
      <c r="BS30" s="207"/>
      <c r="BT30" s="207"/>
      <c r="BU30" s="207"/>
      <c r="BV30" s="207"/>
      <c r="BW30" s="207"/>
      <c r="BX30" s="207"/>
      <c r="BY30" s="207"/>
      <c r="BZ30" s="207"/>
      <c r="CA30" s="207"/>
      <c r="CB30" s="207"/>
      <c r="CC30" s="207"/>
      <c r="CD30" s="207"/>
      <c r="CE30" s="207"/>
    </row>
    <row r="31" spans="1:83" s="229" customFormat="1" ht="19.95" customHeight="1" x14ac:dyDescent="0.3">
      <c r="A31" s="228">
        <v>80</v>
      </c>
      <c r="B31" s="208" t="s">
        <v>54</v>
      </c>
      <c r="C31" s="310">
        <v>500879</v>
      </c>
      <c r="D31" s="210">
        <v>46053</v>
      </c>
      <c r="E31" s="211">
        <v>82</v>
      </c>
      <c r="F31" s="329" t="s">
        <v>223</v>
      </c>
      <c r="G31" s="213">
        <v>0</v>
      </c>
      <c r="H31" s="204">
        <v>0</v>
      </c>
      <c r="I31" s="227">
        <v>2.75</v>
      </c>
      <c r="J31" s="214"/>
      <c r="K31" s="207"/>
      <c r="L31" s="207"/>
      <c r="M31" s="207"/>
      <c r="N31" s="207"/>
      <c r="O31" s="207"/>
      <c r="P31" s="207"/>
      <c r="Q31" s="207"/>
      <c r="R31" s="207"/>
      <c r="S31" s="207"/>
      <c r="T31" s="207"/>
      <c r="U31" s="207"/>
      <c r="V31" s="207"/>
      <c r="W31" s="207"/>
      <c r="X31" s="207"/>
      <c r="Y31" s="207"/>
      <c r="Z31" s="207"/>
      <c r="AA31" s="207"/>
      <c r="AB31" s="207"/>
      <c r="AC31" s="207"/>
      <c r="AD31" s="207"/>
      <c r="AE31" s="207"/>
      <c r="AF31" s="207"/>
      <c r="AG31" s="207"/>
      <c r="AH31" s="207"/>
      <c r="AI31" s="207"/>
      <c r="AJ31" s="207"/>
      <c r="AK31" s="207"/>
      <c r="AL31" s="207"/>
      <c r="AM31" s="207"/>
      <c r="AN31" s="207"/>
      <c r="AO31" s="207"/>
      <c r="AP31" s="207"/>
      <c r="AQ31" s="207"/>
      <c r="AR31" s="207"/>
      <c r="AS31" s="207"/>
      <c r="AT31" s="207"/>
      <c r="AU31" s="207"/>
      <c r="AV31" s="207"/>
      <c r="AW31" s="207"/>
      <c r="AX31" s="207"/>
      <c r="AY31" s="207"/>
      <c r="AZ31" s="207"/>
      <c r="BA31" s="207"/>
      <c r="BB31" s="207"/>
      <c r="BC31" s="207"/>
      <c r="BD31" s="207"/>
      <c r="BE31" s="207"/>
      <c r="BF31" s="207"/>
      <c r="BG31" s="207"/>
      <c r="BH31" s="207"/>
      <c r="BI31" s="207"/>
      <c r="BJ31" s="207"/>
      <c r="BK31" s="207"/>
      <c r="BL31" s="207"/>
      <c r="BM31" s="207"/>
      <c r="BN31" s="207"/>
      <c r="BO31" s="207"/>
      <c r="BP31" s="207"/>
      <c r="BQ31" s="207"/>
      <c r="BR31" s="207"/>
      <c r="BS31" s="207"/>
      <c r="BT31" s="207"/>
      <c r="BU31" s="207"/>
      <c r="BV31" s="207"/>
      <c r="BW31" s="207"/>
      <c r="BX31" s="207"/>
      <c r="BY31" s="207"/>
      <c r="BZ31" s="207"/>
      <c r="CA31" s="207"/>
      <c r="CB31" s="207"/>
      <c r="CC31" s="207"/>
      <c r="CD31" s="207"/>
      <c r="CE31" s="207"/>
    </row>
    <row r="32" spans="1:83" s="222" customFormat="1" ht="19.95" customHeight="1" x14ac:dyDescent="0.3">
      <c r="A32" s="173">
        <v>53</v>
      </c>
      <c r="B32" s="215" t="s">
        <v>56</v>
      </c>
      <c r="C32" s="216">
        <v>500274</v>
      </c>
      <c r="D32" s="217">
        <v>46053</v>
      </c>
      <c r="E32" s="218">
        <v>154</v>
      </c>
      <c r="F32" s="327" t="s">
        <v>304</v>
      </c>
      <c r="G32" s="220">
        <v>3</v>
      </c>
      <c r="H32" s="220">
        <v>9.01</v>
      </c>
      <c r="I32" s="221">
        <v>1</v>
      </c>
      <c r="J32" s="182"/>
    </row>
    <row r="33" spans="1:83" s="207" customFormat="1" ht="19.95" customHeight="1" x14ac:dyDescent="0.3">
      <c r="A33" s="199">
        <v>54</v>
      </c>
      <c r="B33" s="230" t="s">
        <v>299</v>
      </c>
      <c r="C33" s="226">
        <v>500776</v>
      </c>
      <c r="D33" s="210">
        <v>46053</v>
      </c>
      <c r="E33" s="211">
        <v>83</v>
      </c>
      <c r="F33" s="330" t="s">
        <v>221</v>
      </c>
      <c r="G33" s="231">
        <v>2.25</v>
      </c>
      <c r="H33" s="231">
        <v>6.5640000000000001</v>
      </c>
      <c r="I33" s="232">
        <v>8.5640999999999998</v>
      </c>
      <c r="J33" s="214"/>
    </row>
    <row r="34" spans="1:83" s="207" customFormat="1" ht="19.95" customHeight="1" x14ac:dyDescent="0.3">
      <c r="A34" s="199">
        <v>55</v>
      </c>
      <c r="B34" s="225" t="s">
        <v>300</v>
      </c>
      <c r="C34" s="226"/>
      <c r="D34" s="210">
        <v>46053</v>
      </c>
      <c r="E34" s="211">
        <v>0</v>
      </c>
      <c r="F34" s="330" t="s">
        <v>221</v>
      </c>
      <c r="G34" s="231">
        <v>2.25</v>
      </c>
      <c r="H34" s="231">
        <v>6.5640000000000001</v>
      </c>
      <c r="I34" s="232">
        <v>8.5640999999999998</v>
      </c>
      <c r="J34" s="214"/>
    </row>
    <row r="35" spans="1:83" s="207" customFormat="1" ht="19.95" customHeight="1" x14ac:dyDescent="0.3">
      <c r="A35" s="199">
        <v>56</v>
      </c>
      <c r="B35" s="225" t="s">
        <v>301</v>
      </c>
      <c r="C35" s="226">
        <v>500781</v>
      </c>
      <c r="D35" s="210">
        <v>46053</v>
      </c>
      <c r="E35" s="211">
        <v>83</v>
      </c>
      <c r="F35" s="330" t="s">
        <v>221</v>
      </c>
      <c r="G35" s="231">
        <v>2.25</v>
      </c>
      <c r="H35" s="231">
        <v>6.5640000000000001</v>
      </c>
      <c r="I35" s="232">
        <v>8.5640999999999998</v>
      </c>
      <c r="J35" s="214"/>
    </row>
    <row r="36" spans="1:83" s="234" customFormat="1" ht="19.95" customHeight="1" x14ac:dyDescent="0.3">
      <c r="A36" s="233">
        <v>81</v>
      </c>
      <c r="B36" s="212" t="s">
        <v>61</v>
      </c>
      <c r="C36" s="209">
        <v>500705</v>
      </c>
      <c r="D36" s="210">
        <v>46053</v>
      </c>
      <c r="E36" s="211">
        <v>133</v>
      </c>
      <c r="F36" s="329" t="s">
        <v>314</v>
      </c>
      <c r="G36" s="213">
        <v>0</v>
      </c>
      <c r="H36" s="213">
        <v>0</v>
      </c>
      <c r="I36" s="309">
        <v>0</v>
      </c>
      <c r="J36" s="214"/>
      <c r="K36" s="207"/>
      <c r="L36" s="207"/>
      <c r="M36" s="207"/>
      <c r="N36" s="207"/>
      <c r="O36" s="207"/>
      <c r="P36" s="207"/>
      <c r="Q36" s="207"/>
      <c r="R36" s="207"/>
      <c r="S36" s="207"/>
      <c r="T36" s="207"/>
      <c r="U36" s="207"/>
      <c r="V36" s="207"/>
      <c r="W36" s="207"/>
      <c r="X36" s="207"/>
      <c r="Y36" s="207"/>
      <c r="Z36" s="207"/>
      <c r="AA36" s="207"/>
      <c r="AB36" s="207"/>
      <c r="AC36" s="207"/>
      <c r="AD36" s="207"/>
      <c r="AE36" s="207"/>
      <c r="AF36" s="207"/>
      <c r="AG36" s="207"/>
      <c r="AH36" s="207"/>
      <c r="AI36" s="207"/>
      <c r="AJ36" s="207"/>
      <c r="AK36" s="207"/>
      <c r="AL36" s="207"/>
      <c r="AM36" s="207"/>
      <c r="AN36" s="207"/>
      <c r="AO36" s="207"/>
      <c r="AP36" s="207"/>
      <c r="AQ36" s="207"/>
      <c r="AR36" s="207"/>
      <c r="AS36" s="207"/>
      <c r="AT36" s="207"/>
      <c r="AU36" s="207"/>
      <c r="AV36" s="207"/>
      <c r="AW36" s="207"/>
      <c r="AX36" s="207"/>
      <c r="AY36" s="207"/>
      <c r="AZ36" s="207"/>
      <c r="BA36" s="207"/>
      <c r="BB36" s="207"/>
      <c r="BC36" s="207"/>
      <c r="BD36" s="207"/>
      <c r="BE36" s="207"/>
      <c r="BF36" s="207"/>
      <c r="BG36" s="207"/>
      <c r="BH36" s="207"/>
      <c r="BI36" s="207"/>
      <c r="BJ36" s="207"/>
      <c r="BK36" s="207"/>
      <c r="BL36" s="207"/>
      <c r="BM36" s="207"/>
      <c r="BN36" s="207"/>
      <c r="BO36" s="207"/>
      <c r="BP36" s="207"/>
      <c r="BQ36" s="207"/>
      <c r="BR36" s="207"/>
      <c r="BS36" s="207"/>
      <c r="BT36" s="207"/>
      <c r="BU36" s="207"/>
      <c r="BV36" s="207"/>
      <c r="BW36" s="207"/>
      <c r="BX36" s="207"/>
      <c r="BY36" s="207"/>
      <c r="BZ36" s="207"/>
      <c r="CA36" s="207"/>
      <c r="CB36" s="207"/>
      <c r="CC36" s="207"/>
      <c r="CD36" s="207"/>
      <c r="CE36" s="207"/>
    </row>
    <row r="37" spans="1:83" s="207" customFormat="1" ht="19.95" customHeight="1" x14ac:dyDescent="0.3">
      <c r="A37" s="199">
        <v>82</v>
      </c>
      <c r="B37" s="235" t="s">
        <v>306</v>
      </c>
      <c r="C37" s="236">
        <v>501046</v>
      </c>
      <c r="D37" s="210">
        <v>46053</v>
      </c>
      <c r="E37" s="211">
        <v>24</v>
      </c>
      <c r="F37" s="209" t="s">
        <v>223</v>
      </c>
      <c r="G37" s="213">
        <v>2.75</v>
      </c>
      <c r="H37" s="213">
        <v>8.77</v>
      </c>
      <c r="I37" s="213">
        <v>1</v>
      </c>
      <c r="J37" s="214"/>
    </row>
    <row r="38" spans="1:83" s="222" customFormat="1" ht="19.95" customHeight="1" x14ac:dyDescent="0.3">
      <c r="A38" s="173">
        <v>83</v>
      </c>
      <c r="B38" s="237" t="s">
        <v>69</v>
      </c>
      <c r="C38" s="238">
        <v>500722</v>
      </c>
      <c r="D38" s="217">
        <v>46053</v>
      </c>
      <c r="E38" s="218">
        <v>7</v>
      </c>
      <c r="F38" s="238" t="s">
        <v>225</v>
      </c>
      <c r="G38" s="239">
        <v>0</v>
      </c>
      <c r="H38" s="239">
        <v>7</v>
      </c>
      <c r="I38" s="239">
        <v>1</v>
      </c>
      <c r="J38" s="182"/>
    </row>
    <row r="39" spans="1:83" s="222" customFormat="1" ht="19.95" customHeight="1" x14ac:dyDescent="0.3">
      <c r="A39" s="173">
        <v>84</v>
      </c>
      <c r="B39" s="237" t="s">
        <v>71</v>
      </c>
      <c r="C39" s="238">
        <v>500826</v>
      </c>
      <c r="D39" s="217">
        <v>46053</v>
      </c>
      <c r="E39" s="218">
        <v>104</v>
      </c>
      <c r="F39" s="238" t="s">
        <v>223</v>
      </c>
      <c r="G39" s="239">
        <v>0</v>
      </c>
      <c r="H39" s="219">
        <v>0</v>
      </c>
      <c r="I39" s="239">
        <v>2.75</v>
      </c>
      <c r="J39" s="182"/>
    </row>
    <row r="40" spans="1:83" s="234" customFormat="1" ht="19.95" customHeight="1" x14ac:dyDescent="0.3">
      <c r="A40" s="233">
        <v>57</v>
      </c>
      <c r="B40" s="311" t="s">
        <v>297</v>
      </c>
      <c r="C40" s="312">
        <v>500557</v>
      </c>
      <c r="D40" s="210">
        <v>46053</v>
      </c>
      <c r="E40" s="211">
        <v>133</v>
      </c>
      <c r="F40" s="328" t="s">
        <v>222</v>
      </c>
      <c r="G40" s="231">
        <v>3.5</v>
      </c>
      <c r="H40" s="231">
        <v>9.51</v>
      </c>
      <c r="I40" s="232">
        <v>1</v>
      </c>
      <c r="J40" s="214"/>
      <c r="K40" s="207"/>
      <c r="L40" s="207"/>
      <c r="M40" s="207"/>
      <c r="N40" s="207"/>
      <c r="O40" s="207"/>
      <c r="P40" s="207"/>
      <c r="Q40" s="207"/>
      <c r="R40" s="207"/>
      <c r="S40" s="207"/>
      <c r="T40" s="207"/>
      <c r="U40" s="207"/>
      <c r="V40" s="207"/>
      <c r="W40" s="207"/>
      <c r="X40" s="207"/>
      <c r="Y40" s="207"/>
      <c r="Z40" s="207"/>
      <c r="AA40" s="207"/>
      <c r="AB40" s="207"/>
      <c r="AC40" s="207"/>
      <c r="AD40" s="207"/>
      <c r="AE40" s="207"/>
      <c r="AF40" s="207"/>
      <c r="AG40" s="207"/>
      <c r="AH40" s="207"/>
      <c r="AI40" s="207"/>
      <c r="AJ40" s="207"/>
      <c r="AK40" s="207"/>
      <c r="AL40" s="207"/>
      <c r="AM40" s="207"/>
      <c r="AN40" s="207"/>
      <c r="AO40" s="207"/>
      <c r="AP40" s="207"/>
      <c r="AQ40" s="207"/>
      <c r="AR40" s="207"/>
      <c r="AS40" s="207"/>
      <c r="AT40" s="207"/>
      <c r="AU40" s="207"/>
      <c r="AV40" s="207"/>
      <c r="AW40" s="207"/>
      <c r="AX40" s="207"/>
      <c r="AY40" s="207"/>
      <c r="AZ40" s="207"/>
      <c r="BA40" s="207"/>
      <c r="BB40" s="207"/>
      <c r="BC40" s="207"/>
      <c r="BD40" s="207"/>
      <c r="BE40" s="207"/>
      <c r="BF40" s="207"/>
      <c r="BG40" s="207"/>
      <c r="BH40" s="207"/>
      <c r="BI40" s="207"/>
      <c r="BJ40" s="207"/>
      <c r="BK40" s="207"/>
      <c r="BL40" s="207"/>
      <c r="BM40" s="207"/>
      <c r="BN40" s="207"/>
      <c r="BO40" s="207"/>
      <c r="BP40" s="207"/>
      <c r="BQ40" s="207"/>
      <c r="BR40" s="207"/>
      <c r="BS40" s="207"/>
      <c r="BT40" s="207"/>
      <c r="BU40" s="207"/>
      <c r="BV40" s="207"/>
      <c r="BW40" s="207"/>
      <c r="BX40" s="207"/>
      <c r="BY40" s="207"/>
      <c r="BZ40" s="207"/>
      <c r="CA40" s="207"/>
      <c r="CB40" s="207"/>
      <c r="CC40" s="207"/>
      <c r="CD40" s="207"/>
      <c r="CE40" s="207"/>
    </row>
    <row r="41" spans="1:83" s="234" customFormat="1" ht="19.95" customHeight="1" x14ac:dyDescent="0.3">
      <c r="A41" s="233">
        <v>58</v>
      </c>
      <c r="B41" s="311" t="s">
        <v>298</v>
      </c>
      <c r="C41" s="312">
        <v>500558</v>
      </c>
      <c r="D41" s="210">
        <v>46053</v>
      </c>
      <c r="E41" s="211">
        <v>133</v>
      </c>
      <c r="F41" s="328" t="s">
        <v>222</v>
      </c>
      <c r="G41" s="231">
        <v>3.5</v>
      </c>
      <c r="H41" s="231">
        <v>9.51</v>
      </c>
      <c r="I41" s="232">
        <v>1</v>
      </c>
      <c r="J41" s="214"/>
      <c r="K41" s="207"/>
      <c r="L41" s="207"/>
      <c r="M41" s="207"/>
      <c r="N41" s="207"/>
      <c r="O41" s="207"/>
      <c r="P41" s="207"/>
      <c r="Q41" s="207"/>
      <c r="R41" s="207"/>
      <c r="S41" s="207"/>
      <c r="T41" s="207"/>
      <c r="U41" s="207"/>
      <c r="V41" s="207"/>
      <c r="W41" s="207"/>
      <c r="X41" s="207"/>
      <c r="Y41" s="207"/>
      <c r="Z41" s="207"/>
      <c r="AA41" s="207"/>
      <c r="AB41" s="207"/>
      <c r="AC41" s="207"/>
      <c r="AD41" s="207"/>
      <c r="AE41" s="207"/>
      <c r="AF41" s="207"/>
      <c r="AG41" s="207"/>
      <c r="AH41" s="207"/>
      <c r="AI41" s="207"/>
      <c r="AJ41" s="207"/>
      <c r="AK41" s="207"/>
      <c r="AL41" s="207"/>
      <c r="AM41" s="207"/>
      <c r="AN41" s="207"/>
      <c r="AO41" s="207"/>
      <c r="AP41" s="207"/>
      <c r="AQ41" s="207"/>
      <c r="AR41" s="207"/>
      <c r="AS41" s="207"/>
      <c r="AT41" s="207"/>
      <c r="AU41" s="207"/>
      <c r="AV41" s="207"/>
      <c r="AW41" s="207"/>
      <c r="AX41" s="207"/>
      <c r="AY41" s="207"/>
      <c r="AZ41" s="207"/>
      <c r="BA41" s="207"/>
      <c r="BB41" s="207"/>
      <c r="BC41" s="207"/>
      <c r="BD41" s="207"/>
      <c r="BE41" s="207"/>
      <c r="BF41" s="207"/>
      <c r="BG41" s="207"/>
      <c r="BH41" s="207"/>
      <c r="BI41" s="207"/>
      <c r="BJ41" s="207"/>
      <c r="BK41" s="207"/>
      <c r="BL41" s="207"/>
      <c r="BM41" s="207"/>
      <c r="BN41" s="207"/>
      <c r="BO41" s="207"/>
      <c r="BP41" s="207"/>
      <c r="BQ41" s="207"/>
      <c r="BR41" s="207"/>
      <c r="BS41" s="207"/>
      <c r="BT41" s="207"/>
      <c r="BU41" s="207"/>
      <c r="BV41" s="207"/>
      <c r="BW41" s="207"/>
      <c r="BX41" s="207"/>
      <c r="BY41" s="207"/>
      <c r="BZ41" s="207"/>
      <c r="CA41" s="207"/>
      <c r="CB41" s="207"/>
      <c r="CC41" s="207"/>
      <c r="CD41" s="207"/>
      <c r="CE41" s="207"/>
    </row>
    <row r="42" spans="1:83" s="224" customFormat="1" ht="19.95" customHeight="1" x14ac:dyDescent="0.3">
      <c r="A42" s="223">
        <v>85</v>
      </c>
      <c r="B42" s="237" t="s">
        <v>133</v>
      </c>
      <c r="C42" s="238">
        <v>500887</v>
      </c>
      <c r="D42" s="217">
        <v>46053</v>
      </c>
      <c r="E42" s="218">
        <v>39</v>
      </c>
      <c r="F42" s="329" t="s">
        <v>227</v>
      </c>
      <c r="G42" s="239">
        <v>0</v>
      </c>
      <c r="H42" s="219">
        <v>0</v>
      </c>
      <c r="I42" s="239">
        <v>2.76</v>
      </c>
      <c r="J42" s="18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Y42" s="222"/>
      <c r="Z42" s="222"/>
      <c r="AA42" s="222"/>
      <c r="AB42" s="222"/>
      <c r="AC42" s="222"/>
      <c r="AD42" s="222"/>
      <c r="AE42" s="222"/>
      <c r="AF42" s="222"/>
      <c r="AG42" s="222"/>
      <c r="AH42" s="222"/>
      <c r="AI42" s="222"/>
      <c r="AJ42" s="222"/>
      <c r="AK42" s="222"/>
      <c r="AL42" s="222"/>
      <c r="AM42" s="222"/>
      <c r="AN42" s="222"/>
      <c r="AO42" s="222"/>
      <c r="AP42" s="222"/>
      <c r="AQ42" s="222"/>
      <c r="AR42" s="222"/>
      <c r="AS42" s="222"/>
      <c r="AT42" s="222"/>
      <c r="AU42" s="222"/>
      <c r="AV42" s="222"/>
      <c r="AW42" s="222"/>
      <c r="AX42" s="222"/>
      <c r="AY42" s="222"/>
      <c r="AZ42" s="222"/>
      <c r="BA42" s="222"/>
      <c r="BB42" s="222"/>
      <c r="BC42" s="222"/>
      <c r="BD42" s="222"/>
      <c r="BE42" s="222"/>
      <c r="BF42" s="222"/>
      <c r="BG42" s="222"/>
      <c r="BH42" s="222"/>
      <c r="BI42" s="222"/>
      <c r="BJ42" s="222"/>
      <c r="BK42" s="222"/>
      <c r="BL42" s="222"/>
      <c r="BM42" s="222"/>
      <c r="BN42" s="222"/>
      <c r="BO42" s="222"/>
      <c r="BP42" s="222"/>
      <c r="BQ42" s="222"/>
      <c r="BR42" s="222"/>
      <c r="BS42" s="222"/>
      <c r="BT42" s="222"/>
      <c r="BU42" s="222"/>
      <c r="BV42" s="222"/>
      <c r="BW42" s="222"/>
      <c r="BX42" s="222"/>
      <c r="BY42" s="222"/>
      <c r="BZ42" s="222"/>
      <c r="CA42" s="222"/>
      <c r="CB42" s="222"/>
      <c r="CC42" s="222"/>
      <c r="CD42" s="222"/>
      <c r="CE42" s="222"/>
    </row>
    <row r="43" spans="1:83" s="224" customFormat="1" ht="19.95" customHeight="1" x14ac:dyDescent="0.3">
      <c r="A43" s="223">
        <v>86</v>
      </c>
      <c r="B43" s="215" t="s">
        <v>310</v>
      </c>
      <c r="C43" s="216">
        <v>501040</v>
      </c>
      <c r="D43" s="217">
        <v>46053</v>
      </c>
      <c r="E43" s="218">
        <v>39</v>
      </c>
      <c r="F43" s="329" t="s">
        <v>227</v>
      </c>
      <c r="G43" s="180">
        <v>0</v>
      </c>
      <c r="H43" s="219">
        <v>0</v>
      </c>
      <c r="I43" s="239">
        <v>2.75</v>
      </c>
      <c r="J43" s="18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Y43" s="222"/>
      <c r="Z43" s="222"/>
      <c r="AA43" s="222"/>
      <c r="AB43" s="222"/>
      <c r="AC43" s="222"/>
      <c r="AD43" s="222"/>
      <c r="AE43" s="222"/>
      <c r="AF43" s="222"/>
      <c r="AG43" s="222"/>
      <c r="AH43" s="222"/>
      <c r="AI43" s="222"/>
      <c r="AJ43" s="222"/>
      <c r="AK43" s="222"/>
      <c r="AL43" s="222"/>
      <c r="AM43" s="222"/>
      <c r="AN43" s="222"/>
      <c r="AO43" s="222"/>
      <c r="AP43" s="222"/>
      <c r="AQ43" s="222"/>
      <c r="AR43" s="222"/>
      <c r="AS43" s="222"/>
      <c r="AT43" s="222"/>
      <c r="AU43" s="222"/>
      <c r="AV43" s="222"/>
      <c r="AW43" s="222"/>
      <c r="AX43" s="222"/>
      <c r="AY43" s="222"/>
      <c r="AZ43" s="222"/>
      <c r="BA43" s="222"/>
      <c r="BB43" s="222"/>
      <c r="BC43" s="222"/>
      <c r="BD43" s="222"/>
      <c r="BE43" s="222"/>
      <c r="BF43" s="222"/>
      <c r="BG43" s="222"/>
      <c r="BH43" s="222"/>
      <c r="BI43" s="222"/>
      <c r="BJ43" s="222"/>
      <c r="BK43" s="222"/>
      <c r="BL43" s="222"/>
      <c r="BM43" s="222"/>
      <c r="BN43" s="222"/>
      <c r="BO43" s="222"/>
      <c r="BP43" s="222"/>
      <c r="BQ43" s="222"/>
      <c r="BR43" s="222"/>
      <c r="BS43" s="222"/>
      <c r="BT43" s="222"/>
      <c r="BU43" s="222"/>
      <c r="BV43" s="222"/>
      <c r="BW43" s="222"/>
      <c r="BX43" s="222"/>
      <c r="BY43" s="222"/>
      <c r="BZ43" s="222"/>
      <c r="CA43" s="222"/>
      <c r="CB43" s="222"/>
      <c r="CC43" s="222"/>
      <c r="CD43" s="222"/>
      <c r="CE43" s="222"/>
    </row>
    <row r="44" spans="1:83" s="222" customFormat="1" ht="19.95" customHeight="1" x14ac:dyDescent="0.3">
      <c r="A44" s="173">
        <v>87</v>
      </c>
      <c r="B44" s="240" t="s">
        <v>85</v>
      </c>
      <c r="C44" s="238">
        <v>500897</v>
      </c>
      <c r="D44" s="217">
        <v>46053</v>
      </c>
      <c r="E44" s="218">
        <v>78</v>
      </c>
      <c r="F44" s="238" t="s">
        <v>221</v>
      </c>
      <c r="G44" s="239">
        <v>0</v>
      </c>
      <c r="H44" s="219">
        <v>0</v>
      </c>
      <c r="I44" s="180">
        <v>2.76</v>
      </c>
      <c r="J44" s="182"/>
    </row>
    <row r="45" spans="1:83" s="222" customFormat="1" ht="19.95" customHeight="1" x14ac:dyDescent="0.3">
      <c r="A45" s="173">
        <v>59</v>
      </c>
      <c r="B45" s="215" t="s">
        <v>87</v>
      </c>
      <c r="C45" s="216">
        <v>500010</v>
      </c>
      <c r="D45" s="217">
        <v>46053</v>
      </c>
      <c r="E45" s="218">
        <v>194</v>
      </c>
      <c r="F45" s="327" t="s">
        <v>222</v>
      </c>
      <c r="G45" s="220">
        <v>0</v>
      </c>
      <c r="H45" s="220">
        <v>2.75</v>
      </c>
      <c r="I45" s="221">
        <v>1</v>
      </c>
      <c r="J45" s="182"/>
    </row>
    <row r="46" spans="1:83" s="222" customFormat="1" ht="19.95" customHeight="1" x14ac:dyDescent="0.3">
      <c r="A46" s="173">
        <v>60</v>
      </c>
      <c r="B46" s="215" t="s">
        <v>89</v>
      </c>
      <c r="C46" s="216">
        <v>500011</v>
      </c>
      <c r="D46" s="217">
        <v>46053</v>
      </c>
      <c r="E46" s="218">
        <v>195</v>
      </c>
      <c r="F46" s="327" t="s">
        <v>222</v>
      </c>
      <c r="G46" s="220">
        <v>0</v>
      </c>
      <c r="H46" s="220">
        <v>2.75</v>
      </c>
      <c r="I46" s="221">
        <v>1</v>
      </c>
      <c r="J46" s="182"/>
    </row>
    <row r="47" spans="1:83" s="222" customFormat="1" ht="19.95" customHeight="1" x14ac:dyDescent="0.3">
      <c r="A47" s="173">
        <v>88</v>
      </c>
      <c r="B47" s="237" t="s">
        <v>307</v>
      </c>
      <c r="C47" s="238">
        <v>500892</v>
      </c>
      <c r="D47" s="217">
        <v>46053</v>
      </c>
      <c r="E47" s="218">
        <v>98</v>
      </c>
      <c r="F47" s="331" t="s">
        <v>285</v>
      </c>
      <c r="G47" s="239">
        <v>0</v>
      </c>
      <c r="H47" s="219">
        <v>0</v>
      </c>
      <c r="I47" s="239">
        <v>2.76</v>
      </c>
      <c r="J47" s="182"/>
    </row>
    <row r="48" spans="1:83" s="222" customFormat="1" ht="19.95" customHeight="1" x14ac:dyDescent="0.3">
      <c r="A48" s="173">
        <v>61</v>
      </c>
      <c r="B48" s="215" t="s">
        <v>289</v>
      </c>
      <c r="C48" s="216">
        <v>500042</v>
      </c>
      <c r="D48" s="217">
        <v>46053</v>
      </c>
      <c r="E48" s="218">
        <v>218</v>
      </c>
      <c r="F48" s="327" t="s">
        <v>222</v>
      </c>
      <c r="G48" s="220">
        <v>3</v>
      </c>
      <c r="H48" s="220">
        <v>9.07</v>
      </c>
      <c r="I48" s="221">
        <v>1</v>
      </c>
      <c r="J48" s="182"/>
    </row>
    <row r="49" spans="1:10" s="222" customFormat="1" ht="19.95" customHeight="1" x14ac:dyDescent="0.3">
      <c r="A49" s="173">
        <v>89</v>
      </c>
      <c r="B49" s="237" t="s">
        <v>96</v>
      </c>
      <c r="C49" s="238">
        <v>500707</v>
      </c>
      <c r="D49" s="217">
        <v>46053</v>
      </c>
      <c r="E49" s="218">
        <v>115</v>
      </c>
      <c r="F49" s="238" t="s">
        <v>222</v>
      </c>
      <c r="G49" s="239">
        <v>2.5</v>
      </c>
      <c r="H49" s="239">
        <v>8.57</v>
      </c>
      <c r="I49" s="239">
        <v>1</v>
      </c>
      <c r="J49" s="182"/>
    </row>
    <row r="50" spans="1:10" s="222" customFormat="1" ht="19.95" customHeight="1" x14ac:dyDescent="0.3">
      <c r="A50" s="173">
        <v>62</v>
      </c>
      <c r="B50" s="241" t="s">
        <v>290</v>
      </c>
      <c r="C50" s="216">
        <v>500039</v>
      </c>
      <c r="D50" s="217">
        <v>46053</v>
      </c>
      <c r="E50" s="218">
        <v>144</v>
      </c>
      <c r="F50" s="327" t="s">
        <v>223</v>
      </c>
      <c r="G50" s="220">
        <v>3</v>
      </c>
      <c r="H50" s="220">
        <v>3</v>
      </c>
      <c r="I50" s="221">
        <v>1</v>
      </c>
      <c r="J50" s="182"/>
    </row>
    <row r="51" spans="1:10" s="222" customFormat="1" ht="19.95" customHeight="1" x14ac:dyDescent="0.3">
      <c r="A51" s="173">
        <v>63</v>
      </c>
      <c r="B51" s="215" t="s">
        <v>101</v>
      </c>
      <c r="C51" s="216">
        <v>500265</v>
      </c>
      <c r="D51" s="217">
        <v>46053</v>
      </c>
      <c r="E51" s="218">
        <v>101</v>
      </c>
      <c r="F51" s="327" t="s">
        <v>222</v>
      </c>
      <c r="G51" s="220">
        <v>3</v>
      </c>
      <c r="H51" s="220">
        <v>9.0299999999999994</v>
      </c>
      <c r="I51" s="221">
        <v>1</v>
      </c>
      <c r="J51" s="182"/>
    </row>
    <row r="52" spans="1:10" s="222" customFormat="1" ht="19.95" customHeight="1" x14ac:dyDescent="0.3">
      <c r="A52" s="173">
        <v>64</v>
      </c>
      <c r="B52" s="215" t="s">
        <v>291</v>
      </c>
      <c r="C52" s="216">
        <v>500913</v>
      </c>
      <c r="D52" s="217">
        <v>46053</v>
      </c>
      <c r="E52" s="218">
        <v>4</v>
      </c>
      <c r="F52" s="327" t="s">
        <v>223</v>
      </c>
      <c r="G52" s="220">
        <v>2.5</v>
      </c>
      <c r="H52" s="220">
        <v>8.56</v>
      </c>
      <c r="I52" s="221">
        <v>1</v>
      </c>
      <c r="J52" s="182"/>
    </row>
    <row r="53" spans="1:10" s="222" customFormat="1" ht="19.95" customHeight="1" x14ac:dyDescent="0.3">
      <c r="A53" s="173">
        <v>65</v>
      </c>
      <c r="B53" s="215" t="s">
        <v>292</v>
      </c>
      <c r="C53" s="216">
        <v>500913</v>
      </c>
      <c r="D53" s="217">
        <v>46053</v>
      </c>
      <c r="E53" s="218">
        <v>4</v>
      </c>
      <c r="F53" s="327" t="s">
        <v>223</v>
      </c>
      <c r="G53" s="220">
        <v>2.5</v>
      </c>
      <c r="H53" s="220">
        <v>8.51</v>
      </c>
      <c r="I53" s="221">
        <v>1</v>
      </c>
      <c r="J53" s="182"/>
    </row>
    <row r="54" spans="1:10" s="222" customFormat="1" ht="19.95" customHeight="1" x14ac:dyDescent="0.3">
      <c r="A54" s="173">
        <v>66</v>
      </c>
      <c r="B54" s="215" t="s">
        <v>293</v>
      </c>
      <c r="C54" s="216">
        <v>500913</v>
      </c>
      <c r="D54" s="217">
        <v>46053</v>
      </c>
      <c r="E54" s="218">
        <v>4</v>
      </c>
      <c r="F54" s="327" t="s">
        <v>223</v>
      </c>
      <c r="G54" s="220">
        <v>2.5</v>
      </c>
      <c r="H54" s="220">
        <v>8.51</v>
      </c>
      <c r="I54" s="221">
        <v>1</v>
      </c>
      <c r="J54" s="182"/>
    </row>
    <row r="55" spans="1:10" s="222" customFormat="1" ht="19.95" customHeight="1" x14ac:dyDescent="0.3">
      <c r="A55" s="173">
        <v>67</v>
      </c>
      <c r="B55" s="215" t="s">
        <v>294</v>
      </c>
      <c r="C55" s="216">
        <v>500913</v>
      </c>
      <c r="D55" s="217">
        <v>46053</v>
      </c>
      <c r="E55" s="218">
        <v>4</v>
      </c>
      <c r="F55" s="327" t="s">
        <v>223</v>
      </c>
      <c r="G55" s="220">
        <v>2.5</v>
      </c>
      <c r="H55" s="220">
        <v>8.51</v>
      </c>
      <c r="I55" s="221">
        <v>1</v>
      </c>
      <c r="J55" s="182"/>
    </row>
    <row r="56" spans="1:10" s="222" customFormat="1" ht="19.95" customHeight="1" x14ac:dyDescent="0.3">
      <c r="A56" s="173">
        <v>68</v>
      </c>
      <c r="B56" s="215" t="s">
        <v>295</v>
      </c>
      <c r="C56" s="216">
        <v>500913</v>
      </c>
      <c r="D56" s="217">
        <v>46053</v>
      </c>
      <c r="E56" s="218">
        <v>4</v>
      </c>
      <c r="F56" s="327" t="s">
        <v>223</v>
      </c>
      <c r="G56" s="220">
        <v>2.5</v>
      </c>
      <c r="H56" s="220">
        <v>8.51</v>
      </c>
      <c r="I56" s="221">
        <v>1</v>
      </c>
      <c r="J56" s="182"/>
    </row>
    <row r="57" spans="1:10" s="222" customFormat="1" ht="19.95" customHeight="1" x14ac:dyDescent="0.3">
      <c r="A57" s="173">
        <v>69</v>
      </c>
      <c r="B57" s="215" t="s">
        <v>296</v>
      </c>
      <c r="C57" s="216">
        <v>500918</v>
      </c>
      <c r="D57" s="217">
        <v>46053</v>
      </c>
      <c r="E57" s="218">
        <v>4</v>
      </c>
      <c r="F57" s="327" t="s">
        <v>223</v>
      </c>
      <c r="G57" s="220">
        <v>0</v>
      </c>
      <c r="H57" s="219">
        <v>0</v>
      </c>
      <c r="I57" s="221">
        <v>1</v>
      </c>
      <c r="J57" s="182"/>
    </row>
    <row r="58" spans="1:10" s="222" customFormat="1" ht="19.95" customHeight="1" x14ac:dyDescent="0.3">
      <c r="A58" s="173">
        <v>70</v>
      </c>
      <c r="B58" s="215" t="s">
        <v>287</v>
      </c>
      <c r="C58" s="216" t="s">
        <v>312</v>
      </c>
      <c r="D58" s="217">
        <v>46053</v>
      </c>
      <c r="E58" s="211">
        <v>50</v>
      </c>
      <c r="F58" s="327" t="s">
        <v>222</v>
      </c>
      <c r="G58" s="220">
        <v>2</v>
      </c>
      <c r="H58" s="220">
        <v>8.06</v>
      </c>
      <c r="I58" s="221">
        <v>1</v>
      </c>
      <c r="J58" s="182"/>
    </row>
    <row r="59" spans="1:10" s="222" customFormat="1" ht="19.95" customHeight="1" x14ac:dyDescent="0.3">
      <c r="A59" s="173">
        <v>71</v>
      </c>
      <c r="B59" s="241" t="s">
        <v>302</v>
      </c>
      <c r="C59" s="216">
        <v>500883</v>
      </c>
      <c r="D59" s="217">
        <v>46053</v>
      </c>
      <c r="E59" s="211">
        <v>93</v>
      </c>
      <c r="F59" s="327" t="s">
        <v>239</v>
      </c>
      <c r="G59" s="220">
        <v>3</v>
      </c>
      <c r="H59" s="220">
        <v>9.0299999999999994</v>
      </c>
      <c r="I59" s="221">
        <v>1</v>
      </c>
      <c r="J59" s="182"/>
    </row>
    <row r="60" spans="1:10" s="222" customFormat="1" ht="19.95" customHeight="1" x14ac:dyDescent="0.3">
      <c r="A60" s="173">
        <v>72</v>
      </c>
      <c r="B60" s="241" t="s">
        <v>303</v>
      </c>
      <c r="C60" s="216">
        <v>500884</v>
      </c>
      <c r="D60" s="217">
        <v>46053</v>
      </c>
      <c r="E60" s="211">
        <v>93</v>
      </c>
      <c r="F60" s="327" t="s">
        <v>239</v>
      </c>
      <c r="G60" s="220">
        <v>3</v>
      </c>
      <c r="H60" s="220">
        <v>9.0299999999999994</v>
      </c>
      <c r="I60" s="221">
        <v>1</v>
      </c>
      <c r="J60" s="182"/>
    </row>
    <row r="61" spans="1:10" s="222" customFormat="1" ht="19.95" customHeight="1" x14ac:dyDescent="0.3">
      <c r="A61" s="173">
        <v>73</v>
      </c>
      <c r="B61" s="242" t="s">
        <v>114</v>
      </c>
      <c r="C61" s="243">
        <v>500980</v>
      </c>
      <c r="D61" s="217">
        <v>46053</v>
      </c>
      <c r="E61" s="211">
        <v>57</v>
      </c>
      <c r="F61" s="327" t="s">
        <v>223</v>
      </c>
      <c r="G61" s="220">
        <v>4.2</v>
      </c>
      <c r="H61" s="220">
        <v>10.210000000000001</v>
      </c>
      <c r="I61" s="221">
        <v>1</v>
      </c>
      <c r="J61" s="182"/>
    </row>
    <row r="62" spans="1:10" s="222" customFormat="1" ht="19.95" customHeight="1" x14ac:dyDescent="0.3">
      <c r="A62" s="173">
        <v>74</v>
      </c>
      <c r="B62" s="215" t="s">
        <v>286</v>
      </c>
      <c r="C62" s="216">
        <v>500522</v>
      </c>
      <c r="D62" s="217">
        <v>46053</v>
      </c>
      <c r="E62" s="211">
        <v>160</v>
      </c>
      <c r="F62" s="327" t="s">
        <v>222</v>
      </c>
      <c r="G62" s="220">
        <v>0</v>
      </c>
      <c r="H62" s="220">
        <v>0</v>
      </c>
      <c r="I62" s="221">
        <v>0</v>
      </c>
      <c r="J62" s="182"/>
    </row>
    <row r="63" spans="1:10" x14ac:dyDescent="0.3">
      <c r="A63" s="244">
        <v>18</v>
      </c>
      <c r="B63" s="313" t="s">
        <v>140</v>
      </c>
      <c r="C63" s="314">
        <v>500900</v>
      </c>
      <c r="D63" s="315">
        <v>46053</v>
      </c>
      <c r="E63" s="323">
        <v>99</v>
      </c>
      <c r="F63" s="245" t="str">
        <f>IFERROR(VLOOKUP($C63,'[1]MIA&amp;RATE-CONV-OCT25'!$D:$H,2,FALSE),"")</f>
        <v/>
      </c>
      <c r="G63" s="246" t="str">
        <f>IFERROR(VLOOKUP($C63,'[1]MIA&amp;RATE-CONV-OCT25'!$D:$H,3,FALSE),"")</f>
        <v/>
      </c>
      <c r="H63" s="247" t="str">
        <f>IFERROR(VLOOKUP($C63,'[1]MIA&amp;RATE-CONV-OCT25'!$D:$H,4,FALSE),"")</f>
        <v/>
      </c>
      <c r="I63" s="248" t="str">
        <f>IFERROR(VLOOKUP($C63,'[1]MIA&amp;RATE-CONV-OCT25'!$D:$H,5,FALSE),"")</f>
        <v/>
      </c>
      <c r="J63" s="206"/>
    </row>
    <row r="64" spans="1:10" x14ac:dyDescent="0.3">
      <c r="A64" s="199">
        <v>19</v>
      </c>
      <c r="B64" s="316" t="s">
        <v>143</v>
      </c>
      <c r="C64" s="317">
        <v>500317</v>
      </c>
      <c r="D64" s="318">
        <v>46053</v>
      </c>
      <c r="E64" s="324">
        <v>113</v>
      </c>
      <c r="F64" s="250" t="str">
        <f>IFERROR(VLOOKUP($C64,'[1]MIA&amp;RATE-CONV-OCT25'!$D:$H,2,FALSE),"")</f>
        <v/>
      </c>
      <c r="G64" s="251" t="str">
        <f>IFERROR(VLOOKUP($C64,'[1]MIA&amp;RATE-CONV-OCT25'!$D:$H,3,FALSE),"")</f>
        <v/>
      </c>
      <c r="H64" s="252" t="str">
        <f>IFERROR(VLOOKUP($C64,'[1]MIA&amp;RATE-CONV-OCT25'!$D:$H,4,FALSE),"")</f>
        <v/>
      </c>
      <c r="I64" s="253" t="str">
        <f>IFERROR(VLOOKUP($C64,'[1]MIA&amp;RATE-CONV-OCT25'!$D:$H,5,FALSE),"")</f>
        <v/>
      </c>
      <c r="J64" s="214"/>
    </row>
    <row r="65" spans="1:10" x14ac:dyDescent="0.3">
      <c r="A65" s="199">
        <v>20</v>
      </c>
      <c r="B65" s="316" t="s">
        <v>145</v>
      </c>
      <c r="C65" s="317">
        <v>500702</v>
      </c>
      <c r="D65" s="318">
        <v>46053</v>
      </c>
      <c r="E65" s="324">
        <v>115</v>
      </c>
      <c r="F65" s="250" t="str">
        <f>IFERROR(VLOOKUP($C65,'[1]MIA&amp;RATE-CONV-OCT25'!$D:$H,2,FALSE),"")</f>
        <v/>
      </c>
      <c r="G65" s="251" t="str">
        <f>IFERROR(VLOOKUP($C65,'[1]MIA&amp;RATE-CONV-OCT25'!$D:$H,3,FALSE),"")</f>
        <v/>
      </c>
      <c r="H65" s="252" t="str">
        <f>IFERROR(VLOOKUP($C65,'[1]MIA&amp;RATE-CONV-OCT25'!$D:$H,4,FALSE),"")</f>
        <v/>
      </c>
      <c r="I65" s="253" t="str">
        <f>IFERROR(VLOOKUP($C65,'[1]MIA&amp;RATE-CONV-OCT25'!$D:$H,5,FALSE),"")</f>
        <v/>
      </c>
      <c r="J65" s="214"/>
    </row>
    <row r="66" spans="1:10" x14ac:dyDescent="0.3">
      <c r="A66" s="199">
        <v>21</v>
      </c>
      <c r="B66" s="316" t="s">
        <v>148</v>
      </c>
      <c r="C66" s="317">
        <v>500716</v>
      </c>
      <c r="D66" s="318">
        <v>46053</v>
      </c>
      <c r="E66" s="324">
        <v>135</v>
      </c>
      <c r="F66" s="250" t="str">
        <f>IFERROR(VLOOKUP($C66,'[1]MIA&amp;RATE-CONV-OCT25'!$D:$H,2,FALSE),"")</f>
        <v/>
      </c>
      <c r="G66" s="251" t="str">
        <f>IFERROR(VLOOKUP($C66,'[1]MIA&amp;RATE-CONV-OCT25'!$D:$H,3,FALSE),"")</f>
        <v/>
      </c>
      <c r="H66" s="252" t="str">
        <f>IFERROR(VLOOKUP($C66,'[1]MIA&amp;RATE-CONV-OCT25'!$D:$H,4,FALSE),"")</f>
        <v/>
      </c>
      <c r="I66" s="253" t="str">
        <f>IFERROR(VLOOKUP($C66,'[1]MIA&amp;RATE-CONV-OCT25'!$D:$H,5,FALSE),"")</f>
        <v/>
      </c>
      <c r="J66" s="214"/>
    </row>
    <row r="67" spans="1:10" x14ac:dyDescent="0.3">
      <c r="A67" s="199">
        <v>22</v>
      </c>
      <c r="B67" s="316" t="s">
        <v>151</v>
      </c>
      <c r="C67" s="317">
        <v>500051</v>
      </c>
      <c r="D67" s="318">
        <v>46053</v>
      </c>
      <c r="E67" s="324">
        <v>185</v>
      </c>
      <c r="F67" s="250" t="str">
        <f>IFERROR(VLOOKUP($C67,'[1]MIA&amp;RATE-CONV-OCT25'!$D:$H,2,FALSE),"")</f>
        <v/>
      </c>
      <c r="G67" s="251" t="str">
        <f>IFERROR(VLOOKUP($C67,'[1]MIA&amp;RATE-CONV-OCT25'!$D:$H,3,FALSE),"")</f>
        <v/>
      </c>
      <c r="H67" s="252" t="str">
        <f>IFERROR(VLOOKUP($C67,'[1]MIA&amp;RATE-CONV-OCT25'!$D:$H,4,FALSE),"")</f>
        <v/>
      </c>
      <c r="I67" s="253" t="str">
        <f>IFERROR(VLOOKUP($C67,'[1]MIA&amp;RATE-CONV-OCT25'!$D:$H,5,FALSE),"")</f>
        <v/>
      </c>
      <c r="J67" s="214"/>
    </row>
    <row r="68" spans="1:10" x14ac:dyDescent="0.3">
      <c r="A68" s="199">
        <v>23</v>
      </c>
      <c r="B68" s="316" t="s">
        <v>153</v>
      </c>
      <c r="C68" s="317">
        <v>500665</v>
      </c>
      <c r="D68" s="318">
        <v>46053</v>
      </c>
      <c r="E68" s="324">
        <v>115</v>
      </c>
      <c r="F68" s="250" t="str">
        <f>IFERROR(VLOOKUP($C68,'[1]MIA&amp;RATE-CONV-OCT25'!$D:$H,2,FALSE),"")</f>
        <v/>
      </c>
      <c r="G68" s="251" t="str">
        <f>IFERROR(VLOOKUP($C68,'[1]MIA&amp;RATE-CONV-OCT25'!$D:$H,3,FALSE),"")</f>
        <v/>
      </c>
      <c r="H68" s="252" t="str">
        <f>IFERROR(VLOOKUP($C68,'[1]MIA&amp;RATE-CONV-OCT25'!$D:$H,4,FALSE),"")</f>
        <v/>
      </c>
      <c r="I68" s="253" t="str">
        <f>IFERROR(VLOOKUP($C68,'[1]MIA&amp;RATE-CONV-OCT25'!$D:$H,5,FALSE),"")</f>
        <v/>
      </c>
      <c r="J68" s="214"/>
    </row>
    <row r="69" spans="1:10" x14ac:dyDescent="0.3">
      <c r="A69" s="199">
        <v>24</v>
      </c>
      <c r="B69" s="316" t="s">
        <v>156</v>
      </c>
      <c r="C69" s="317">
        <v>500508</v>
      </c>
      <c r="D69" s="318">
        <v>46053</v>
      </c>
      <c r="E69" s="324">
        <v>156</v>
      </c>
      <c r="F69" s="250" t="str">
        <f>IFERROR(VLOOKUP($C69,'[1]MIA&amp;RATE-CONV-OCT25'!$D:$H,2,FALSE),"")</f>
        <v/>
      </c>
      <c r="G69" s="251" t="str">
        <f>IFERROR(VLOOKUP($C69,'[1]MIA&amp;RATE-CONV-OCT25'!$D:$H,3,FALSE),"")</f>
        <v/>
      </c>
      <c r="H69" s="252" t="str">
        <f>IFERROR(VLOOKUP($C69,'[1]MIA&amp;RATE-CONV-OCT25'!$D:$H,4,FALSE),"")</f>
        <v/>
      </c>
      <c r="I69" s="253" t="str">
        <f>IFERROR(VLOOKUP($C69,'[1]MIA&amp;RATE-CONV-OCT25'!$D:$H,5,FALSE),"")</f>
        <v/>
      </c>
      <c r="J69" s="214"/>
    </row>
    <row r="70" spans="1:10" x14ac:dyDescent="0.3">
      <c r="A70" s="199">
        <v>25</v>
      </c>
      <c r="B70" s="316" t="s">
        <v>159</v>
      </c>
      <c r="C70" s="317">
        <v>500186</v>
      </c>
      <c r="D70" s="318">
        <v>46053</v>
      </c>
      <c r="E70" s="324">
        <v>172</v>
      </c>
      <c r="F70" s="250" t="str">
        <f>IFERROR(VLOOKUP($C70,'[1]MIA&amp;RATE-CONV-OCT25'!$D:$H,2,FALSE),"")</f>
        <v/>
      </c>
      <c r="G70" s="251" t="str">
        <f>IFERROR(VLOOKUP($C70,'[1]MIA&amp;RATE-CONV-OCT25'!$D:$H,3,FALSE),"")</f>
        <v/>
      </c>
      <c r="H70" s="252" t="str">
        <f>IFERROR(VLOOKUP($C70,'[1]MIA&amp;RATE-CONV-OCT25'!$D:$H,4,FALSE),"")</f>
        <v/>
      </c>
      <c r="I70" s="253" t="str">
        <f>IFERROR(VLOOKUP($C70,'[1]MIA&amp;RATE-CONV-OCT25'!$D:$H,5,FALSE),"")</f>
        <v/>
      </c>
      <c r="J70" s="214"/>
    </row>
    <row r="71" spans="1:10" x14ac:dyDescent="0.3">
      <c r="A71" s="199">
        <v>26</v>
      </c>
      <c r="B71" s="316" t="s">
        <v>161</v>
      </c>
      <c r="C71" s="317">
        <v>500742</v>
      </c>
      <c r="D71" s="318">
        <v>46053</v>
      </c>
      <c r="E71" s="324">
        <v>127</v>
      </c>
      <c r="F71" s="250" t="str">
        <f>IFERROR(VLOOKUP($C71,'[1]MIA&amp;RATE-CONV-OCT25'!$D:$H,2,FALSE),"")</f>
        <v/>
      </c>
      <c r="G71" s="251" t="str">
        <f>IFERROR(VLOOKUP($C71,'[1]MIA&amp;RATE-CONV-OCT25'!$D:$H,3,FALSE),"")</f>
        <v/>
      </c>
      <c r="H71" s="252" t="str">
        <f>IFERROR(VLOOKUP($C71,'[1]MIA&amp;RATE-CONV-OCT25'!$D:$H,4,FALSE),"")</f>
        <v/>
      </c>
      <c r="I71" s="253" t="str">
        <f>IFERROR(VLOOKUP($C71,'[1]MIA&amp;RATE-CONV-OCT25'!$D:$H,5,FALSE),"")</f>
        <v/>
      </c>
      <c r="J71" s="214"/>
    </row>
    <row r="72" spans="1:10" x14ac:dyDescent="0.3">
      <c r="A72" s="199">
        <v>27</v>
      </c>
      <c r="B72" s="316" t="s">
        <v>162</v>
      </c>
      <c r="C72" s="317">
        <v>500197</v>
      </c>
      <c r="D72" s="318">
        <v>46053</v>
      </c>
      <c r="E72" s="324">
        <v>203</v>
      </c>
      <c r="F72" s="250" t="str">
        <f>IFERROR(VLOOKUP($C72,'[1]MIA&amp;RATE-CONV-OCT25'!$D:$H,2,FALSE),"")</f>
        <v/>
      </c>
      <c r="G72" s="251" t="str">
        <f>IFERROR(VLOOKUP($C72,'[1]MIA&amp;RATE-CONV-OCT25'!$D:$H,3,FALSE),"")</f>
        <v/>
      </c>
      <c r="H72" s="252" t="str">
        <f>IFERROR(VLOOKUP($C72,'[1]MIA&amp;RATE-CONV-OCT25'!$D:$H,4,FALSE),"")</f>
        <v/>
      </c>
      <c r="I72" s="253" t="str">
        <f>IFERROR(VLOOKUP($C72,'[1]MIA&amp;RATE-CONV-OCT25'!$D:$H,5,FALSE),"")</f>
        <v/>
      </c>
      <c r="J72" s="214"/>
    </row>
    <row r="73" spans="1:10" x14ac:dyDescent="0.3">
      <c r="A73" s="199">
        <v>28</v>
      </c>
      <c r="B73" s="316" t="s">
        <v>164</v>
      </c>
      <c r="C73" s="317">
        <v>500806</v>
      </c>
      <c r="D73" s="318">
        <v>46053</v>
      </c>
      <c r="E73" s="324">
        <v>103</v>
      </c>
      <c r="F73" s="250" t="str">
        <f>IFERROR(VLOOKUP($C73,'[1]MIA&amp;RATE-CONV-OCT25'!$D:$H,2,FALSE),"")</f>
        <v/>
      </c>
      <c r="G73" s="251" t="str">
        <f>IFERROR(VLOOKUP($C73,'[1]MIA&amp;RATE-CONV-OCT25'!$D:$H,3,FALSE),"")</f>
        <v/>
      </c>
      <c r="H73" s="252" t="str">
        <f>IFERROR(VLOOKUP($C73,'[1]MIA&amp;RATE-CONV-OCT25'!$D:$H,4,FALSE),"")</f>
        <v/>
      </c>
      <c r="I73" s="253" t="str">
        <f>IFERROR(VLOOKUP($C73,'[1]MIA&amp;RATE-CONV-OCT25'!$D:$H,5,FALSE),"")</f>
        <v/>
      </c>
      <c r="J73" s="214"/>
    </row>
    <row r="74" spans="1:10" x14ac:dyDescent="0.3">
      <c r="A74" s="199">
        <v>29</v>
      </c>
      <c r="B74" s="316" t="s">
        <v>166</v>
      </c>
      <c r="C74" s="317">
        <v>500857</v>
      </c>
      <c r="D74" s="318">
        <v>46053</v>
      </c>
      <c r="E74" s="324">
        <v>78</v>
      </c>
      <c r="F74" s="250" t="str">
        <f>IFERROR(VLOOKUP($C74,'[1]MIA&amp;RATE-CONV-OCT25'!$D:$H,2,FALSE),"")</f>
        <v/>
      </c>
      <c r="G74" s="251" t="str">
        <f>IFERROR(VLOOKUP($C74,'[1]MIA&amp;RATE-CONV-OCT25'!$D:$H,3,FALSE),"")</f>
        <v/>
      </c>
      <c r="H74" s="252" t="str">
        <f>IFERROR(VLOOKUP($C74,'[1]MIA&amp;RATE-CONV-OCT25'!$D:$H,4,FALSE),"")</f>
        <v/>
      </c>
      <c r="I74" s="253" t="str">
        <f>IFERROR(VLOOKUP($C74,'[1]MIA&amp;RATE-CONV-OCT25'!$D:$H,5,FALSE),"")</f>
        <v/>
      </c>
      <c r="J74" s="214"/>
    </row>
    <row r="75" spans="1:10" x14ac:dyDescent="0.3">
      <c r="A75" s="199">
        <v>30</v>
      </c>
      <c r="B75" s="316" t="s">
        <v>166</v>
      </c>
      <c r="C75" s="317">
        <v>500773</v>
      </c>
      <c r="D75" s="318">
        <v>46053</v>
      </c>
      <c r="E75" s="324">
        <v>75</v>
      </c>
      <c r="F75" s="250" t="str">
        <f>IFERROR(VLOOKUP($C75,'[1]MIA&amp;RATE-CONV-OCT25'!$D:$H,2,FALSE),"")</f>
        <v/>
      </c>
      <c r="G75" s="251" t="str">
        <f>IFERROR(VLOOKUP($C75,'[1]MIA&amp;RATE-CONV-OCT25'!$D:$H,3,FALSE),"")</f>
        <v/>
      </c>
      <c r="H75" s="252" t="str">
        <f>IFERROR(VLOOKUP($C75,'[1]MIA&amp;RATE-CONV-OCT25'!$D:$H,4,FALSE),"")</f>
        <v/>
      </c>
      <c r="I75" s="253" t="str">
        <f>IFERROR(VLOOKUP($C75,'[1]MIA&amp;RATE-CONV-OCT25'!$D:$H,5,FALSE),"")</f>
        <v/>
      </c>
      <c r="J75" s="214"/>
    </row>
    <row r="76" spans="1:10" x14ac:dyDescent="0.3">
      <c r="A76" s="199">
        <v>31</v>
      </c>
      <c r="B76" s="316" t="s">
        <v>170</v>
      </c>
      <c r="C76" s="317">
        <v>500888</v>
      </c>
      <c r="D76" s="318">
        <v>46053</v>
      </c>
      <c r="E76" s="324">
        <v>100</v>
      </c>
      <c r="F76" s="250" t="str">
        <f>IFERROR(VLOOKUP($C76,'[1]MIA&amp;RATE-CONV-OCT25'!$D:$H,2,FALSE),"")</f>
        <v/>
      </c>
      <c r="G76" s="251" t="str">
        <f>IFERROR(VLOOKUP($C76,'[1]MIA&amp;RATE-CONV-OCT25'!$D:$H,3,FALSE),"")</f>
        <v/>
      </c>
      <c r="H76" s="252" t="str">
        <f>IFERROR(VLOOKUP($C76,'[1]MIA&amp;RATE-CONV-OCT25'!$D:$H,4,FALSE),"")</f>
        <v/>
      </c>
      <c r="I76" s="253" t="str">
        <f>IFERROR(VLOOKUP($C76,'[1]MIA&amp;RATE-CONV-OCT25'!$D:$H,5,FALSE),"")</f>
        <v/>
      </c>
      <c r="J76" s="214"/>
    </row>
    <row r="77" spans="1:10" x14ac:dyDescent="0.3">
      <c r="A77" s="199">
        <v>32</v>
      </c>
      <c r="B77" s="316" t="s">
        <v>172</v>
      </c>
      <c r="C77" s="317">
        <v>500838</v>
      </c>
      <c r="D77" s="318">
        <v>46053</v>
      </c>
      <c r="E77" s="324">
        <v>108</v>
      </c>
      <c r="F77" s="250" t="str">
        <f>IFERROR(VLOOKUP($C77,'[1]MIA&amp;RATE-CONV-OCT25'!$D:$H,2,FALSE),"")</f>
        <v/>
      </c>
      <c r="G77" s="251" t="str">
        <f>IFERROR(VLOOKUP($C77,'[1]MIA&amp;RATE-CONV-OCT25'!$D:$H,3,FALSE),"")</f>
        <v/>
      </c>
      <c r="H77" s="252" t="str">
        <f>IFERROR(VLOOKUP($C77,'[1]MIA&amp;RATE-CONV-OCT25'!$D:$H,4,FALSE),"")</f>
        <v/>
      </c>
      <c r="I77" s="253" t="str">
        <f>IFERROR(VLOOKUP($C77,'[1]MIA&amp;RATE-CONV-OCT25'!$D:$H,5,FALSE),"")</f>
        <v/>
      </c>
      <c r="J77" s="214"/>
    </row>
    <row r="78" spans="1:10" x14ac:dyDescent="0.3">
      <c r="A78" s="199">
        <v>33</v>
      </c>
      <c r="B78" s="316" t="s">
        <v>174</v>
      </c>
      <c r="C78" s="317">
        <v>500560</v>
      </c>
      <c r="D78" s="318">
        <v>46053</v>
      </c>
      <c r="E78" s="324">
        <v>154</v>
      </c>
      <c r="F78" s="250" t="str">
        <f>IFERROR(VLOOKUP($C78,'[1]MIA&amp;RATE-CONV-OCT25'!$D:$H,2,FALSE),"")</f>
        <v/>
      </c>
      <c r="G78" s="251" t="str">
        <f>IFERROR(VLOOKUP($C78,'[1]MIA&amp;RATE-CONV-OCT25'!$D:$H,3,FALSE),"")</f>
        <v/>
      </c>
      <c r="H78" s="252" t="str">
        <f>IFERROR(VLOOKUP($C78,'[1]MIA&amp;RATE-CONV-OCT25'!$D:$H,4,FALSE),"")</f>
        <v/>
      </c>
      <c r="I78" s="253" t="str">
        <f>IFERROR(VLOOKUP($C78,'[1]MIA&amp;RATE-CONV-OCT25'!$D:$H,5,FALSE),"")</f>
        <v/>
      </c>
      <c r="J78" s="214"/>
    </row>
    <row r="79" spans="1:10" x14ac:dyDescent="0.3">
      <c r="A79" s="199">
        <v>34</v>
      </c>
      <c r="B79" s="316" t="s">
        <v>176</v>
      </c>
      <c r="C79" s="317">
        <v>500297</v>
      </c>
      <c r="D79" s="318">
        <v>46053</v>
      </c>
      <c r="E79" s="324">
        <v>135</v>
      </c>
      <c r="F79" s="250" t="str">
        <f>IFERROR(VLOOKUP($C79,'[1]MIA&amp;RATE-CONV-OCT25'!$D:$H,2,FALSE),"")</f>
        <v/>
      </c>
      <c r="G79" s="251" t="str">
        <f>IFERROR(VLOOKUP($C79,'[1]MIA&amp;RATE-CONV-OCT25'!$D:$H,3,FALSE),"")</f>
        <v/>
      </c>
      <c r="H79" s="252" t="str">
        <f>IFERROR(VLOOKUP($C79,'[1]MIA&amp;RATE-CONV-OCT25'!$D:$H,4,FALSE),"")</f>
        <v/>
      </c>
      <c r="I79" s="253" t="str">
        <f>IFERROR(VLOOKUP($C79,'[1]MIA&amp;RATE-CONV-OCT25'!$D:$H,5,FALSE),"")</f>
        <v/>
      </c>
      <c r="J79" s="214"/>
    </row>
    <row r="80" spans="1:10" x14ac:dyDescent="0.3">
      <c r="A80" s="199">
        <v>35</v>
      </c>
      <c r="B80" s="316" t="s">
        <v>178</v>
      </c>
      <c r="C80" s="317">
        <v>500962</v>
      </c>
      <c r="D80" s="318">
        <v>46053</v>
      </c>
      <c r="E80" s="324">
        <v>98</v>
      </c>
      <c r="F80" s="250" t="str">
        <f>IFERROR(VLOOKUP($C80,'[1]MIA&amp;RATE-CONV-OCT25'!$D:$H,2,FALSE),"")</f>
        <v/>
      </c>
      <c r="G80" s="251" t="str">
        <f>IFERROR(VLOOKUP($C80,'[1]MIA&amp;RATE-CONV-OCT25'!$D:$H,3,FALSE),"")</f>
        <v/>
      </c>
      <c r="H80" s="252" t="str">
        <f>IFERROR(VLOOKUP($C80,'[1]MIA&amp;RATE-CONV-OCT25'!$D:$H,4,FALSE),"")</f>
        <v/>
      </c>
      <c r="I80" s="253" t="str">
        <f>IFERROR(VLOOKUP($C80,'[1]MIA&amp;RATE-CONV-OCT25'!$D:$H,5,FALSE),"")</f>
        <v/>
      </c>
      <c r="J80" s="214"/>
    </row>
    <row r="81" spans="1:15" x14ac:dyDescent="0.3">
      <c r="A81" s="199">
        <v>36</v>
      </c>
      <c r="B81" s="316" t="s">
        <v>180</v>
      </c>
      <c r="C81" s="317">
        <v>500515</v>
      </c>
      <c r="D81" s="318">
        <v>46053</v>
      </c>
      <c r="E81" s="324">
        <v>98</v>
      </c>
      <c r="F81" s="250" t="str">
        <f>IFERROR(VLOOKUP($C81,'[1]MIA&amp;RATE-CONV-OCT25'!$D:$H,2,FALSE),"")</f>
        <v/>
      </c>
      <c r="G81" s="251" t="str">
        <f>IFERROR(VLOOKUP($C81,'[1]MIA&amp;RATE-CONV-OCT25'!$D:$H,3,FALSE),"")</f>
        <v/>
      </c>
      <c r="H81" s="252" t="str">
        <f>IFERROR(VLOOKUP($C81,'[1]MIA&amp;RATE-CONV-OCT25'!$D:$H,4,FALSE),"")</f>
        <v/>
      </c>
      <c r="I81" s="253" t="str">
        <f>IFERROR(VLOOKUP($C81,'[1]MIA&amp;RATE-CONV-OCT25'!$D:$H,5,FALSE),"")</f>
        <v/>
      </c>
      <c r="J81" s="214"/>
    </row>
    <row r="82" spans="1:15" x14ac:dyDescent="0.3">
      <c r="A82" s="199">
        <v>37</v>
      </c>
      <c r="B82" s="254" t="s">
        <v>26</v>
      </c>
      <c r="C82" s="317">
        <v>500529</v>
      </c>
      <c r="D82" s="318">
        <v>46053</v>
      </c>
      <c r="E82" s="324">
        <v>122</v>
      </c>
      <c r="F82" s="250" t="str">
        <f>IFERROR(VLOOKUP($C82,'[1]MIA&amp;RATE-CONV-OCT25'!$D:$H,2,FALSE),"")</f>
        <v/>
      </c>
      <c r="G82" s="251" t="str">
        <f>IFERROR(VLOOKUP($C82,'[1]MIA&amp;RATE-CONV-OCT25'!$D:$H,3,FALSE),"")</f>
        <v/>
      </c>
      <c r="H82" s="252" t="str">
        <f>IFERROR(VLOOKUP($C82,'[1]MIA&amp;RATE-CONV-OCT25'!$D:$H,4,FALSE),"")</f>
        <v/>
      </c>
      <c r="I82" s="253" t="str">
        <f>IFERROR(VLOOKUP($C82,'[1]MIA&amp;RATE-CONV-OCT25'!$D:$H,5,FALSE),"")</f>
        <v/>
      </c>
      <c r="J82" s="214"/>
    </row>
    <row r="83" spans="1:15" x14ac:dyDescent="0.3">
      <c r="A83" s="199">
        <v>38</v>
      </c>
      <c r="B83" s="316" t="s">
        <v>48</v>
      </c>
      <c r="C83" s="319">
        <v>500546</v>
      </c>
      <c r="D83" s="318">
        <v>46053</v>
      </c>
      <c r="E83" s="324">
        <v>117</v>
      </c>
      <c r="F83" s="250" t="str">
        <f>IFERROR(VLOOKUP($C83,'[1]MIA&amp;RATE-CONV-OCT25'!$D:$H,2,FALSE),"")</f>
        <v/>
      </c>
      <c r="G83" s="251" t="str">
        <f>IFERROR(VLOOKUP($C83,'[1]MIA&amp;RATE-CONV-OCT25'!$D:$H,3,FALSE),"")</f>
        <v/>
      </c>
      <c r="H83" s="252" t="str">
        <f>IFERROR(VLOOKUP($C83,'[1]MIA&amp;RATE-CONV-OCT25'!$D:$H,4,FALSE),"")</f>
        <v/>
      </c>
      <c r="I83" s="253" t="str">
        <f>IFERROR(VLOOKUP($C83,'[1]MIA&amp;RATE-CONV-OCT25'!$D:$H,5,FALSE),"")</f>
        <v/>
      </c>
      <c r="J83" s="214"/>
    </row>
    <row r="84" spans="1:15" x14ac:dyDescent="0.3">
      <c r="A84" s="199">
        <v>39</v>
      </c>
      <c r="B84" s="316" t="s">
        <v>50</v>
      </c>
      <c r="C84" s="317">
        <v>500644</v>
      </c>
      <c r="D84" s="318">
        <v>46053</v>
      </c>
      <c r="E84" s="324">
        <v>133</v>
      </c>
      <c r="F84" s="250" t="str">
        <f>IFERROR(VLOOKUP($C84,'[1]MIA&amp;RATE-CONV-OCT25'!$D:$H,2,FALSE),"")</f>
        <v/>
      </c>
      <c r="G84" s="251" t="str">
        <f>IFERROR(VLOOKUP($C84,'[1]MIA&amp;RATE-CONV-OCT25'!$D:$H,3,FALSE),"")</f>
        <v/>
      </c>
      <c r="H84" s="252" t="str">
        <f>IFERROR(VLOOKUP($C84,'[1]MIA&amp;RATE-CONV-OCT25'!$D:$H,4,FALSE),"")</f>
        <v/>
      </c>
      <c r="I84" s="253" t="str">
        <f>IFERROR(VLOOKUP($C84,'[1]MIA&amp;RATE-CONV-OCT25'!$D:$H,5,FALSE),"")</f>
        <v/>
      </c>
      <c r="J84" s="214"/>
    </row>
    <row r="85" spans="1:15" x14ac:dyDescent="0.3">
      <c r="A85" s="199">
        <v>40</v>
      </c>
      <c r="B85" s="316" t="s">
        <v>52</v>
      </c>
      <c r="C85" s="317">
        <v>500613</v>
      </c>
      <c r="D85" s="318">
        <v>46053</v>
      </c>
      <c r="E85" s="324">
        <v>83</v>
      </c>
      <c r="F85" s="250" t="str">
        <f>IFERROR(VLOOKUP($C85,'[1]MIA&amp;RATE-CONV-OCT25'!$D:$H,2,FALSE),"")</f>
        <v/>
      </c>
      <c r="G85" s="251" t="str">
        <f>IFERROR(VLOOKUP($C85,'[1]MIA&amp;RATE-CONV-OCT25'!$D:$H,3,FALSE),"")</f>
        <v/>
      </c>
      <c r="H85" s="252" t="str">
        <f>IFERROR(VLOOKUP($C85,'[1]MIA&amp;RATE-CONV-OCT25'!$D:$H,4,FALSE),"")</f>
        <v/>
      </c>
      <c r="I85" s="253" t="str">
        <f>IFERROR(VLOOKUP($C85,'[1]MIA&amp;RATE-CONV-OCT25'!$D:$H,5,FALSE),"")</f>
        <v/>
      </c>
      <c r="J85" s="214"/>
    </row>
    <row r="86" spans="1:15" x14ac:dyDescent="0.3">
      <c r="A86" s="199">
        <v>41</v>
      </c>
      <c r="B86" s="316" t="s">
        <v>64</v>
      </c>
      <c r="C86" s="317">
        <v>500576</v>
      </c>
      <c r="D86" s="318">
        <v>46053</v>
      </c>
      <c r="E86" s="324">
        <v>152</v>
      </c>
      <c r="F86" s="250" t="str">
        <f>IFERROR(VLOOKUP($C86,'[1]MIA&amp;RATE-CONV-OCT25'!$D:$H,2,FALSE),"")</f>
        <v/>
      </c>
      <c r="G86" s="251" t="str">
        <f>IFERROR(VLOOKUP($C86,'[1]MIA&amp;RATE-CONV-OCT25'!$D:$H,3,FALSE),"")</f>
        <v/>
      </c>
      <c r="H86" s="252" t="str">
        <f>IFERROR(VLOOKUP($C86,'[1]MIA&amp;RATE-CONV-OCT25'!$D:$H,4,FALSE),"")</f>
        <v/>
      </c>
      <c r="I86" s="253" t="str">
        <f>IFERROR(VLOOKUP($C86,'[1]MIA&amp;RATE-CONV-OCT25'!$D:$H,5,FALSE),"")</f>
        <v/>
      </c>
      <c r="J86" s="214"/>
    </row>
    <row r="87" spans="1:15" x14ac:dyDescent="0.3">
      <c r="A87" s="199">
        <v>42</v>
      </c>
      <c r="B87" s="316" t="s">
        <v>73</v>
      </c>
      <c r="C87" s="317">
        <v>500631</v>
      </c>
      <c r="D87" s="318">
        <v>46053</v>
      </c>
      <c r="E87" s="324">
        <v>147</v>
      </c>
      <c r="F87" s="250" t="str">
        <f>IFERROR(VLOOKUP($C87,'[1]MIA&amp;RATE-CONV-OCT25'!$D:$H,2,FALSE),"")</f>
        <v/>
      </c>
      <c r="G87" s="251" t="str">
        <f>IFERROR(VLOOKUP($C87,'[1]MIA&amp;RATE-CONV-OCT25'!$D:$H,3,FALSE),"")</f>
        <v/>
      </c>
      <c r="H87" s="252" t="str">
        <f>IFERROR(VLOOKUP($C87,'[1]MIA&amp;RATE-CONV-OCT25'!$D:$H,4,FALSE),"")</f>
        <v/>
      </c>
      <c r="I87" s="253" t="str">
        <f>IFERROR(VLOOKUP($C87,'[1]MIA&amp;RATE-CONV-OCT25'!$D:$H,5,FALSE),"")</f>
        <v/>
      </c>
      <c r="J87" s="214"/>
    </row>
    <row r="88" spans="1:15" x14ac:dyDescent="0.3">
      <c r="A88" s="199">
        <v>43</v>
      </c>
      <c r="B88" s="316" t="s">
        <v>109</v>
      </c>
      <c r="C88" s="317">
        <v>500922</v>
      </c>
      <c r="D88" s="318">
        <v>46053</v>
      </c>
      <c r="E88" s="324">
        <v>100</v>
      </c>
      <c r="F88" s="250" t="str">
        <f>IFERROR(VLOOKUP($C88,'[1]MIA&amp;RATE-CONV-OCT25'!$D:$H,2,FALSE),"")</f>
        <v/>
      </c>
      <c r="G88" s="251" t="str">
        <f>IFERROR(VLOOKUP($C88,'[1]MIA&amp;RATE-CONV-OCT25'!$D:$H,3,FALSE),"")</f>
        <v/>
      </c>
      <c r="H88" s="252" t="str">
        <f>IFERROR(VLOOKUP($C88,'[1]MIA&amp;RATE-CONV-OCT25'!$D:$H,4,FALSE),"")</f>
        <v/>
      </c>
      <c r="I88" s="253" t="str">
        <f>IFERROR(VLOOKUP($C88,'[1]MIA&amp;RATE-CONV-OCT25'!$D:$H,5,FALSE),"")</f>
        <v/>
      </c>
      <c r="J88" s="214"/>
    </row>
    <row r="89" spans="1:15" x14ac:dyDescent="0.3">
      <c r="A89" s="199">
        <v>44</v>
      </c>
      <c r="B89" s="316" t="s">
        <v>119</v>
      </c>
      <c r="C89" s="317">
        <v>501025</v>
      </c>
      <c r="D89" s="318">
        <v>46053</v>
      </c>
      <c r="E89" s="324">
        <v>61</v>
      </c>
      <c r="F89" s="250" t="str">
        <f>IFERROR(VLOOKUP($C89,'[1]MIA&amp;RATE-CONV-OCT25'!$D:$H,2,FALSE),"")</f>
        <v/>
      </c>
      <c r="G89" s="251" t="str">
        <f>IFERROR(VLOOKUP($C89,'[1]MIA&amp;RATE-CONV-OCT25'!$D:$H,3,FALSE),"")</f>
        <v/>
      </c>
      <c r="H89" s="252" t="str">
        <f>IFERROR(VLOOKUP($C89,'[1]MIA&amp;RATE-CONV-OCT25'!$D:$H,4,FALSE),"")</f>
        <v/>
      </c>
      <c r="I89" s="253" t="str">
        <f>IFERROR(VLOOKUP($C89,'[1]MIA&amp;RATE-CONV-OCT25'!$D:$H,5,FALSE),"")</f>
        <v/>
      </c>
      <c r="J89" s="214"/>
    </row>
    <row r="90" spans="1:15" x14ac:dyDescent="0.3">
      <c r="A90" s="199">
        <v>45</v>
      </c>
      <c r="B90" s="316" t="s">
        <v>191</v>
      </c>
      <c r="C90" s="317">
        <v>500190</v>
      </c>
      <c r="D90" s="318">
        <v>46053</v>
      </c>
      <c r="E90" s="324">
        <v>65</v>
      </c>
      <c r="F90" s="250" t="str">
        <f>IFERROR(VLOOKUP($C90,'[1]MIA&amp;RATE-CONV-OCT25'!$D:$H,2,FALSE),"")</f>
        <v/>
      </c>
      <c r="G90" s="251" t="str">
        <f>IFERROR(VLOOKUP($C90,'[1]MIA&amp;RATE-CONV-OCT25'!$D:$H,3,FALSE),"")</f>
        <v/>
      </c>
      <c r="H90" s="252" t="str">
        <f>IFERROR(VLOOKUP($C90,'[1]MIA&amp;RATE-CONV-OCT25'!$D:$H,4,FALSE),"")</f>
        <v/>
      </c>
      <c r="I90" s="253" t="str">
        <f>IFERROR(VLOOKUP($C90,'[1]MIA&amp;RATE-CONV-OCT25'!$D:$H,5,FALSE),"")</f>
        <v/>
      </c>
      <c r="J90" s="214"/>
    </row>
    <row r="91" spans="1:15" s="256" customFormat="1" x14ac:dyDescent="0.3">
      <c r="A91" s="199">
        <v>46</v>
      </c>
      <c r="B91" s="255" t="s">
        <v>29</v>
      </c>
      <c r="C91" s="319">
        <v>500663</v>
      </c>
      <c r="D91" s="318">
        <v>46053</v>
      </c>
      <c r="E91" s="324">
        <v>88</v>
      </c>
      <c r="F91" s="250" t="str">
        <f>IFERROR(VLOOKUP($C91,'[1]MIA&amp;RATE-CONV-OCT25'!$D:$H,2,FALSE),"")</f>
        <v/>
      </c>
      <c r="G91" s="251" t="str">
        <f>IFERROR(VLOOKUP($C91,'[1]MIA&amp;RATE-CONV-OCT25'!$D:$H,3,FALSE),"")</f>
        <v/>
      </c>
      <c r="H91" s="252" t="str">
        <f>IFERROR(VLOOKUP($C91,'[1]MIA&amp;RATE-CONV-OCT25'!$D:$H,4,FALSE),"")</f>
        <v/>
      </c>
      <c r="I91" s="253" t="str">
        <f>IFERROR(VLOOKUP($C91,'[1]MIA&amp;RATE-CONV-OCT25'!$D:$H,5,FALSE),"")</f>
        <v/>
      </c>
      <c r="J91" s="214"/>
      <c r="L91" s="257"/>
      <c r="M91" s="257"/>
      <c r="N91" s="257"/>
      <c r="O91" s="257"/>
    </row>
    <row r="92" spans="1:15" x14ac:dyDescent="0.3">
      <c r="A92" s="199">
        <v>47</v>
      </c>
      <c r="B92" s="316" t="s">
        <v>79</v>
      </c>
      <c r="C92" s="317">
        <v>500866</v>
      </c>
      <c r="D92" s="318">
        <v>46053</v>
      </c>
      <c r="E92" s="324">
        <v>108</v>
      </c>
      <c r="F92" s="250" t="str">
        <f>IFERROR(VLOOKUP($C92,'[1]MIA&amp;RATE-CONV-OCT25'!$D:$H,2,FALSE),"")</f>
        <v/>
      </c>
      <c r="G92" s="251" t="str">
        <f>IFERROR(VLOOKUP($C92,'[1]MIA&amp;RATE-CONV-OCT25'!$D:$H,3,FALSE),"")</f>
        <v/>
      </c>
      <c r="H92" s="252" t="str">
        <f>IFERROR(VLOOKUP($C92,'[1]MIA&amp;RATE-CONV-OCT25'!$D:$H,4,FALSE),"")</f>
        <v/>
      </c>
      <c r="I92" s="253" t="str">
        <f>IFERROR(VLOOKUP($C92,'[1]MIA&amp;RATE-CONV-OCT25'!$D:$H,5,FALSE),"")</f>
        <v/>
      </c>
      <c r="J92" s="214"/>
    </row>
    <row r="93" spans="1:15" x14ac:dyDescent="0.3">
      <c r="A93" s="199">
        <v>48</v>
      </c>
      <c r="B93" s="316" t="s">
        <v>81</v>
      </c>
      <c r="C93" s="317">
        <v>500852</v>
      </c>
      <c r="D93" s="318">
        <v>46053</v>
      </c>
      <c r="E93" s="324">
        <v>108</v>
      </c>
      <c r="F93" s="250" t="str">
        <f>IFERROR(VLOOKUP($C93,'[1]MIA&amp;RATE-CONV-OCT25'!$D:$H,2,FALSE),"")</f>
        <v/>
      </c>
      <c r="G93" s="251" t="str">
        <f>IFERROR(VLOOKUP($C93,'[1]MIA&amp;RATE-CONV-OCT25'!$D:$H,3,FALSE),"")</f>
        <v/>
      </c>
      <c r="H93" s="252" t="str">
        <f>IFERROR(VLOOKUP($C93,'[1]MIA&amp;RATE-CONV-OCT25'!$D:$H,4,FALSE),"")</f>
        <v/>
      </c>
      <c r="I93" s="253" t="str">
        <f>IFERROR(VLOOKUP($C93,'[1]MIA&amp;RATE-CONV-OCT25'!$D:$H,5,FALSE),"")</f>
        <v/>
      </c>
      <c r="J93" s="214"/>
    </row>
    <row r="94" spans="1:15" ht="15" thickBot="1" x14ac:dyDescent="0.35">
      <c r="A94" s="199">
        <v>49</v>
      </c>
      <c r="B94" s="320" t="s">
        <v>83</v>
      </c>
      <c r="C94" s="321">
        <v>500577</v>
      </c>
      <c r="D94" s="322">
        <v>46053</v>
      </c>
      <c r="E94" s="325">
        <v>151</v>
      </c>
      <c r="F94" s="258" t="str">
        <f>IFERROR(VLOOKUP($C94,'[1]MIA&amp;RATE-CONV-OCT25'!$D:$H,2,FALSE),"")</f>
        <v/>
      </c>
      <c r="G94" s="259" t="str">
        <f>IFERROR(VLOOKUP($C94,'[1]MIA&amp;RATE-CONV-OCT25'!$D:$H,3,FALSE),"")</f>
        <v/>
      </c>
      <c r="H94" s="260" t="str">
        <f>IFERROR(VLOOKUP($C94,'[1]MIA&amp;RATE-CONV-OCT25'!$D:$H,4,FALSE),"")</f>
        <v/>
      </c>
      <c r="I94" s="261" t="str">
        <f>IFERROR(VLOOKUP($C94,'[1]MIA&amp;RATE-CONV-OCT25'!$D:$H,5,FALSE),"")</f>
        <v/>
      </c>
      <c r="J94" s="262"/>
    </row>
    <row r="95" spans="1:15" s="207" customFormat="1" x14ac:dyDescent="0.3">
      <c r="A95" s="284"/>
      <c r="B95" s="285"/>
      <c r="C95" s="286"/>
      <c r="D95" s="287"/>
      <c r="E95" s="288"/>
      <c r="F95" s="299"/>
      <c r="G95" s="266"/>
      <c r="H95" s="267"/>
      <c r="I95" s="289"/>
      <c r="J95" s="290"/>
    </row>
    <row r="96" spans="1:15" s="207" customFormat="1" x14ac:dyDescent="0.3">
      <c r="A96" s="284"/>
      <c r="B96" s="285"/>
      <c r="C96" s="286"/>
      <c r="D96" s="287"/>
      <c r="E96" s="288"/>
      <c r="F96" s="299"/>
      <c r="G96" s="266"/>
      <c r="H96" s="267"/>
      <c r="I96" s="289"/>
      <c r="J96" s="290"/>
    </row>
    <row r="97" spans="1:11" s="207" customFormat="1" x14ac:dyDescent="0.3">
      <c r="A97" s="284"/>
      <c r="B97" s="285"/>
      <c r="C97" s="286"/>
      <c r="D97" s="287"/>
      <c r="E97" s="288"/>
      <c r="F97" s="299"/>
      <c r="G97" s="266"/>
      <c r="H97" s="267"/>
      <c r="I97" s="289"/>
      <c r="J97" s="290"/>
    </row>
    <row r="98" spans="1:11" x14ac:dyDescent="0.3">
      <c r="A98" s="284"/>
      <c r="D98" s="292"/>
      <c r="I98" s="296"/>
      <c r="J98" s="292"/>
      <c r="K98" s="292"/>
    </row>
    <row r="99" spans="1:11" s="207" customFormat="1" x14ac:dyDescent="0.3">
      <c r="A99" s="297"/>
      <c r="B99" s="298" t="s">
        <v>183</v>
      </c>
      <c r="C99" s="269"/>
      <c r="D99" s="299"/>
      <c r="E99" s="300"/>
      <c r="F99" s="299"/>
      <c r="G99" s="266"/>
      <c r="H99" s="267"/>
      <c r="I99" s="301"/>
      <c r="J99" s="299"/>
      <c r="K99" s="299"/>
    </row>
    <row r="100" spans="1:11" x14ac:dyDescent="0.3">
      <c r="A100" s="284"/>
      <c r="B100" s="298"/>
      <c r="D100" s="263"/>
      <c r="E100" s="265"/>
      <c r="F100" s="299"/>
      <c r="G100" s="266"/>
      <c r="H100" s="267"/>
      <c r="I100" s="268"/>
      <c r="J100" s="263"/>
      <c r="K100" s="263"/>
    </row>
    <row r="101" spans="1:11" x14ac:dyDescent="0.3">
      <c r="A101" s="284"/>
      <c r="B101" s="298"/>
      <c r="E101" s="302"/>
      <c r="J101" s="290"/>
    </row>
    <row r="102" spans="1:11" x14ac:dyDescent="0.3">
      <c r="B102" s="298"/>
      <c r="J102" s="290"/>
    </row>
    <row r="103" spans="1:11" x14ac:dyDescent="0.3">
      <c r="B103" s="298"/>
      <c r="J103" s="290"/>
    </row>
    <row r="104" spans="1:11" x14ac:dyDescent="0.3">
      <c r="B104" s="304"/>
      <c r="J104" s="290"/>
    </row>
    <row r="105" spans="1:11" x14ac:dyDescent="0.3">
      <c r="B105" s="304" t="s">
        <v>184</v>
      </c>
      <c r="C105" s="305" t="s">
        <v>185</v>
      </c>
      <c r="J105" s="290"/>
    </row>
    <row r="106" spans="1:11" x14ac:dyDescent="0.3">
      <c r="B106" s="304" t="s">
        <v>186</v>
      </c>
      <c r="C106" s="306" t="s">
        <v>187</v>
      </c>
      <c r="J106" s="290"/>
    </row>
    <row r="107" spans="1:11" x14ac:dyDescent="0.3">
      <c r="B107" s="304"/>
      <c r="J107" s="290"/>
    </row>
    <row r="108" spans="1:11" s="207" customFormat="1" x14ac:dyDescent="0.3">
      <c r="A108" s="299"/>
      <c r="B108" s="299"/>
      <c r="C108" s="269"/>
      <c r="D108" s="299"/>
      <c r="E108" s="293"/>
      <c r="F108" s="299"/>
      <c r="G108" s="266"/>
      <c r="H108" s="267"/>
      <c r="I108" s="289"/>
      <c r="J108" s="307"/>
    </row>
    <row r="109" spans="1:11" s="207" customFormat="1" x14ac:dyDescent="0.3">
      <c r="A109" s="299"/>
      <c r="B109" s="298" t="s">
        <v>188</v>
      </c>
      <c r="C109" s="269"/>
      <c r="D109" s="299"/>
      <c r="E109" s="293"/>
      <c r="F109" s="299"/>
      <c r="G109" s="266"/>
      <c r="H109" s="267"/>
      <c r="I109" s="289"/>
      <c r="J109" s="307"/>
    </row>
    <row r="114" spans="2:15" x14ac:dyDescent="0.3">
      <c r="B114" s="304" t="s">
        <v>184</v>
      </c>
      <c r="C114" s="305" t="s">
        <v>189</v>
      </c>
    </row>
    <row r="115" spans="2:15" x14ac:dyDescent="0.3">
      <c r="B115" s="304" t="s">
        <v>186</v>
      </c>
      <c r="C115" s="306" t="s">
        <v>194</v>
      </c>
    </row>
    <row r="118" spans="2:15" x14ac:dyDescent="0.3">
      <c r="B118" s="298" t="s">
        <v>190</v>
      </c>
      <c r="C118" s="269"/>
    </row>
    <row r="123" spans="2:15" x14ac:dyDescent="0.3">
      <c r="B123" s="304" t="s">
        <v>184</v>
      </c>
      <c r="C123" s="305"/>
    </row>
    <row r="124" spans="2:15" x14ac:dyDescent="0.3">
      <c r="B124" s="304" t="s">
        <v>186</v>
      </c>
      <c r="C124" s="308"/>
    </row>
    <row r="125" spans="2:15" s="292" customFormat="1" x14ac:dyDescent="0.3">
      <c r="B125" s="249"/>
      <c r="C125" s="291"/>
      <c r="D125" s="299"/>
      <c r="E125" s="293"/>
      <c r="G125" s="294"/>
      <c r="H125" s="295"/>
      <c r="I125" s="303"/>
      <c r="J125" s="249"/>
      <c r="K125" s="249"/>
      <c r="L125" s="249"/>
      <c r="M125" s="249"/>
      <c r="N125" s="249"/>
      <c r="O125" s="249"/>
    </row>
    <row r="126" spans="2:15" s="292" customFormat="1" x14ac:dyDescent="0.3">
      <c r="B126" s="249"/>
      <c r="C126" s="291"/>
      <c r="D126" s="299"/>
      <c r="E126" s="293"/>
      <c r="G126" s="294"/>
      <c r="H126" s="295"/>
      <c r="I126" s="303"/>
      <c r="J126" s="249"/>
      <c r="K126" s="249"/>
      <c r="L126" s="249"/>
      <c r="M126" s="249"/>
      <c r="N126" s="249"/>
      <c r="O126" s="249"/>
    </row>
    <row r="127" spans="2:15" s="292" customFormat="1" x14ac:dyDescent="0.3">
      <c r="B127" s="249"/>
      <c r="C127" s="291"/>
      <c r="D127" s="299"/>
      <c r="E127" s="293"/>
      <c r="G127" s="294"/>
      <c r="H127" s="295"/>
      <c r="I127" s="303"/>
      <c r="J127" s="249"/>
      <c r="K127" s="249"/>
      <c r="L127" s="249"/>
      <c r="M127" s="249"/>
      <c r="N127" s="249"/>
      <c r="O127" s="249"/>
    </row>
    <row r="128" spans="2:15" s="292" customFormat="1" x14ac:dyDescent="0.3">
      <c r="B128" s="249"/>
      <c r="C128" s="291"/>
      <c r="D128" s="299"/>
      <c r="E128" s="293"/>
      <c r="G128" s="294"/>
      <c r="H128" s="295"/>
      <c r="I128" s="303"/>
      <c r="J128" s="249"/>
      <c r="K128" s="249"/>
      <c r="L128" s="249"/>
      <c r="M128" s="249"/>
      <c r="N128" s="249"/>
      <c r="O128" s="249"/>
    </row>
    <row r="129" spans="2:15" s="292" customFormat="1" x14ac:dyDescent="0.3">
      <c r="B129" s="249"/>
      <c r="C129" s="291"/>
      <c r="D129" s="299"/>
      <c r="E129" s="293"/>
      <c r="G129" s="294"/>
      <c r="H129" s="295"/>
      <c r="I129" s="303"/>
      <c r="J129" s="249"/>
      <c r="K129" s="249"/>
      <c r="L129" s="249"/>
      <c r="M129" s="249"/>
      <c r="N129" s="249"/>
      <c r="O129" s="249"/>
    </row>
    <row r="130" spans="2:15" s="292" customFormat="1" x14ac:dyDescent="0.3">
      <c r="B130" s="249"/>
      <c r="C130" s="291"/>
      <c r="D130" s="299"/>
      <c r="E130" s="293"/>
      <c r="G130" s="294"/>
      <c r="H130" s="295"/>
      <c r="I130" s="303"/>
      <c r="J130" s="249"/>
      <c r="K130" s="249"/>
      <c r="L130" s="249"/>
      <c r="M130" s="249"/>
      <c r="N130" s="249"/>
      <c r="O130" s="249"/>
    </row>
    <row r="131" spans="2:15" s="292" customFormat="1" x14ac:dyDescent="0.3">
      <c r="B131" s="249"/>
      <c r="C131" s="291"/>
      <c r="D131" s="299"/>
      <c r="E131" s="293"/>
      <c r="G131" s="294"/>
      <c r="H131" s="295"/>
      <c r="I131" s="303"/>
      <c r="J131" s="249"/>
      <c r="K131" s="249"/>
      <c r="L131" s="249"/>
      <c r="M131" s="249"/>
      <c r="N131" s="249"/>
      <c r="O131" s="249"/>
    </row>
    <row r="132" spans="2:15" s="292" customFormat="1" x14ac:dyDescent="0.3">
      <c r="B132" s="249"/>
      <c r="C132" s="291"/>
      <c r="D132" s="299"/>
      <c r="E132" s="293"/>
      <c r="G132" s="294"/>
      <c r="H132" s="295"/>
      <c r="I132" s="303"/>
      <c r="J132" s="249"/>
      <c r="K132" s="249"/>
      <c r="L132" s="249"/>
      <c r="M132" s="249"/>
      <c r="N132" s="249"/>
      <c r="O132" s="249"/>
    </row>
    <row r="133" spans="2:15" s="292" customFormat="1" x14ac:dyDescent="0.3">
      <c r="B133" s="249"/>
      <c r="C133" s="291"/>
      <c r="D133" s="299"/>
      <c r="E133" s="293"/>
      <c r="G133" s="294"/>
      <c r="H133" s="295"/>
      <c r="I133" s="303"/>
      <c r="J133" s="249"/>
      <c r="K133" s="249"/>
      <c r="L133" s="249"/>
      <c r="M133" s="249"/>
      <c r="N133" s="249"/>
      <c r="O133" s="249"/>
    </row>
    <row r="134" spans="2:15" s="292" customFormat="1" x14ac:dyDescent="0.3">
      <c r="B134" s="249"/>
      <c r="C134" s="291"/>
      <c r="D134" s="299"/>
      <c r="E134" s="293"/>
      <c r="G134" s="294"/>
      <c r="H134" s="295"/>
      <c r="I134" s="303"/>
      <c r="J134" s="249"/>
      <c r="K134" s="249"/>
      <c r="L134" s="249"/>
      <c r="M134" s="249"/>
      <c r="N134" s="249"/>
      <c r="O134" s="249"/>
    </row>
    <row r="135" spans="2:15" s="292" customFormat="1" x14ac:dyDescent="0.3">
      <c r="B135" s="249"/>
      <c r="C135" s="291"/>
      <c r="D135" s="299"/>
      <c r="E135" s="293"/>
      <c r="G135" s="294"/>
      <c r="H135" s="295"/>
      <c r="I135" s="303"/>
      <c r="J135" s="249"/>
      <c r="K135" s="249"/>
      <c r="L135" s="249"/>
      <c r="M135" s="249"/>
      <c r="N135" s="249"/>
      <c r="O135" s="249"/>
    </row>
    <row r="136" spans="2:15" s="292" customFormat="1" x14ac:dyDescent="0.3">
      <c r="B136" s="249"/>
      <c r="C136" s="291"/>
      <c r="D136" s="299"/>
      <c r="E136" s="293"/>
      <c r="G136" s="294"/>
      <c r="H136" s="295"/>
      <c r="I136" s="303"/>
      <c r="J136" s="249"/>
      <c r="K136" s="249"/>
      <c r="L136" s="249"/>
      <c r="M136" s="249"/>
      <c r="N136" s="249"/>
      <c r="O136" s="249"/>
    </row>
    <row r="137" spans="2:15" s="292" customFormat="1" x14ac:dyDescent="0.3">
      <c r="B137" s="249"/>
      <c r="C137" s="291"/>
      <c r="D137" s="299"/>
      <c r="E137" s="293"/>
      <c r="G137" s="294"/>
      <c r="H137" s="295"/>
      <c r="I137" s="303"/>
      <c r="J137" s="249"/>
      <c r="K137" s="249"/>
      <c r="L137" s="249"/>
      <c r="M137" s="249"/>
      <c r="N137" s="249"/>
      <c r="O137" s="249"/>
    </row>
    <row r="138" spans="2:15" s="292" customFormat="1" x14ac:dyDescent="0.3">
      <c r="B138" s="249"/>
      <c r="C138" s="291"/>
      <c r="D138" s="299"/>
      <c r="E138" s="293"/>
      <c r="G138" s="294"/>
      <c r="H138" s="295"/>
      <c r="I138" s="303"/>
      <c r="J138" s="249"/>
      <c r="K138" s="249"/>
      <c r="L138" s="249"/>
      <c r="M138" s="249"/>
      <c r="N138" s="249"/>
      <c r="O138" s="249"/>
    </row>
    <row r="139" spans="2:15" s="292" customFormat="1" x14ac:dyDescent="0.3">
      <c r="B139" s="249"/>
      <c r="C139" s="291"/>
      <c r="D139" s="299"/>
      <c r="E139" s="293"/>
      <c r="G139" s="294"/>
      <c r="H139" s="295"/>
      <c r="I139" s="303"/>
      <c r="J139" s="249"/>
      <c r="K139" s="249"/>
      <c r="L139" s="249"/>
      <c r="M139" s="249"/>
      <c r="N139" s="249"/>
      <c r="O139" s="249"/>
    </row>
    <row r="140" spans="2:15" s="292" customFormat="1" x14ac:dyDescent="0.3">
      <c r="B140" s="249"/>
      <c r="C140" s="291"/>
      <c r="D140" s="299"/>
      <c r="E140" s="293"/>
      <c r="G140" s="294"/>
      <c r="H140" s="295"/>
      <c r="I140" s="303"/>
      <c r="J140" s="249"/>
      <c r="K140" s="249"/>
      <c r="L140" s="249"/>
      <c r="M140" s="249"/>
      <c r="N140" s="249"/>
      <c r="O140" s="249"/>
    </row>
    <row r="141" spans="2:15" s="292" customFormat="1" x14ac:dyDescent="0.3">
      <c r="B141" s="249"/>
      <c r="C141" s="291"/>
      <c r="D141" s="299"/>
      <c r="E141" s="293"/>
      <c r="G141" s="294"/>
      <c r="H141" s="295"/>
      <c r="I141" s="303"/>
      <c r="J141" s="249"/>
      <c r="K141" s="249"/>
      <c r="L141" s="249"/>
      <c r="M141" s="249"/>
      <c r="N141" s="249"/>
      <c r="O141" s="249"/>
    </row>
    <row r="142" spans="2:15" s="292" customFormat="1" x14ac:dyDescent="0.3">
      <c r="B142" s="249"/>
      <c r="C142" s="291"/>
      <c r="D142" s="299"/>
      <c r="E142" s="293"/>
      <c r="G142" s="294"/>
      <c r="H142" s="295"/>
      <c r="I142" s="303"/>
      <c r="J142" s="249"/>
      <c r="K142" s="249"/>
      <c r="L142" s="249"/>
      <c r="M142" s="249"/>
      <c r="N142" s="249"/>
      <c r="O142" s="249"/>
    </row>
    <row r="143" spans="2:15" s="292" customFormat="1" x14ac:dyDescent="0.3">
      <c r="B143" s="249"/>
      <c r="C143" s="291"/>
      <c r="D143" s="299"/>
      <c r="E143" s="293"/>
      <c r="G143" s="294"/>
      <c r="H143" s="295"/>
      <c r="I143" s="303"/>
      <c r="J143" s="249"/>
      <c r="K143" s="249"/>
      <c r="L143" s="249"/>
      <c r="M143" s="249"/>
      <c r="N143" s="249"/>
      <c r="O143" s="249"/>
    </row>
    <row r="144" spans="2:15" s="292" customFormat="1" x14ac:dyDescent="0.3">
      <c r="B144" s="249"/>
      <c r="C144" s="291"/>
      <c r="D144" s="299"/>
      <c r="E144" s="293"/>
      <c r="G144" s="294"/>
      <c r="H144" s="295"/>
      <c r="I144" s="303"/>
      <c r="J144" s="249"/>
      <c r="K144" s="249"/>
      <c r="L144" s="249"/>
      <c r="M144" s="249"/>
      <c r="N144" s="249"/>
      <c r="O144" s="249"/>
    </row>
    <row r="145" spans="2:15" s="292" customFormat="1" x14ac:dyDescent="0.3">
      <c r="B145" s="249"/>
      <c r="C145" s="291"/>
      <c r="D145" s="299"/>
      <c r="E145" s="293"/>
      <c r="G145" s="294"/>
      <c r="H145" s="295"/>
      <c r="I145" s="303"/>
      <c r="J145" s="249"/>
      <c r="K145" s="249"/>
      <c r="L145" s="249"/>
      <c r="M145" s="249"/>
      <c r="N145" s="249"/>
      <c r="O145" s="249"/>
    </row>
    <row r="146" spans="2:15" s="292" customFormat="1" x14ac:dyDescent="0.3">
      <c r="B146" s="249"/>
      <c r="C146" s="291"/>
      <c r="D146" s="299"/>
      <c r="E146" s="293"/>
      <c r="G146" s="294"/>
      <c r="H146" s="295"/>
      <c r="I146" s="303"/>
      <c r="J146" s="249"/>
      <c r="K146" s="249"/>
      <c r="L146" s="249"/>
      <c r="M146" s="249"/>
      <c r="N146" s="249"/>
      <c r="O146" s="249"/>
    </row>
    <row r="147" spans="2:15" s="292" customFormat="1" x14ac:dyDescent="0.3">
      <c r="B147" s="249"/>
      <c r="C147" s="291"/>
      <c r="D147" s="299"/>
      <c r="E147" s="293"/>
      <c r="G147" s="294"/>
      <c r="H147" s="295"/>
      <c r="I147" s="303"/>
      <c r="J147" s="249"/>
      <c r="K147" s="249"/>
      <c r="L147" s="249"/>
      <c r="M147" s="249"/>
      <c r="N147" s="249"/>
      <c r="O147" s="249"/>
    </row>
    <row r="148" spans="2:15" s="292" customFormat="1" x14ac:dyDescent="0.3">
      <c r="B148" s="249"/>
      <c r="C148" s="291"/>
      <c r="D148" s="299"/>
      <c r="E148" s="293"/>
      <c r="G148" s="294"/>
      <c r="H148" s="295"/>
      <c r="I148" s="303"/>
      <c r="J148" s="249"/>
      <c r="K148" s="249"/>
      <c r="L148" s="249"/>
      <c r="M148" s="249"/>
      <c r="N148" s="249"/>
      <c r="O148" s="249"/>
    </row>
    <row r="149" spans="2:15" s="292" customFormat="1" x14ac:dyDescent="0.3">
      <c r="B149" s="249"/>
      <c r="C149" s="291"/>
      <c r="D149" s="299"/>
      <c r="E149" s="293"/>
      <c r="G149" s="294"/>
      <c r="H149" s="295"/>
      <c r="I149" s="303"/>
      <c r="J149" s="249"/>
      <c r="K149" s="249"/>
      <c r="L149" s="249"/>
      <c r="M149" s="249"/>
      <c r="N149" s="249"/>
      <c r="O149" s="249"/>
    </row>
    <row r="150" spans="2:15" s="292" customFormat="1" x14ac:dyDescent="0.3">
      <c r="B150" s="249"/>
      <c r="C150" s="291"/>
      <c r="D150" s="299"/>
      <c r="E150" s="293"/>
      <c r="G150" s="294"/>
      <c r="H150" s="295"/>
      <c r="I150" s="303"/>
      <c r="J150" s="249"/>
      <c r="K150" s="249"/>
      <c r="L150" s="249"/>
      <c r="M150" s="249"/>
      <c r="N150" s="249"/>
      <c r="O150" s="249"/>
    </row>
    <row r="151" spans="2:15" s="292" customFormat="1" x14ac:dyDescent="0.3">
      <c r="B151" s="249"/>
      <c r="C151" s="291"/>
      <c r="D151" s="299"/>
      <c r="E151" s="293"/>
      <c r="G151" s="294"/>
      <c r="H151" s="295"/>
      <c r="I151" s="303"/>
      <c r="J151" s="249"/>
      <c r="K151" s="249"/>
      <c r="L151" s="249"/>
      <c r="M151" s="249"/>
      <c r="N151" s="249"/>
      <c r="O151" s="249"/>
    </row>
    <row r="152" spans="2:15" s="292" customFormat="1" x14ac:dyDescent="0.3">
      <c r="B152" s="249"/>
      <c r="C152" s="291"/>
      <c r="D152" s="299"/>
      <c r="E152" s="293"/>
      <c r="G152" s="294"/>
      <c r="H152" s="295"/>
      <c r="I152" s="303"/>
      <c r="J152" s="249"/>
      <c r="K152" s="249"/>
      <c r="L152" s="249"/>
      <c r="M152" s="249"/>
      <c r="N152" s="249"/>
      <c r="O152" s="249"/>
    </row>
    <row r="153" spans="2:15" s="292" customFormat="1" x14ac:dyDescent="0.3">
      <c r="B153" s="249"/>
      <c r="C153" s="291"/>
      <c r="D153" s="299"/>
      <c r="E153" s="293"/>
      <c r="G153" s="294"/>
      <c r="H153" s="295"/>
      <c r="I153" s="303"/>
      <c r="J153" s="249"/>
      <c r="K153" s="249"/>
      <c r="L153" s="249"/>
      <c r="M153" s="249"/>
      <c r="N153" s="249"/>
      <c r="O153" s="249"/>
    </row>
    <row r="154" spans="2:15" s="292" customFormat="1" x14ac:dyDescent="0.3">
      <c r="B154" s="249"/>
      <c r="C154" s="291"/>
      <c r="D154" s="299"/>
      <c r="E154" s="293"/>
      <c r="G154" s="294"/>
      <c r="H154" s="295"/>
      <c r="I154" s="303"/>
      <c r="J154" s="249"/>
      <c r="K154" s="249"/>
      <c r="L154" s="249"/>
      <c r="M154" s="249"/>
      <c r="N154" s="249"/>
      <c r="O154" s="249"/>
    </row>
    <row r="155" spans="2:15" s="292" customFormat="1" x14ac:dyDescent="0.3">
      <c r="B155" s="249"/>
      <c r="C155" s="291"/>
      <c r="D155" s="299"/>
      <c r="E155" s="293"/>
      <c r="G155" s="294"/>
      <c r="H155" s="295"/>
      <c r="I155" s="303"/>
      <c r="J155" s="249"/>
      <c r="K155" s="249"/>
      <c r="L155" s="249"/>
      <c r="M155" s="249"/>
      <c r="N155" s="249"/>
      <c r="O155" s="249"/>
    </row>
    <row r="156" spans="2:15" s="292" customFormat="1" x14ac:dyDescent="0.3">
      <c r="B156" s="249"/>
      <c r="C156" s="291"/>
      <c r="D156" s="299"/>
      <c r="E156" s="293"/>
      <c r="G156" s="294"/>
      <c r="H156" s="295"/>
      <c r="I156" s="303"/>
      <c r="J156" s="249"/>
      <c r="K156" s="249"/>
      <c r="L156" s="249"/>
      <c r="M156" s="249"/>
      <c r="N156" s="249"/>
      <c r="O156" s="249"/>
    </row>
    <row r="157" spans="2:15" s="292" customFormat="1" x14ac:dyDescent="0.3">
      <c r="B157" s="249"/>
      <c r="C157" s="291"/>
      <c r="D157" s="299"/>
      <c r="E157" s="293"/>
      <c r="G157" s="294"/>
      <c r="H157" s="295"/>
      <c r="I157" s="303"/>
      <c r="J157" s="249"/>
      <c r="K157" s="249"/>
      <c r="L157" s="249"/>
      <c r="M157" s="249"/>
      <c r="N157" s="249"/>
      <c r="O157" s="249"/>
    </row>
    <row r="158" spans="2:15" s="292" customFormat="1" x14ac:dyDescent="0.3">
      <c r="B158" s="249"/>
      <c r="C158" s="291"/>
      <c r="D158" s="299"/>
      <c r="E158" s="293"/>
      <c r="G158" s="294"/>
      <c r="H158" s="295"/>
      <c r="I158" s="303"/>
      <c r="J158" s="249"/>
      <c r="K158" s="249"/>
      <c r="L158" s="249"/>
      <c r="M158" s="249"/>
      <c r="N158" s="249"/>
      <c r="O158" s="249"/>
    </row>
    <row r="159" spans="2:15" s="292" customFormat="1" x14ac:dyDescent="0.3">
      <c r="B159" s="249"/>
      <c r="C159" s="291"/>
      <c r="D159" s="299"/>
      <c r="E159" s="293"/>
      <c r="G159" s="294"/>
      <c r="H159" s="295"/>
      <c r="I159" s="303"/>
      <c r="J159" s="249"/>
      <c r="K159" s="249"/>
      <c r="L159" s="249"/>
      <c r="M159" s="249"/>
      <c r="N159" s="249"/>
      <c r="O159" s="249"/>
    </row>
    <row r="160" spans="2:15" s="292" customFormat="1" x14ac:dyDescent="0.3">
      <c r="B160" s="249"/>
      <c r="C160" s="291"/>
      <c r="D160" s="299"/>
      <c r="E160" s="293"/>
      <c r="G160" s="294"/>
      <c r="H160" s="295"/>
      <c r="I160" s="303"/>
      <c r="J160" s="249"/>
      <c r="K160" s="249"/>
      <c r="L160" s="249"/>
      <c r="M160" s="249"/>
      <c r="N160" s="249"/>
      <c r="O160" s="249"/>
    </row>
    <row r="161" spans="2:15" s="292" customFormat="1" x14ac:dyDescent="0.3">
      <c r="B161" s="249"/>
      <c r="C161" s="291"/>
      <c r="D161" s="299"/>
      <c r="E161" s="293"/>
      <c r="G161" s="294"/>
      <c r="H161" s="295"/>
      <c r="I161" s="303"/>
      <c r="J161" s="249"/>
      <c r="K161" s="249"/>
      <c r="L161" s="249"/>
      <c r="M161" s="249"/>
      <c r="N161" s="249"/>
      <c r="O161" s="249"/>
    </row>
    <row r="162" spans="2:15" s="292" customFormat="1" x14ac:dyDescent="0.3">
      <c r="B162" s="249"/>
      <c r="C162" s="291"/>
      <c r="D162" s="299"/>
      <c r="E162" s="293"/>
      <c r="G162" s="294"/>
      <c r="H162" s="295"/>
      <c r="I162" s="303"/>
      <c r="J162" s="249"/>
      <c r="K162" s="249"/>
      <c r="L162" s="249"/>
      <c r="M162" s="249"/>
      <c r="N162" s="249"/>
      <c r="O162" s="249"/>
    </row>
    <row r="163" spans="2:15" s="292" customFormat="1" x14ac:dyDescent="0.3">
      <c r="B163" s="249"/>
      <c r="C163" s="291"/>
      <c r="D163" s="299"/>
      <c r="E163" s="293"/>
      <c r="G163" s="294"/>
      <c r="H163" s="295"/>
      <c r="I163" s="303"/>
      <c r="J163" s="249"/>
      <c r="K163" s="249"/>
      <c r="L163" s="249"/>
      <c r="M163" s="249"/>
      <c r="N163" s="249"/>
      <c r="O163" s="249"/>
    </row>
    <row r="164" spans="2:15" s="292" customFormat="1" x14ac:dyDescent="0.3">
      <c r="B164" s="249"/>
      <c r="C164" s="291"/>
      <c r="D164" s="299"/>
      <c r="E164" s="293"/>
      <c r="G164" s="294"/>
      <c r="H164" s="295"/>
      <c r="I164" s="303"/>
      <c r="J164" s="249"/>
      <c r="K164" s="249"/>
      <c r="L164" s="249"/>
      <c r="M164" s="249"/>
      <c r="N164" s="249"/>
      <c r="O164" s="249"/>
    </row>
    <row r="165" spans="2:15" s="292" customFormat="1" x14ac:dyDescent="0.3">
      <c r="B165" s="249"/>
      <c r="C165" s="291"/>
      <c r="D165" s="299"/>
      <c r="E165" s="293"/>
      <c r="G165" s="294"/>
      <c r="H165" s="295"/>
      <c r="I165" s="303"/>
      <c r="J165" s="249"/>
      <c r="K165" s="249"/>
      <c r="L165" s="249"/>
      <c r="M165" s="249"/>
      <c r="N165" s="249"/>
      <c r="O165" s="249"/>
    </row>
    <row r="166" spans="2:15" s="292" customFormat="1" x14ac:dyDescent="0.3">
      <c r="B166" s="249"/>
      <c r="C166" s="291"/>
      <c r="D166" s="299"/>
      <c r="E166" s="293"/>
      <c r="G166" s="294"/>
      <c r="H166" s="295"/>
      <c r="I166" s="303"/>
      <c r="J166" s="249"/>
      <c r="K166" s="249"/>
      <c r="L166" s="249"/>
      <c r="M166" s="249"/>
      <c r="N166" s="249"/>
      <c r="O166" s="249"/>
    </row>
    <row r="167" spans="2:15" s="292" customFormat="1" x14ac:dyDescent="0.3">
      <c r="B167" s="249"/>
      <c r="C167" s="291"/>
      <c r="D167" s="299"/>
      <c r="E167" s="293"/>
      <c r="G167" s="294"/>
      <c r="H167" s="295"/>
      <c r="I167" s="303"/>
      <c r="J167" s="249"/>
      <c r="K167" s="249"/>
      <c r="L167" s="249"/>
      <c r="M167" s="249"/>
      <c r="N167" s="249"/>
      <c r="O167" s="249"/>
    </row>
    <row r="168" spans="2:15" s="292" customFormat="1" x14ac:dyDescent="0.3">
      <c r="B168" s="249"/>
      <c r="C168" s="291"/>
      <c r="D168" s="299"/>
      <c r="E168" s="293"/>
      <c r="G168" s="294"/>
      <c r="H168" s="295"/>
      <c r="I168" s="303"/>
      <c r="J168" s="249"/>
      <c r="K168" s="249"/>
      <c r="L168" s="249"/>
      <c r="M168" s="249"/>
      <c r="N168" s="249"/>
      <c r="O168" s="249"/>
    </row>
    <row r="169" spans="2:15" s="292" customFormat="1" x14ac:dyDescent="0.3">
      <c r="B169" s="249"/>
      <c r="C169" s="291"/>
      <c r="D169" s="299"/>
      <c r="E169" s="293"/>
      <c r="G169" s="294"/>
      <c r="H169" s="295"/>
      <c r="I169" s="303"/>
      <c r="J169" s="249"/>
      <c r="K169" s="249"/>
      <c r="L169" s="249"/>
      <c r="M169" s="249"/>
      <c r="N169" s="249"/>
      <c r="O169" s="249"/>
    </row>
    <row r="170" spans="2:15" s="292" customFormat="1" x14ac:dyDescent="0.3">
      <c r="B170" s="249"/>
      <c r="C170" s="291"/>
      <c r="D170" s="299"/>
      <c r="E170" s="293"/>
      <c r="G170" s="294"/>
      <c r="H170" s="295"/>
      <c r="I170" s="303"/>
      <c r="J170" s="249"/>
      <c r="K170" s="249"/>
      <c r="L170" s="249"/>
      <c r="M170" s="249"/>
      <c r="N170" s="249"/>
      <c r="O170" s="249"/>
    </row>
    <row r="171" spans="2:15" s="292" customFormat="1" x14ac:dyDescent="0.3">
      <c r="B171" s="249"/>
      <c r="C171" s="291"/>
      <c r="D171" s="299"/>
      <c r="E171" s="293"/>
      <c r="G171" s="294"/>
      <c r="H171" s="295"/>
      <c r="I171" s="303"/>
      <c r="J171" s="249"/>
      <c r="K171" s="249"/>
      <c r="L171" s="249"/>
      <c r="M171" s="249"/>
      <c r="N171" s="249"/>
      <c r="O171" s="249"/>
    </row>
    <row r="172" spans="2:15" s="292" customFormat="1" x14ac:dyDescent="0.3">
      <c r="B172" s="249"/>
      <c r="C172" s="291"/>
      <c r="D172" s="299"/>
      <c r="E172" s="293"/>
      <c r="G172" s="294"/>
      <c r="H172" s="295"/>
      <c r="I172" s="303"/>
      <c r="J172" s="249"/>
      <c r="K172" s="249"/>
      <c r="L172" s="249"/>
      <c r="M172" s="249"/>
      <c r="N172" s="249"/>
      <c r="O172" s="249"/>
    </row>
    <row r="173" spans="2:15" s="292" customFormat="1" x14ac:dyDescent="0.3">
      <c r="B173" s="249"/>
      <c r="C173" s="291"/>
      <c r="D173" s="299"/>
      <c r="E173" s="293"/>
      <c r="G173" s="294"/>
      <c r="H173" s="295"/>
      <c r="I173" s="303"/>
      <c r="J173" s="249"/>
      <c r="K173" s="249"/>
      <c r="L173" s="249"/>
      <c r="M173" s="249"/>
      <c r="N173" s="249"/>
      <c r="O173" s="249"/>
    </row>
    <row r="174" spans="2:15" s="292" customFormat="1" x14ac:dyDescent="0.3">
      <c r="B174" s="249"/>
      <c r="C174" s="291"/>
      <c r="D174" s="299"/>
      <c r="E174" s="293"/>
      <c r="G174" s="294"/>
      <c r="H174" s="295"/>
      <c r="I174" s="303"/>
      <c r="J174" s="249"/>
      <c r="K174" s="249"/>
      <c r="L174" s="249"/>
      <c r="M174" s="249"/>
      <c r="N174" s="249"/>
      <c r="O174" s="249"/>
    </row>
    <row r="175" spans="2:15" s="292" customFormat="1" x14ac:dyDescent="0.3">
      <c r="B175" s="249"/>
      <c r="C175" s="291"/>
      <c r="D175" s="299"/>
      <c r="E175" s="293"/>
      <c r="G175" s="294"/>
      <c r="H175" s="295"/>
      <c r="I175" s="303"/>
      <c r="J175" s="249"/>
      <c r="K175" s="249"/>
      <c r="L175" s="249"/>
      <c r="M175" s="249"/>
      <c r="N175" s="249"/>
      <c r="O175" s="249"/>
    </row>
    <row r="176" spans="2:15" s="292" customFormat="1" x14ac:dyDescent="0.3">
      <c r="B176" s="249"/>
      <c r="C176" s="291"/>
      <c r="D176" s="299"/>
      <c r="E176" s="293"/>
      <c r="G176" s="294"/>
      <c r="H176" s="295"/>
      <c r="I176" s="303"/>
      <c r="J176" s="249"/>
      <c r="K176" s="249"/>
      <c r="L176" s="249"/>
      <c r="M176" s="249"/>
      <c r="N176" s="249"/>
      <c r="O176" s="249"/>
    </row>
    <row r="177" spans="2:15" s="292" customFormat="1" x14ac:dyDescent="0.3">
      <c r="B177" s="249"/>
      <c r="C177" s="291"/>
      <c r="D177" s="299"/>
      <c r="E177" s="293"/>
      <c r="G177" s="294"/>
      <c r="H177" s="295"/>
      <c r="I177" s="303"/>
      <c r="J177" s="249"/>
      <c r="K177" s="249"/>
      <c r="L177" s="249"/>
      <c r="M177" s="249"/>
      <c r="N177" s="249"/>
      <c r="O177" s="249"/>
    </row>
    <row r="178" spans="2:15" s="292" customFormat="1" x14ac:dyDescent="0.3">
      <c r="B178" s="249"/>
      <c r="C178" s="291"/>
      <c r="D178" s="299"/>
      <c r="E178" s="293"/>
      <c r="G178" s="294"/>
      <c r="H178" s="295"/>
      <c r="I178" s="303"/>
      <c r="J178" s="249"/>
      <c r="K178" s="249"/>
      <c r="L178" s="249"/>
      <c r="M178" s="249"/>
      <c r="N178" s="249"/>
      <c r="O178" s="249"/>
    </row>
    <row r="179" spans="2:15" s="292" customFormat="1" x14ac:dyDescent="0.3">
      <c r="B179" s="249"/>
      <c r="C179" s="291"/>
      <c r="D179" s="299"/>
      <c r="E179" s="293"/>
      <c r="G179" s="294"/>
      <c r="H179" s="295"/>
      <c r="I179" s="303"/>
      <c r="J179" s="249"/>
      <c r="K179" s="249"/>
      <c r="L179" s="249"/>
      <c r="M179" s="249"/>
      <c r="N179" s="249"/>
      <c r="O179" s="249"/>
    </row>
    <row r="180" spans="2:15" s="292" customFormat="1" x14ac:dyDescent="0.3">
      <c r="B180" s="249"/>
      <c r="C180" s="291"/>
      <c r="D180" s="299"/>
      <c r="E180" s="293"/>
      <c r="G180" s="294"/>
      <c r="H180" s="295"/>
      <c r="I180" s="303"/>
      <c r="J180" s="249"/>
      <c r="K180" s="249"/>
      <c r="L180" s="249"/>
      <c r="M180" s="249"/>
      <c r="N180" s="249"/>
      <c r="O180" s="249"/>
    </row>
    <row r="181" spans="2:15" s="292" customFormat="1" x14ac:dyDescent="0.3">
      <c r="B181" s="249"/>
      <c r="C181" s="291"/>
      <c r="D181" s="299"/>
      <c r="E181" s="293"/>
      <c r="G181" s="294"/>
      <c r="H181" s="295"/>
      <c r="I181" s="303"/>
      <c r="J181" s="249"/>
      <c r="K181" s="249"/>
      <c r="L181" s="249"/>
      <c r="M181" s="249"/>
      <c r="N181" s="249"/>
      <c r="O181" s="249"/>
    </row>
    <row r="182" spans="2:15" s="292" customFormat="1" x14ac:dyDescent="0.3">
      <c r="B182" s="249"/>
      <c r="C182" s="291"/>
      <c r="D182" s="299"/>
      <c r="E182" s="293"/>
      <c r="G182" s="294"/>
      <c r="H182" s="295"/>
      <c r="I182" s="303"/>
      <c r="J182" s="249"/>
      <c r="K182" s="249"/>
      <c r="L182" s="249"/>
      <c r="M182" s="249"/>
      <c r="N182" s="249"/>
      <c r="O182" s="249"/>
    </row>
    <row r="183" spans="2:15" s="292" customFormat="1" x14ac:dyDescent="0.3">
      <c r="B183" s="249"/>
      <c r="C183" s="291"/>
      <c r="D183" s="299"/>
      <c r="E183" s="293"/>
      <c r="G183" s="294"/>
      <c r="H183" s="295"/>
      <c r="I183" s="303"/>
      <c r="J183" s="249"/>
      <c r="K183" s="249"/>
      <c r="L183" s="249"/>
      <c r="M183" s="249"/>
      <c r="N183" s="249"/>
      <c r="O183" s="249"/>
    </row>
    <row r="184" spans="2:15" s="292" customFormat="1" x14ac:dyDescent="0.3">
      <c r="B184" s="249"/>
      <c r="C184" s="291"/>
      <c r="D184" s="299"/>
      <c r="E184" s="293"/>
      <c r="G184" s="294"/>
      <c r="H184" s="295"/>
      <c r="I184" s="303"/>
      <c r="J184" s="249"/>
      <c r="K184" s="249"/>
      <c r="L184" s="249"/>
      <c r="M184" s="249"/>
      <c r="N184" s="249"/>
      <c r="O184" s="249"/>
    </row>
    <row r="185" spans="2:15" s="292" customFormat="1" x14ac:dyDescent="0.3">
      <c r="B185" s="249"/>
      <c r="C185" s="291"/>
      <c r="D185" s="299"/>
      <c r="E185" s="293"/>
      <c r="G185" s="294"/>
      <c r="H185" s="295"/>
      <c r="I185" s="303"/>
      <c r="J185" s="249"/>
      <c r="K185" s="249"/>
      <c r="L185" s="249"/>
      <c r="M185" s="249"/>
      <c r="N185" s="249"/>
      <c r="O185" s="249"/>
    </row>
    <row r="186" spans="2:15" s="292" customFormat="1" x14ac:dyDescent="0.3">
      <c r="B186" s="249"/>
      <c r="C186" s="291"/>
      <c r="D186" s="299"/>
      <c r="E186" s="293"/>
      <c r="G186" s="294"/>
      <c r="H186" s="295"/>
      <c r="I186" s="303"/>
      <c r="J186" s="249"/>
      <c r="K186" s="249"/>
      <c r="L186" s="249"/>
      <c r="M186" s="249"/>
      <c r="N186" s="249"/>
      <c r="O186" s="249"/>
    </row>
    <row r="187" spans="2:15" s="292" customFormat="1" x14ac:dyDescent="0.3">
      <c r="B187" s="249"/>
      <c r="C187" s="291"/>
      <c r="D187" s="299"/>
      <c r="E187" s="293"/>
      <c r="G187" s="294"/>
      <c r="H187" s="295"/>
      <c r="I187" s="303"/>
      <c r="J187" s="249"/>
      <c r="K187" s="249"/>
      <c r="L187" s="249"/>
      <c r="M187" s="249"/>
      <c r="N187" s="249"/>
      <c r="O187" s="249"/>
    </row>
  </sheetData>
  <printOptions horizontalCentered="1"/>
  <pageMargins left="0.19685039370078741" right="0.19685039370078741" top="0.59055118110236227" bottom="0.39370078740157483" header="0" footer="0"/>
  <pageSetup paperSize="9" scale="60" orientation="portrait" horizontalDpi="1200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64ADE-6353-4E4C-BFB5-2470E015A9A3}">
  <dimension ref="A1"/>
  <sheetViews>
    <sheetView workbookViewId="0">
      <selection activeCell="V12" sqref="V12"/>
    </sheetView>
  </sheetViews>
  <sheetFormatPr defaultRowHeight="14.4" x14ac:dyDescent="0.3"/>
  <sheetData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7CEDB8B19D7944B69D079E39AB67DE" ma:contentTypeVersion="20" ma:contentTypeDescription="Create a new document." ma:contentTypeScope="" ma:versionID="34491355b3986444ae8392c8613dda46">
  <xsd:schema xmlns:xsd="http://www.w3.org/2001/XMLSchema" xmlns:xs="http://www.w3.org/2001/XMLSchema" xmlns:p="http://schemas.microsoft.com/office/2006/metadata/properties" xmlns:ns2="76c72855-1590-4beb-9185-7b4168383c13" xmlns:ns3="69561875-a830-4c90-ba37-e8fa1ff650f8" targetNamespace="http://schemas.microsoft.com/office/2006/metadata/properties" ma:root="true" ma:fieldsID="3b4a250148cf31204060cdcb7141a499" ns2:_="" ns3:_="">
    <xsd:import namespace="76c72855-1590-4beb-9185-7b4168383c13"/>
    <xsd:import namespace="69561875-a830-4c90-ba37-e8fa1ff650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c72855-1590-4beb-9185-7b4168383c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fbe647-114e-4184-936e-069e4df0e1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561875-a830-4c90-ba37-e8fa1ff650f8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37d55172-319b-480f-b9ab-40cdfdaf3794}" ma:internalName="TaxCatchAll" ma:showField="CatchAllData" ma:web="69561875-a830-4c90-ba37-e8fa1ff650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9561875-a830-4c90-ba37-e8fa1ff650f8" xsi:nil="true"/>
    <lcf76f155ced4ddcb4097134ff3c332f xmlns="76c72855-1590-4beb-9185-7b4168383c1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7E5EB51-AFCE-41C4-BE18-5EB0CA18C9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c72855-1590-4beb-9185-7b4168383c13"/>
    <ds:schemaRef ds:uri="69561875-a830-4c90-ba37-e8fa1ff650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CC973AC-20CE-4556-9087-775B45E7E35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85B0F08-FA21-4613-9DD3-955CE96722A6}">
  <ds:schemaRefs>
    <ds:schemaRef ds:uri="http://purl.org/dc/terms/"/>
    <ds:schemaRef ds:uri="http://purl.org/dc/elements/1.1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76c72855-1590-4beb-9185-7b4168383c13"/>
    <ds:schemaRef ds:uri="69561875-a830-4c90-ba37-e8fa1ff650f8"/>
    <ds:schemaRef ds:uri="72cab3d5-73f9-4d5f-9e98-e18150545b53"/>
    <ds:schemaRef ds:uri="89ee63bb-a495-4e11-94d3-47a27b62be42"/>
  </ds:schemaRefs>
</ds:datastoreItem>
</file>

<file path=docMetadata/LabelInfo.xml><?xml version="1.0" encoding="utf-8"?>
<clbl:labelList xmlns:clbl="http://schemas.microsoft.com/office/2020/mipLabelMetadata">
  <clbl:label id="{de3e0bd1-8a42-4fca-bd15-c152a08a9459}" enabled="1" method="Privileged" siteId="{d703bd9e-2913-4bf9-8dd7-49ce1b18bd1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ARRD</vt:lpstr>
      <vt:lpstr>autoupload_MIS</vt:lpstr>
      <vt:lpstr>Sheet1</vt:lpstr>
      <vt:lpstr>ARRD!Print_Area</vt:lpstr>
      <vt:lpstr>autoupload_MIS!Print_Area</vt:lpstr>
      <vt:lpstr>Sheet1!Print_Area</vt:lpstr>
      <vt:lpstr>ARRD!Print_Titles</vt:lpstr>
      <vt:lpstr>autoupload_MIS!Print_Titles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Zorba Mohd Yusof</dc:creator>
  <cp:keywords/>
  <dc:description/>
  <cp:lastModifiedBy>Nazimah Ibrahim</cp:lastModifiedBy>
  <cp:revision/>
  <cp:lastPrinted>2026-02-09T04:46:33Z</cp:lastPrinted>
  <dcterms:created xsi:type="dcterms:W3CDTF">2023-01-09T09:15:28Z</dcterms:created>
  <dcterms:modified xsi:type="dcterms:W3CDTF">2026-02-09T06:56:38Z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0x0101002E7CEDB8B19D7944B69D079E39AB67DE</vt:lpwstr>
  </property>
  <property fmtid="{D5CDD505-2E9C-101B-9397-08002B2CF9AE}" pid="3" name="MediaServiceImageTags">
    <vt:lpwstr/>
  </property>
  <property fmtid="{D5CDD505-2E9C-101B-9397-08002B2CF9AE}" pid="4" name="MSIP_Label_de3e0bd1-8a42-4fca-bd15-c152a08a9459_Enabled">
    <vt:lpwstr>true</vt:lpwstr>
  </property>
  <property fmtid="{D5CDD505-2E9C-101B-9397-08002B2CF9AE}" pid="5" name="MSIP_Label_de3e0bd1-8a42-4fca-bd15-c152a08a9459_SetDate">
    <vt:lpwstr>2023-07-07T07:02:06Z</vt:lpwstr>
  </property>
  <property fmtid="{D5CDD505-2E9C-101B-9397-08002B2CF9AE}" pid="6" name="MSIP_Label_de3e0bd1-8a42-4fca-bd15-c152a08a9459_Method">
    <vt:lpwstr>Privileged</vt:lpwstr>
  </property>
  <property fmtid="{D5CDD505-2E9C-101B-9397-08002B2CF9AE}" pid="7" name="MSIP_Label_de3e0bd1-8a42-4fca-bd15-c152a08a9459_Name">
    <vt:lpwstr>Public</vt:lpwstr>
  </property>
  <property fmtid="{D5CDD505-2E9C-101B-9397-08002B2CF9AE}" pid="8" name="MSIP_Label_de3e0bd1-8a42-4fca-bd15-c152a08a9459_SiteId">
    <vt:lpwstr>d703bd9e-2913-4bf9-8dd7-49ce1b18bd11</vt:lpwstr>
  </property>
  <property fmtid="{D5CDD505-2E9C-101B-9397-08002B2CF9AE}" pid="9" name="MSIP_Label_de3e0bd1-8a42-4fca-bd15-c152a08a9459_ActionId">
    <vt:lpwstr>bc792230-3afa-4311-a39f-eeeeb666f456</vt:lpwstr>
  </property>
  <property fmtid="{D5CDD505-2E9C-101B-9397-08002B2CF9AE}" pid="10" name="MSIP_Label_de3e0bd1-8a42-4fca-bd15-c152a08a9459_ContentBits">
    <vt:lpwstr>0</vt:lpwstr>
  </property>
</Properties>
</file>