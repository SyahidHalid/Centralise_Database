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yahidhalid\Syahid_PC\Analytics - ITD\10. Python - ARRD Upload\"/>
    </mc:Choice>
  </mc:AlternateContent>
  <xr:revisionPtr revIDLastSave="0" documentId="13_ncr:1_{E7533ECE-2814-4D56-AAFE-CF9A98F64131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ARRD" sheetId="4" r:id="rId1"/>
    <sheet name="autoupload_MIS" sheetId="5" r:id="rId2"/>
  </sheets>
  <externalReferences>
    <externalReference r:id="rId3"/>
  </externalReferences>
  <definedNames>
    <definedName name="_xlnm._FilterDatabase" localSheetId="0" hidden="1">ARRD!$A$8:$W$96</definedName>
    <definedName name="_xlnm._FilterDatabase" localSheetId="1" hidden="1">autoupload_MIS!$A$4:$Q$90</definedName>
    <definedName name="Exportadora" localSheetId="1">autoupload_MIS!#REF!</definedName>
    <definedName name="Exportadora">ARRD!#REF!</definedName>
    <definedName name="Exportadora3" localSheetId="1">autoupload_MIS!#REF!</definedName>
    <definedName name="Exportadora3">ARRD!#REF!</definedName>
    <definedName name="ExportadoraIII" localSheetId="1">autoupload_MIS!#REF!</definedName>
    <definedName name="ExportadoraIII">ARRD!#REF!</definedName>
    <definedName name="_xlnm.Print_Area" localSheetId="0">ARRD!$A$1:$I$96</definedName>
    <definedName name="_xlnm.Print_Area" localSheetId="1">autoupload_MIS!$A$1:$E$90</definedName>
    <definedName name="_xlnm.Print_Titles" localSheetId="0">ARRD!$7:$8</definedName>
    <definedName name="_xlnm.Print_Titles" localSheetId="1">autoupload_MIS!$3:$4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5" l="1"/>
  <c r="G5" i="5"/>
  <c r="H5" i="5"/>
  <c r="I5" i="5"/>
  <c r="F7" i="5"/>
  <c r="G7" i="5"/>
  <c r="H7" i="5"/>
  <c r="I7" i="5"/>
  <c r="F8" i="5"/>
  <c r="G8" i="5"/>
  <c r="H8" i="5"/>
  <c r="I8" i="5"/>
  <c r="F9" i="5"/>
  <c r="G9" i="5"/>
  <c r="H9" i="5"/>
  <c r="I9" i="5"/>
  <c r="F15" i="5"/>
  <c r="G15" i="5"/>
  <c r="H15" i="5"/>
  <c r="I15" i="5"/>
  <c r="F16" i="5"/>
  <c r="G16" i="5"/>
  <c r="H16" i="5"/>
  <c r="I16" i="5"/>
  <c r="F17" i="5"/>
  <c r="G17" i="5"/>
  <c r="H17" i="5"/>
  <c r="I17" i="5"/>
  <c r="F22" i="5"/>
  <c r="G22" i="5"/>
  <c r="H22" i="5"/>
  <c r="I22" i="5"/>
  <c r="F23" i="5"/>
  <c r="G23" i="5"/>
  <c r="H23" i="5"/>
  <c r="I23" i="5"/>
  <c r="F25" i="5"/>
  <c r="G25" i="5"/>
  <c r="H25" i="5"/>
  <c r="I25" i="5"/>
  <c r="F26" i="5"/>
  <c r="G26" i="5"/>
  <c r="H26" i="5"/>
  <c r="I26" i="5"/>
  <c r="F28" i="5"/>
  <c r="G28" i="5"/>
  <c r="H28" i="5"/>
  <c r="I28" i="5"/>
  <c r="F30" i="5"/>
  <c r="G30" i="5"/>
  <c r="H30" i="5"/>
  <c r="I30" i="5"/>
  <c r="F31" i="5"/>
  <c r="G31" i="5"/>
  <c r="H31" i="5"/>
  <c r="I31" i="5"/>
  <c r="F32" i="5"/>
  <c r="G32" i="5"/>
  <c r="H32" i="5"/>
  <c r="I32" i="5"/>
  <c r="F33" i="5"/>
  <c r="G33" i="5"/>
  <c r="H33" i="5"/>
  <c r="I33" i="5"/>
  <c r="F34" i="5"/>
  <c r="G34" i="5"/>
  <c r="H34" i="5"/>
  <c r="I34" i="5"/>
  <c r="F35" i="5"/>
  <c r="G35" i="5"/>
  <c r="H35" i="5"/>
  <c r="I35" i="5"/>
  <c r="F36" i="5"/>
  <c r="G36" i="5"/>
  <c r="H36" i="5"/>
  <c r="I36" i="5"/>
  <c r="F37" i="5"/>
  <c r="G37" i="5"/>
  <c r="H37" i="5"/>
  <c r="I37" i="5"/>
  <c r="F38" i="5"/>
  <c r="G38" i="5"/>
  <c r="H38" i="5"/>
  <c r="I38" i="5"/>
  <c r="F39" i="5"/>
  <c r="G39" i="5"/>
  <c r="H39" i="5"/>
  <c r="I39" i="5"/>
  <c r="F41" i="5"/>
  <c r="G41" i="5"/>
  <c r="H41" i="5"/>
  <c r="I41" i="5"/>
  <c r="F43" i="5"/>
  <c r="G43" i="5"/>
  <c r="H43" i="5"/>
  <c r="I43" i="5"/>
  <c r="F44" i="5"/>
  <c r="G44" i="5"/>
  <c r="H44" i="5"/>
  <c r="I44" i="5"/>
  <c r="F59" i="5"/>
  <c r="G59" i="5"/>
  <c r="H59" i="5"/>
  <c r="I59" i="5"/>
  <c r="F60" i="5"/>
  <c r="G60" i="5"/>
  <c r="H60" i="5"/>
  <c r="I60" i="5"/>
  <c r="F61" i="5"/>
  <c r="G61" i="5"/>
  <c r="H61" i="5"/>
  <c r="I61" i="5"/>
  <c r="F62" i="5"/>
  <c r="G62" i="5"/>
  <c r="H62" i="5"/>
  <c r="I62" i="5"/>
  <c r="F63" i="5"/>
  <c r="G63" i="5"/>
  <c r="H63" i="5"/>
  <c r="I63" i="5"/>
  <c r="F64" i="5"/>
  <c r="G64" i="5"/>
  <c r="H64" i="5"/>
  <c r="I64" i="5"/>
  <c r="F65" i="5"/>
  <c r="G65" i="5"/>
  <c r="H65" i="5"/>
  <c r="I65" i="5"/>
  <c r="F66" i="5"/>
  <c r="G66" i="5"/>
  <c r="H66" i="5"/>
  <c r="I66" i="5"/>
  <c r="F67" i="5"/>
  <c r="G67" i="5"/>
  <c r="H67" i="5"/>
  <c r="I67" i="5"/>
  <c r="F68" i="5"/>
  <c r="G68" i="5"/>
  <c r="H68" i="5"/>
  <c r="I68" i="5"/>
  <c r="F69" i="5"/>
  <c r="G69" i="5"/>
  <c r="H69" i="5"/>
  <c r="I69" i="5"/>
  <c r="F70" i="5"/>
  <c r="G70" i="5"/>
  <c r="H70" i="5"/>
  <c r="I70" i="5"/>
  <c r="F71" i="5"/>
  <c r="G71" i="5"/>
  <c r="H71" i="5"/>
  <c r="I71" i="5"/>
  <c r="F72" i="5"/>
  <c r="G72" i="5"/>
  <c r="H72" i="5"/>
  <c r="I72" i="5"/>
  <c r="F73" i="5"/>
  <c r="G73" i="5"/>
  <c r="H73" i="5"/>
  <c r="I73" i="5"/>
  <c r="F74" i="5"/>
  <c r="G74" i="5"/>
  <c r="H74" i="5"/>
  <c r="I74" i="5"/>
  <c r="F75" i="5"/>
  <c r="G75" i="5"/>
  <c r="H75" i="5"/>
  <c r="I75" i="5"/>
  <c r="F76" i="5"/>
  <c r="G76" i="5"/>
  <c r="H76" i="5"/>
  <c r="I76" i="5"/>
  <c r="F77" i="5"/>
  <c r="G77" i="5"/>
  <c r="H77" i="5"/>
  <c r="I77" i="5"/>
  <c r="F78" i="5"/>
  <c r="G78" i="5"/>
  <c r="H78" i="5"/>
  <c r="I78" i="5"/>
  <c r="F79" i="5"/>
  <c r="G79" i="5"/>
  <c r="H79" i="5"/>
  <c r="I79" i="5"/>
  <c r="F80" i="5"/>
  <c r="G80" i="5"/>
  <c r="H80" i="5"/>
  <c r="I80" i="5"/>
  <c r="F81" i="5"/>
  <c r="G81" i="5"/>
  <c r="H81" i="5"/>
  <c r="I81" i="5"/>
  <c r="F82" i="5"/>
  <c r="G82" i="5"/>
  <c r="H82" i="5"/>
  <c r="I82" i="5"/>
  <c r="F83" i="5"/>
  <c r="G83" i="5"/>
  <c r="H83" i="5"/>
  <c r="I83" i="5"/>
  <c r="F84" i="5"/>
  <c r="G84" i="5"/>
  <c r="H84" i="5"/>
  <c r="I84" i="5"/>
  <c r="F85" i="5"/>
  <c r="G85" i="5"/>
  <c r="H85" i="5"/>
  <c r="I85" i="5"/>
  <c r="F86" i="5"/>
  <c r="G86" i="5"/>
  <c r="H86" i="5"/>
  <c r="I86" i="5"/>
  <c r="F87" i="5"/>
  <c r="G87" i="5"/>
  <c r="H87" i="5"/>
  <c r="I87" i="5"/>
  <c r="F88" i="5"/>
  <c r="G88" i="5"/>
  <c r="H88" i="5"/>
  <c r="I88" i="5"/>
  <c r="F89" i="5"/>
  <c r="G89" i="5"/>
  <c r="H89" i="5"/>
  <c r="I89" i="5"/>
  <c r="F90" i="5"/>
  <c r="G90" i="5"/>
  <c r="H90" i="5"/>
  <c r="I90" i="5"/>
</calcChain>
</file>

<file path=xl/sharedStrings.xml><?xml version="1.0" encoding="utf-8"?>
<sst xmlns="http://schemas.openxmlformats.org/spreadsheetml/2006/main" count="532" uniqueCount="240">
  <si>
    <t>Report Name:</t>
  </si>
  <si>
    <t>CCRIS Month End Balances and Provisions</t>
  </si>
  <si>
    <t>Unit/Department:</t>
  </si>
  <si>
    <t>Asset Rehab &amp; Recovery</t>
  </si>
  <si>
    <t>Name of Reporting Institution:</t>
  </si>
  <si>
    <t>Export-Import Bank of Malaysia Bhd</t>
  </si>
  <si>
    <t>Reporting Year:</t>
  </si>
  <si>
    <t>Reporting Month:</t>
  </si>
  <si>
    <t>FI Code:</t>
  </si>
  <si>
    <t>No</t>
  </si>
  <si>
    <t>Customer Name</t>
  </si>
  <si>
    <t>Customer Number</t>
  </si>
  <si>
    <t>Application System Code</t>
  </si>
  <si>
    <t>Master Account Number</t>
  </si>
  <si>
    <t>Sub Account Number</t>
  </si>
  <si>
    <t>Position Date</t>
  </si>
  <si>
    <t>Months in arrears</t>
  </si>
  <si>
    <t>Number of instalment in arrears</t>
  </si>
  <si>
    <t>3 PLUS 1 ADD2                    - 002</t>
  </si>
  <si>
    <t>CBD</t>
  </si>
  <si>
    <t>3 PLUS 1 ADD2</t>
  </si>
  <si>
    <t>AERIAL POWER LINES SDN BHD</t>
  </si>
  <si>
    <t>AERIALPOWER1</t>
  </si>
  <si>
    <t>AERIALPOWER01</t>
  </si>
  <si>
    <t>AL MANARA WATER COMPANY LTD</t>
  </si>
  <si>
    <t>ALMANARA</t>
  </si>
  <si>
    <t>ALAMI VEGETABLE OIL PRODUCTS SDN BHD</t>
  </si>
  <si>
    <t>EFD</t>
  </si>
  <si>
    <t>ALAMI</t>
  </si>
  <si>
    <t>AWAN BARA SDN BHD</t>
  </si>
  <si>
    <t>AWAN BARA 1</t>
  </si>
  <si>
    <t>BINAPURI HOLDING BERHAD (BG)</t>
  </si>
  <si>
    <t>BINAPURI REVOLVING BOND</t>
  </si>
  <si>
    <t>EXIM/BPURI/BG/06/02</t>
  </si>
  <si>
    <t>EXIM/BPURI/ADVBG/07/24</t>
  </si>
  <si>
    <t>EXIM/BPURI/ADVBG/07/25</t>
  </si>
  <si>
    <t>BRAHIM OVERSEAS VENTURE (TL)</t>
  </si>
  <si>
    <t>BRAHIMS TL</t>
  </si>
  <si>
    <t>DAYA MARITIME LIMITED (TF-i) - 003</t>
  </si>
  <si>
    <t>DAYA MARITIME TF-I</t>
  </si>
  <si>
    <t>EAGLEXPRESS AIR CHARTER SDN BHD</t>
  </si>
  <si>
    <t>EAGLEXPRESS 2</t>
  </si>
  <si>
    <t>FACILIPACK IND. (NON TRADE)</t>
  </si>
  <si>
    <t>FACILIPACK TF-1</t>
  </si>
  <si>
    <t>FACILIPACK TF-I</t>
  </si>
  <si>
    <t>FACILIPACK IND. (TRADE)</t>
  </si>
  <si>
    <t>FACILIPACK01 LC-I/TR-I/BG-I</t>
  </si>
  <si>
    <t>FACILIPACK TR-I</t>
  </si>
  <si>
    <t>FRESH BOWL FOODS LIMITED</t>
  </si>
  <si>
    <t>FRESH BOWL</t>
  </si>
  <si>
    <t>GOLD RAIN RESOURCES SDN BHD</t>
  </si>
  <si>
    <t>GOLD RAIN</t>
  </si>
  <si>
    <t>HARTAMANIS (S) PTE LTD</t>
  </si>
  <si>
    <t>HARTAMANIS-TL</t>
  </si>
  <si>
    <t>HCD-PRBSB CO. LTD</t>
  </si>
  <si>
    <t>HCD-PRBSB OPF-I</t>
  </si>
  <si>
    <t>HONDAAFUSHI INVESTMENT PRIVATE LIMITED</t>
  </si>
  <si>
    <t>HIPL 0001</t>
  </si>
  <si>
    <t>HUMMINGBIRD ENERGY (L) INC</t>
  </si>
  <si>
    <t>HUMMING - OIF</t>
  </si>
  <si>
    <t>HUMMING - OPF</t>
  </si>
  <si>
    <t>IHME LLC</t>
  </si>
  <si>
    <t>IHME01</t>
  </si>
  <si>
    <t>IHME001</t>
  </si>
  <si>
    <t>ILEAVES (UK) LTD</t>
  </si>
  <si>
    <t>ILEAVES</t>
  </si>
  <si>
    <t>INNO-WANGSA OILS &amp; FATS SDN BHD</t>
  </si>
  <si>
    <t>INNO WANGSA TF-I (2)</t>
  </si>
  <si>
    <t>KOTA LAKSAMANA 101 LIMITED</t>
  </si>
  <si>
    <t>KOTA LAKSAMANA</t>
  </si>
  <si>
    <t>KOTA LAKSAMANA CB 3</t>
  </si>
  <si>
    <t>MACAMB TECH CO. LTD</t>
  </si>
  <si>
    <t>MACAMB TECH</t>
  </si>
  <si>
    <t>MALAYSIAN DELICACIES PTY LTD 2</t>
  </si>
  <si>
    <t>MSIAN DELICACIES 2</t>
  </si>
  <si>
    <t>MARMORE ENERGY (LABUAN) LIMITED</t>
  </si>
  <si>
    <t>MARKMORE(II)</t>
  </si>
  <si>
    <t xml:space="preserve">MARMORE ENERGY (LABUAN) LIMITED </t>
  </si>
  <si>
    <t>MARKMORE(I)</t>
  </si>
  <si>
    <t xml:space="preserve">NEE ASSETS SDN BHD </t>
  </si>
  <si>
    <t>NEE ASSETS MKFF (1)</t>
  </si>
  <si>
    <t>NEE ASSETS SDN BHD  1</t>
  </si>
  <si>
    <t>NEE ASSETS MKFF (2)</t>
  </si>
  <si>
    <t>NIRMALA VILLAS RESTAURANT SDN BHD</t>
  </si>
  <si>
    <t>NIRMALA</t>
  </si>
  <si>
    <t>NUTRAFOOD RESOURCES SDN BHD</t>
  </si>
  <si>
    <t>NUTRAFOOD MKFF</t>
  </si>
  <si>
    <t>P.T BUMI INTERNATIONAL TANKERS</t>
  </si>
  <si>
    <t>BIT   0001</t>
  </si>
  <si>
    <t>P.T. LAYAR SENTOSA SHIPPING CORPORATION</t>
  </si>
  <si>
    <t>LARSEN0001</t>
  </si>
  <si>
    <t>PT AIR BORN INDONESIA (OIF-2)</t>
  </si>
  <si>
    <t>PT AIRBORN OIF-I 2</t>
  </si>
  <si>
    <t>PT EDEN CAPITAL, INDONESIA</t>
  </si>
  <si>
    <t>EDEN 001</t>
  </si>
  <si>
    <t>EDEN 0001</t>
  </si>
  <si>
    <t>PT GREAT COLOUR ENERGY</t>
  </si>
  <si>
    <t>PT GREAT COLOUR - OPF-I</t>
  </si>
  <si>
    <t>PT MAHAKARYA INTI BUANA</t>
  </si>
  <si>
    <t>MIB001</t>
  </si>
  <si>
    <t>MIB0001</t>
  </si>
  <si>
    <t>PT SARI INDAH LESTARI</t>
  </si>
  <si>
    <t>PTSIL02</t>
  </si>
  <si>
    <t>PTSIL002</t>
  </si>
  <si>
    <t>PT SRIWIJAYA AIR-BCF 1</t>
  </si>
  <si>
    <t>PT SRIWIJAYA AIR BCF1</t>
  </si>
  <si>
    <t>PT SRIWIJAYA AIR BCF1-USD16M</t>
  </si>
  <si>
    <t>PT SRIWIJAYA AIR-BCF 2</t>
  </si>
  <si>
    <t>PT SRIWIJAYA AIR BCF2</t>
  </si>
  <si>
    <t>QUANTUM ORIENT HOLDINGS SDN BHD</t>
  </si>
  <si>
    <t>QUANTUM ORIENT TF-I</t>
  </si>
  <si>
    <t>UPL LAO CO., LTD</t>
  </si>
  <si>
    <t>UPL LAO-OPF1 USD5M</t>
  </si>
  <si>
    <t>UPL LAO-OPF2 USD9M</t>
  </si>
  <si>
    <t>VEERAM STONES PRIVATE LTD</t>
  </si>
  <si>
    <t>VEERAM OPF</t>
  </si>
  <si>
    <t>VIRTUAL PEAK GROUP SDN BHD</t>
  </si>
  <si>
    <t>VIRTUAL</t>
  </si>
  <si>
    <t>VIRTUAL 01</t>
  </si>
  <si>
    <t>PENANG CIVIL STORAGE COMPANY SDN BHD</t>
  </si>
  <si>
    <t>PENANG CIVIL SCF-I</t>
  </si>
  <si>
    <t>SUPERBOOM PROJECTS SDN BHD- OPF</t>
  </si>
  <si>
    <t>SUPERBOOM-OPF 1 (TRANCHE 1)</t>
  </si>
  <si>
    <t xml:space="preserve">IMPIANA UBUD (LABUAN) CO. LTD. </t>
  </si>
  <si>
    <t>IMPIANA INVESTMENT OPF</t>
  </si>
  <si>
    <t>IMPIANA SEMINYAK (LABUAN) CO. LTD</t>
  </si>
  <si>
    <t>IMPIANA SEMINYAK OIF-I 1</t>
  </si>
  <si>
    <t>SAPURA TMC SDN BHD</t>
  </si>
  <si>
    <t>STMC003-OIF</t>
  </si>
  <si>
    <t>STMC003-OIF(1)</t>
  </si>
  <si>
    <t>EVERSENDAI CORPORATION BERHAD</t>
  </si>
  <si>
    <t>EVERSENDAI TF-I</t>
  </si>
  <si>
    <t>MIR VALVE SDN BHD</t>
  </si>
  <si>
    <t>MIR VALVE</t>
  </si>
  <si>
    <t>MIR VALVE SC</t>
  </si>
  <si>
    <t>MIR VALVE LC DISB</t>
  </si>
  <si>
    <t>NUPON TECHNOLOGY SDN BHD</t>
  </si>
  <si>
    <t>NUPON TECHNOLOGY LC-I/TR-I</t>
  </si>
  <si>
    <t>NUPON TECHNOLOGY TR-I</t>
  </si>
  <si>
    <t>NUPON TECHNOLOGY LC-I</t>
  </si>
  <si>
    <t>NUPON TECHNOLOGY LC-I/TR-I (2)</t>
  </si>
  <si>
    <t>NUPON TECHNOLOGY TR-I (2)</t>
  </si>
  <si>
    <t>NUPON TECHNOLOGY LC-I (2)</t>
  </si>
  <si>
    <t>ARMSTRONG COATING SDN BHD</t>
  </si>
  <si>
    <t>ARMSTRONG COATING LC-I/TR-I</t>
  </si>
  <si>
    <t>ARMSTRONG COATING TR-I</t>
  </si>
  <si>
    <t>ASIA PLATFORM SDN BHD</t>
  </si>
  <si>
    <t>ASIA 0001</t>
  </si>
  <si>
    <t>BLACKGOLD OIL &amp; GAS SDN BHD</t>
  </si>
  <si>
    <t>CB4-BLACKGOLDIFF1</t>
  </si>
  <si>
    <t>BLACKGOLDIFF1</t>
  </si>
  <si>
    <t>HOT-CAN SDN BHD</t>
  </si>
  <si>
    <t>SPF-HOTCAN01</t>
  </si>
  <si>
    <t>HOTCAN02</t>
  </si>
  <si>
    <t>JPK (HANOI) CO. LTD</t>
  </si>
  <si>
    <t>JPK 0001</t>
  </si>
  <si>
    <t>MALAYSIA AIRLINE BERHAD 002</t>
  </si>
  <si>
    <t>MALAYSIANAIRLINE01</t>
  </si>
  <si>
    <t>MALAYSIANAIRLINE</t>
  </si>
  <si>
    <t>NADA BUDAYA LTD</t>
  </si>
  <si>
    <t>NADA BUDAYA 01</t>
  </si>
  <si>
    <t>NADA BUDAYA 02</t>
  </si>
  <si>
    <t>SAAG CONSOLIDATED (M) SDN BHD</t>
  </si>
  <si>
    <t>SAAG</t>
  </si>
  <si>
    <t>SPICY T-CAFE SDN BHD</t>
  </si>
  <si>
    <t>VEHENG GLOBAL TRADERS SDN BHD</t>
  </si>
  <si>
    <t>VEHENG</t>
  </si>
  <si>
    <t>I &amp; C EATING NETWORK INT S/B</t>
  </si>
  <si>
    <t>I &amp; C EATING</t>
  </si>
  <si>
    <t>ZS ARMIN SDN BHD</t>
  </si>
  <si>
    <t>ZS ARMIN</t>
  </si>
  <si>
    <t>ZS ARMIN LC-I/TR-I</t>
  </si>
  <si>
    <t>ZS ARMIN TR-I</t>
  </si>
  <si>
    <t>FARLIN TRADING</t>
  </si>
  <si>
    <t>FARLIN TRADING SF-I</t>
  </si>
  <si>
    <t>INTRA ASIA (MALAYSIA) PTE LTD</t>
  </si>
  <si>
    <t>INTRA ASIA SF-I</t>
  </si>
  <si>
    <t>PANNAH RESOURCES PTY LTD</t>
  </si>
  <si>
    <t>PANNAH</t>
  </si>
  <si>
    <t>PHOENIX SURGE SDN BHD</t>
  </si>
  <si>
    <t>PS 0003</t>
  </si>
  <si>
    <t>SCOMI TRANSIT (SBLC)BG</t>
  </si>
  <si>
    <t>SCOMI - TL</t>
  </si>
  <si>
    <t>SCOMI TRANSIT PROJECTS BRAZIL (SAO PAULO) SDN BHD</t>
  </si>
  <si>
    <t>SCOMI OCF</t>
  </si>
  <si>
    <t>SCOMI</t>
  </si>
  <si>
    <t>Prepared by:</t>
  </si>
  <si>
    <t>Name:</t>
  </si>
  <si>
    <t>NAZIMAH IBRAHIM</t>
  </si>
  <si>
    <t>Designation:</t>
  </si>
  <si>
    <t>EXECUTIVE</t>
  </si>
  <si>
    <t>Reviewed by:</t>
  </si>
  <si>
    <t>HISHAM BAHARI</t>
  </si>
  <si>
    <t>Endorsed by:</t>
  </si>
  <si>
    <t>TFT DISPLAY (M) SDN BHD</t>
  </si>
  <si>
    <t>TFT DISPLAY TL</t>
  </si>
  <si>
    <t>FUCIPHAGUS AGRITECH S/B</t>
  </si>
  <si>
    <t>HEAD OF ARRD</t>
  </si>
  <si>
    <t>AWAN BARA</t>
  </si>
  <si>
    <t>UPL LAO-OPF</t>
  </si>
  <si>
    <t>GAIA PLAS TF-I (3)</t>
  </si>
  <si>
    <t xml:space="preserve">GAIA PLAS SDN BHD </t>
  </si>
  <si>
    <t>GAIA PLAS SDN BHD</t>
  </si>
  <si>
    <t>GAIA PLAS SF-I</t>
  </si>
  <si>
    <t>MACAMB TECH -  OPF-I</t>
  </si>
  <si>
    <t>SPICY T-CAFE</t>
  </si>
  <si>
    <t>SRI KAYU MAJU SDN BHD</t>
  </si>
  <si>
    <t>SRI KAYU SF-I</t>
  </si>
  <si>
    <t>ASIA CARGO NETWORK SDN BHD-TF-i</t>
  </si>
  <si>
    <t>ASIA CARGO NETWORK SDN BHD-RC-i</t>
  </si>
  <si>
    <t>NIKMAT MUJUR SDN BHD-SF-I</t>
  </si>
  <si>
    <t>NIKMAT MUJUR SDN BHD-RC-I</t>
  </si>
  <si>
    <t>September</t>
  </si>
  <si>
    <t>SRI DAYAA MANUFACTURING SDN BHD-TFi (BNM-HTG)</t>
  </si>
  <si>
    <t>SRI DAYAA MANUFACTURING SDN BHD-TFi-2</t>
  </si>
  <si>
    <t>SRI DAYAA TF-i</t>
  </si>
  <si>
    <t>SRI DAYAA TF-i(2)</t>
  </si>
  <si>
    <t>ASIA CARGO NETWORK TF-I</t>
  </si>
  <si>
    <t>ASIA CARGO NETWORK RC-I</t>
  </si>
  <si>
    <t>FUCIPHAGUS AGRITECH TF-I</t>
  </si>
  <si>
    <t>NIKMAT MUJUR SF-I</t>
  </si>
  <si>
    <t>NIKMAT MUJUR RC-I</t>
  </si>
  <si>
    <t>SAP number</t>
  </si>
  <si>
    <t>Effective cost of borrowings</t>
  </si>
  <si>
    <t>Interest Margin</t>
  </si>
  <si>
    <t>Profit/Interest Rate</t>
  </si>
  <si>
    <t>Penalty Rate</t>
  </si>
  <si>
    <t>FIXED</t>
  </si>
  <si>
    <t/>
  </si>
  <si>
    <t>3M LIBOR</t>
  </si>
  <si>
    <t>1M LIBOR</t>
  </si>
  <si>
    <t>1MKLIBOR</t>
  </si>
  <si>
    <t>1MLIBOR</t>
  </si>
  <si>
    <t>JUDGEMENT</t>
  </si>
  <si>
    <t>FIX</t>
  </si>
  <si>
    <t>(Blank)</t>
  </si>
  <si>
    <t>COF-i</t>
  </si>
  <si>
    <t>COF-i+3.00%</t>
  </si>
  <si>
    <t>-</t>
  </si>
  <si>
    <t>July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</si>
</sst>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[$-14409]dd/mm/yyyy;@"/>
    <numFmt numFmtId="166" formatCode="[$USD]\ #,##0_);[Red]\([$USD]\ #,##0\)"/>
    <numFmt numFmtId="167" formatCode="0.0%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Helv"/>
    </font>
    <font>
      <sz val="12"/>
      <name val="Arial"/>
      <family val="2"/>
    </font>
    <font>
      <b/>
      <sz val="12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b/>
      <u/>
      <sz val="12"/>
      <name val="Arial"/>
      <family val="2"/>
    </font>
    <font>
      <sz val="11"/>
      <color theme="0"/>
      <name val="Daytona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2"/>
      <color rgb="FFFF0000"/>
      <name val="Arial"/>
      <family val="2"/>
    </font>
    <font>
      <b/>
      <sz val="12"/>
      <color rgb="FFFF0000"/>
      <name val="Arial"/>
      <family val="2"/>
    </font>
    <font>
      <b/>
      <sz val="1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gray0625">
        <bgColor theme="2" tint="-9.9978637043366805E-2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0000FF"/>
        <bgColor indexed="64"/>
      </patternFill>
    </fill>
  </fills>
  <borders count="19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7">
    <xf numFmtId="0" fontId="0" fillId="0" borderId="0"/>
    <xf numFmtId="164" fontId="1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39" fontId="3" fillId="0" borderId="0"/>
    <xf numFmtId="39" fontId="3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6" fontId="1" fillId="0" borderId="0"/>
    <xf numFmtId="167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" fillId="0" borderId="0"/>
    <xf numFmtId="9" fontId="1" fillId="0" borderId="0" applyFont="0" applyFill="0" applyBorder="0" applyAlignment="0" applyProtection="0"/>
    <xf numFmtId="0" fontId="2" fillId="0" borderId="0"/>
  </cellStyleXfs>
  <cellXfs count="108">
    <xf numFmtId="0" fontId="0" fillId="0" borderId="0" xfId="0"/>
    <xf numFmtId="0" fontId="5" fillId="0" borderId="0" xfId="2" applyFont="1" applyAlignment="1">
      <alignment horizontal="left"/>
    </xf>
    <xf numFmtId="0" fontId="5" fillId="0" borderId="0" xfId="2" applyFont="1" applyAlignment="1">
      <alignment horizontal="center"/>
    </xf>
    <xf numFmtId="0" fontId="4" fillId="0" borderId="0" xfId="2" applyFont="1" applyAlignment="1">
      <alignment horizontal="center" vertical="center"/>
    </xf>
    <xf numFmtId="0" fontId="5" fillId="0" borderId="0" xfId="2" applyFont="1" applyAlignment="1">
      <alignment horizontal="center" vertical="center"/>
    </xf>
    <xf numFmtId="0" fontId="5" fillId="0" borderId="0" xfId="2" applyFont="1" applyAlignment="1">
      <alignment vertical="center"/>
    </xf>
    <xf numFmtId="0" fontId="4" fillId="0" borderId="0" xfId="2" applyFont="1"/>
    <xf numFmtId="4" fontId="4" fillId="0" borderId="0" xfId="2" applyNumberFormat="1" applyFont="1"/>
    <xf numFmtId="0" fontId="5" fillId="0" borderId="0" xfId="2" applyFont="1"/>
    <xf numFmtId="4" fontId="5" fillId="0" borderId="0" xfId="2" applyNumberFormat="1" applyFont="1"/>
    <xf numFmtId="0" fontId="4" fillId="0" borderId="0" xfId="2" quotePrefix="1" applyFont="1" applyAlignment="1">
      <alignment horizontal="center" vertical="center"/>
    </xf>
    <xf numFmtId="0" fontId="4" fillId="0" borderId="0" xfId="2" applyFont="1" applyAlignment="1">
      <alignment horizontal="center"/>
    </xf>
    <xf numFmtId="0" fontId="5" fillId="0" borderId="0" xfId="2" quotePrefix="1" applyFont="1" applyAlignment="1">
      <alignment horizontal="center" vertical="center"/>
    </xf>
    <xf numFmtId="164" fontId="4" fillId="0" borderId="0" xfId="1" applyFont="1" applyFill="1" applyBorder="1" applyAlignment="1">
      <alignment horizontal="center" vertical="center"/>
    </xf>
    <xf numFmtId="0" fontId="6" fillId="0" borderId="0" xfId="2" applyFont="1"/>
    <xf numFmtId="0" fontId="6" fillId="0" borderId="0" xfId="2" applyFont="1" applyAlignment="1">
      <alignment horizontal="center" vertical="center"/>
    </xf>
    <xf numFmtId="0" fontId="6" fillId="0" borderId="0" xfId="2" applyFont="1" applyAlignment="1">
      <alignment horizontal="center"/>
    </xf>
    <xf numFmtId="0" fontId="7" fillId="0" borderId="0" xfId="2" applyFont="1" applyAlignment="1">
      <alignment horizontal="center"/>
    </xf>
    <xf numFmtId="164" fontId="7" fillId="0" borderId="0" xfId="1" applyFont="1" applyFill="1" applyBorder="1" applyAlignment="1">
      <alignment horizontal="center"/>
    </xf>
    <xf numFmtId="0" fontId="7" fillId="0" borderId="0" xfId="2" applyFont="1" applyAlignment="1">
      <alignment horizontal="right"/>
    </xf>
    <xf numFmtId="0" fontId="7" fillId="0" borderId="0" xfId="2" applyFont="1" applyAlignment="1">
      <alignment horizontal="center" vertical="center"/>
    </xf>
    <xf numFmtId="0" fontId="7" fillId="0" borderId="0" xfId="2" applyFont="1" applyAlignment="1">
      <alignment horizontal="left"/>
    </xf>
    <xf numFmtId="0" fontId="6" fillId="0" borderId="0" xfId="2" applyFont="1" applyAlignment="1">
      <alignment horizontal="right"/>
    </xf>
    <xf numFmtId="0" fontId="7" fillId="0" borderId="2" xfId="2" applyFont="1" applyBorder="1" applyAlignment="1">
      <alignment horizontal="left"/>
    </xf>
    <xf numFmtId="165" fontId="5" fillId="0" borderId="0" xfId="2" quotePrefix="1" applyNumberFormat="1" applyFont="1" applyAlignment="1">
      <alignment horizontal="center" vertical="center"/>
    </xf>
    <xf numFmtId="0" fontId="7" fillId="2" borderId="1" xfId="2" applyFont="1" applyFill="1" applyBorder="1" applyAlignment="1">
      <alignment horizontal="left"/>
    </xf>
    <xf numFmtId="0" fontId="7" fillId="3" borderId="1" xfId="2" applyFont="1" applyFill="1" applyBorder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17" fontId="8" fillId="0" borderId="0" xfId="2" applyNumberFormat="1" applyFont="1" applyAlignment="1">
      <alignment vertical="center"/>
    </xf>
    <xf numFmtId="17" fontId="8" fillId="0" borderId="0" xfId="2" quotePrefix="1" applyNumberFormat="1" applyFont="1" applyAlignment="1">
      <alignment horizontal="center" vertical="center"/>
    </xf>
    <xf numFmtId="0" fontId="5" fillId="6" borderId="6" xfId="2" applyFont="1" applyFill="1" applyBorder="1" applyAlignment="1">
      <alignment horizontal="center" vertical="top" wrapText="1"/>
    </xf>
    <xf numFmtId="0" fontId="5" fillId="2" borderId="7" xfId="2" applyFont="1" applyFill="1" applyBorder="1" applyAlignment="1">
      <alignment horizontal="center" vertical="top" wrapText="1"/>
    </xf>
    <xf numFmtId="0" fontId="5" fillId="2" borderId="5" xfId="2" applyFont="1" applyFill="1" applyBorder="1" applyAlignment="1">
      <alignment horizontal="center" vertical="top" wrapText="1"/>
    </xf>
    <xf numFmtId="0" fontId="5" fillId="0" borderId="0" xfId="2" applyFont="1" applyAlignment="1">
      <alignment horizontal="center" vertical="top"/>
    </xf>
    <xf numFmtId="0" fontId="5" fillId="0" borderId="0" xfId="2" applyFont="1" applyAlignment="1">
      <alignment vertical="top"/>
    </xf>
    <xf numFmtId="0" fontId="5" fillId="4" borderId="8" xfId="2" applyFont="1" applyFill="1" applyBorder="1" applyAlignment="1">
      <alignment horizontal="center" vertical="top"/>
    </xf>
    <xf numFmtId="0" fontId="5" fillId="4" borderId="8" xfId="2" applyFont="1" applyFill="1" applyBorder="1" applyAlignment="1">
      <alignment horizontal="center" vertical="top" wrapText="1"/>
    </xf>
    <xf numFmtId="0" fontId="5" fillId="4" borderId="9" xfId="2" applyFont="1" applyFill="1" applyBorder="1" applyAlignment="1">
      <alignment horizontal="center" vertical="top" wrapText="1"/>
    </xf>
    <xf numFmtId="0" fontId="4" fillId="0" borderId="0" xfId="1" applyNumberFormat="1" applyFont="1" applyFill="1" applyBorder="1" applyAlignment="1">
      <alignment horizontal="center" vertical="center"/>
    </xf>
    <xf numFmtId="0" fontId="9" fillId="10" borderId="3" xfId="0" applyFont="1" applyFill="1" applyBorder="1" applyAlignment="1">
      <alignment vertical="center"/>
    </xf>
    <xf numFmtId="0" fontId="10" fillId="0" borderId="1" xfId="2" quotePrefix="1" applyFont="1" applyBorder="1" applyAlignment="1">
      <alignment horizontal="center" vertical="center"/>
    </xf>
    <xf numFmtId="0" fontId="10" fillId="0" borderId="1" xfId="3" applyNumberFormat="1" applyFont="1" applyFill="1" applyBorder="1" applyAlignment="1" applyProtection="1">
      <alignment vertical="center"/>
    </xf>
    <xf numFmtId="0" fontId="10" fillId="0" borderId="1" xfId="2" applyFont="1" applyBorder="1" applyAlignment="1">
      <alignment horizontal="center" vertical="center"/>
    </xf>
    <xf numFmtId="165" fontId="10" fillId="0" borderId="1" xfId="0" applyNumberFormat="1" applyFont="1" applyBorder="1" applyAlignment="1">
      <alignment horizontal="center" vertical="center"/>
    </xf>
    <xf numFmtId="0" fontId="10" fillId="0" borderId="1" xfId="2" applyFont="1" applyBorder="1" applyAlignment="1" applyProtection="1">
      <alignment horizontal="center" vertical="center"/>
      <protection locked="0"/>
    </xf>
    <xf numFmtId="4" fontId="10" fillId="0" borderId="0" xfId="2" applyNumberFormat="1" applyFont="1" applyAlignment="1">
      <alignment horizontal="center" vertical="center"/>
    </xf>
    <xf numFmtId="4" fontId="10" fillId="0" borderId="0" xfId="2" applyNumberFormat="1" applyFont="1" applyAlignment="1">
      <alignment vertical="center"/>
    </xf>
    <xf numFmtId="0" fontId="10" fillId="0" borderId="0" xfId="2" applyFont="1" applyAlignment="1">
      <alignment vertical="center"/>
    </xf>
    <xf numFmtId="0" fontId="10" fillId="0" borderId="0" xfId="2" applyFont="1" applyAlignment="1">
      <alignment horizontal="center" vertical="center"/>
    </xf>
    <xf numFmtId="0" fontId="10" fillId="8" borderId="1" xfId="2" applyFont="1" applyFill="1" applyBorder="1" applyAlignment="1">
      <alignment horizontal="center" vertical="center"/>
    </xf>
    <xf numFmtId="0" fontId="10" fillId="0" borderId="0" xfId="2" applyFont="1"/>
    <xf numFmtId="4" fontId="10" fillId="0" borderId="0" xfId="2" applyNumberFormat="1" applyFont="1"/>
    <xf numFmtId="0" fontId="10" fillId="0" borderId="1" xfId="2" applyFont="1" applyBorder="1" applyAlignment="1">
      <alignment vertical="center"/>
    </xf>
    <xf numFmtId="0" fontId="10" fillId="0" borderId="1" xfId="0" applyFont="1" applyBorder="1" applyAlignment="1">
      <alignment vertical="center"/>
    </xf>
    <xf numFmtId="0" fontId="10" fillId="0" borderId="1" xfId="0" applyFont="1" applyBorder="1" applyAlignment="1">
      <alignment horizontal="center" vertical="center"/>
    </xf>
    <xf numFmtId="0" fontId="11" fillId="0" borderId="0" xfId="2" applyFont="1"/>
    <xf numFmtId="4" fontId="11" fillId="0" borderId="0" xfId="2" applyNumberFormat="1" applyFont="1"/>
    <xf numFmtId="0" fontId="10" fillId="0" borderId="0" xfId="2" applyFont="1" applyAlignment="1">
      <alignment vertical="top"/>
    </xf>
    <xf numFmtId="4" fontId="10" fillId="0" borderId="0" xfId="2" applyNumberFormat="1" applyFont="1" applyAlignment="1">
      <alignment vertical="top"/>
    </xf>
    <xf numFmtId="0" fontId="10" fillId="8" borderId="1" xfId="0" applyFont="1" applyFill="1" applyBorder="1" applyAlignment="1">
      <alignment horizontal="center" vertical="center"/>
    </xf>
    <xf numFmtId="0" fontId="10" fillId="0" borderId="8" xfId="0" applyFont="1" applyBorder="1" applyAlignment="1">
      <alignment vertical="center"/>
    </xf>
    <xf numFmtId="0" fontId="10" fillId="0" borderId="8" xfId="2" applyFont="1" applyBorder="1" applyAlignment="1">
      <alignment horizontal="center" vertical="center"/>
    </xf>
    <xf numFmtId="0" fontId="10" fillId="0" borderId="13" xfId="0" applyFont="1" applyBorder="1" applyAlignment="1">
      <alignment vertical="center"/>
    </xf>
    <xf numFmtId="0" fontId="10" fillId="0" borderId="14" xfId="2" applyFont="1" applyBorder="1" applyAlignment="1">
      <alignment horizontal="center" vertical="center"/>
    </xf>
    <xf numFmtId="0" fontId="10" fillId="0" borderId="15" xfId="2" applyFont="1" applyBorder="1" applyAlignment="1">
      <alignment horizontal="center" vertical="center"/>
    </xf>
    <xf numFmtId="0" fontId="10" fillId="0" borderId="12" xfId="0" applyFont="1" applyBorder="1" applyAlignment="1">
      <alignment vertical="center"/>
    </xf>
    <xf numFmtId="0" fontId="10" fillId="0" borderId="12" xfId="0" applyFont="1" applyBorder="1" applyAlignment="1">
      <alignment horizontal="center" vertical="center"/>
    </xf>
    <xf numFmtId="0" fontId="10" fillId="0" borderId="12" xfId="2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2" xfId="0" applyFont="1" applyBorder="1" applyAlignment="1">
      <alignment horizontal="left" vertical="center"/>
    </xf>
    <xf numFmtId="0" fontId="10" fillId="9" borderId="12" xfId="0" applyFont="1" applyFill="1" applyBorder="1" applyAlignment="1">
      <alignment vertical="center"/>
    </xf>
    <xf numFmtId="0" fontId="10" fillId="9" borderId="12" xfId="0" applyFont="1" applyFill="1" applyBorder="1" applyAlignment="1">
      <alignment horizontal="center" vertical="center"/>
    </xf>
    <xf numFmtId="0" fontId="10" fillId="9" borderId="12" xfId="2" applyFont="1" applyFill="1" applyBorder="1" applyAlignment="1">
      <alignment horizontal="center" vertical="center"/>
    </xf>
    <xf numFmtId="0" fontId="10" fillId="9" borderId="10" xfId="0" applyFont="1" applyFill="1" applyBorder="1" applyAlignment="1">
      <alignment horizontal="center" vertical="center"/>
    </xf>
    <xf numFmtId="0" fontId="10" fillId="9" borderId="1" xfId="0" applyFont="1" applyFill="1" applyBorder="1" applyAlignment="1">
      <alignment horizontal="center" vertical="center"/>
    </xf>
    <xf numFmtId="0" fontId="10" fillId="9" borderId="11" xfId="0" applyFont="1" applyFill="1" applyBorder="1" applyAlignment="1">
      <alignment vertical="center"/>
    </xf>
    <xf numFmtId="0" fontId="10" fillId="9" borderId="11" xfId="0" applyFont="1" applyFill="1" applyBorder="1" applyAlignment="1">
      <alignment horizontal="center" vertical="center"/>
    </xf>
    <xf numFmtId="0" fontId="10" fillId="9" borderId="11" xfId="2" applyFont="1" applyFill="1" applyBorder="1" applyAlignment="1">
      <alignment horizontal="center" vertical="center"/>
    </xf>
    <xf numFmtId="0" fontId="10" fillId="9" borderId="1" xfId="0" applyFont="1" applyFill="1" applyBorder="1" applyAlignment="1">
      <alignment vertical="center"/>
    </xf>
    <xf numFmtId="0" fontId="10" fillId="9" borderId="1" xfId="2" applyFont="1" applyFill="1" applyBorder="1" applyAlignment="1">
      <alignment horizontal="center" vertical="center"/>
    </xf>
    <xf numFmtId="0" fontId="10" fillId="7" borderId="1" xfId="2" applyFont="1" applyFill="1" applyBorder="1" applyAlignment="1" applyProtection="1">
      <alignment horizontal="center" vertical="center"/>
      <protection locked="0"/>
    </xf>
    <xf numFmtId="0" fontId="10" fillId="7" borderId="0" xfId="2" applyFont="1" applyFill="1"/>
    <xf numFmtId="4" fontId="10" fillId="7" borderId="0" xfId="2" applyNumberFormat="1" applyFont="1" applyFill="1"/>
    <xf numFmtId="0" fontId="10" fillId="9" borderId="1" xfId="3" applyNumberFormat="1" applyFont="1" applyFill="1" applyBorder="1" applyAlignment="1" applyProtection="1">
      <alignment vertical="center"/>
    </xf>
    <xf numFmtId="0" fontId="10" fillId="9" borderId="1" xfId="3" applyNumberFormat="1" applyFont="1" applyFill="1" applyBorder="1" applyAlignment="1" applyProtection="1">
      <alignment vertical="center" wrapText="1"/>
    </xf>
    <xf numFmtId="0" fontId="6" fillId="0" borderId="3" xfId="2" applyFont="1" applyBorder="1" applyAlignment="1">
      <alignment horizontal="center" vertical="center"/>
    </xf>
    <xf numFmtId="0" fontId="6" fillId="0" borderId="2" xfId="2" applyFont="1" applyBorder="1" applyAlignment="1">
      <alignment horizontal="left" vertical="center"/>
    </xf>
    <xf numFmtId="0" fontId="6" fillId="0" borderId="3" xfId="2" applyFont="1" applyBorder="1" applyAlignment="1">
      <alignment horizontal="left" vertical="center"/>
    </xf>
    <xf numFmtId="0" fontId="7" fillId="0" borderId="3" xfId="2" applyFont="1" applyBorder="1" applyAlignment="1">
      <alignment horizontal="left"/>
    </xf>
    <xf numFmtId="0" fontId="12" fillId="0" borderId="1" xfId="2" applyFont="1" applyBorder="1" applyAlignment="1">
      <alignment horizontal="center" vertical="center"/>
    </xf>
    <xf numFmtId="0" fontId="12" fillId="9" borderId="12" xfId="0" applyFont="1" applyFill="1" applyBorder="1" applyAlignment="1">
      <alignment horizontal="center" vertical="center"/>
    </xf>
    <xf numFmtId="0" fontId="12" fillId="9" borderId="11" xfId="0" applyFont="1" applyFill="1" applyBorder="1" applyAlignment="1">
      <alignment horizontal="center" vertical="center"/>
    </xf>
    <xf numFmtId="0" fontId="12" fillId="9" borderId="1" xfId="0" applyFont="1" applyFill="1" applyBorder="1" applyAlignment="1">
      <alignment horizontal="center" vertical="center"/>
    </xf>
    <xf numFmtId="0" fontId="12" fillId="9" borderId="1" xfId="2" applyFont="1" applyFill="1" applyBorder="1" applyAlignment="1">
      <alignment horizontal="center" vertical="center"/>
    </xf>
    <xf numFmtId="0" fontId="13" fillId="4" borderId="8" xfId="2" applyFont="1" applyFill="1" applyBorder="1" applyAlignment="1">
      <alignment horizontal="center" vertical="top" wrapText="1"/>
    </xf>
    <xf numFmtId="0" fontId="7" fillId="0" borderId="2" xfId="2" applyFont="1" applyBorder="1" applyAlignment="1">
      <alignment horizontal="left"/>
    </xf>
    <xf numFmtId="0" fontId="7" fillId="0" borderId="3" xfId="2" applyFont="1" applyBorder="1" applyAlignment="1">
      <alignment horizontal="left"/>
    </xf>
    <xf numFmtId="0" fontId="7" fillId="0" borderId="0" xfId="2" applyFont="1" applyAlignment="1">
      <alignment horizontal="center"/>
    </xf>
    <xf numFmtId="164" fontId="5" fillId="5" borderId="4" xfId="3" applyFont="1" applyFill="1" applyBorder="1" applyAlignment="1">
      <alignment horizontal="center" vertical="center"/>
    </xf>
    <xf numFmtId="0" fontId="6" fillId="0" borderId="3" xfId="2" applyFont="1" applyBorder="1" applyAlignment="1">
      <alignment horizontal="center" vertical="center"/>
    </xf>
    <xf numFmtId="0" fontId="6" fillId="0" borderId="2" xfId="2" applyFont="1" applyBorder="1" applyAlignment="1">
      <alignment horizontal="left" vertical="center"/>
    </xf>
    <xf numFmtId="0" fontId="6" fillId="0" borderId="3" xfId="2" applyFont="1" applyBorder="1" applyAlignment="1">
      <alignment horizontal="left" vertical="center"/>
    </xf>
    <xf numFmtId="0" fontId="14" fillId="5" borderId="16" xfId="0" applyFont="1" applyFill="1" applyBorder="1" applyAlignment="1">
      <alignment horizontal="center" vertical="top" wrapText="1"/>
    </xf>
    <xf numFmtId="164" fontId="14" fillId="5" borderId="17" xfId="3" applyFont="1" applyFill="1" applyBorder="1" applyAlignment="1">
      <alignment horizontal="center" vertical="top" wrapText="1"/>
    </xf>
    <xf numFmtId="0" fontId="14" fillId="5" borderId="18" xfId="16" applyFont="1" applyFill="1" applyBorder="1" applyAlignment="1">
      <alignment horizontal="center" vertical="top" wrapText="1"/>
    </xf>
    <xf numFmtId="10" fontId="10" fillId="0" borderId="0" xfId="15" applyNumberFormat="1" applyFont="1" applyAlignment="1">
      <alignment horizontal="center" vertical="center"/>
    </xf>
  </cellXfs>
  <cellStyles count="17">
    <cellStyle name="Comma" xfId="1" builtinId="3"/>
    <cellStyle name="Comma 127" xfId="13" xr:uid="{AEF4B14C-BE9A-42CD-B8A8-2937D5250BE0}"/>
    <cellStyle name="Comma 2" xfId="3" xr:uid="{00000000-0005-0000-0000-000001000000}"/>
    <cellStyle name="Comma 2 2" xfId="4" xr:uid="{00000000-0005-0000-0000-000002000000}"/>
    <cellStyle name="Comma 2 5 5 2" xfId="12" xr:uid="{116127EA-29F4-4314-8EC5-4A27D33D26D0}"/>
    <cellStyle name="Comma 2 5 8" xfId="9" xr:uid="{D9476BC1-65EA-4FA6-944A-50716B2911EE}"/>
    <cellStyle name="Comma 26" xfId="8" xr:uid="{29B76DCC-CE27-43EC-9F54-7E2108416C72}"/>
    <cellStyle name="Comma 29" xfId="11" xr:uid="{4304C1F9-79E9-4716-8CB0-B6EF982D0E5D}"/>
    <cellStyle name="Comma 3" xfId="7" xr:uid="{C6EB4EA1-C0F1-4EC4-BD1D-8DD970754877}"/>
    <cellStyle name="Normal" xfId="0" builtinId="0"/>
    <cellStyle name="Normal 19" xfId="10" xr:uid="{FB34420D-7B99-469A-99FA-A65408C019CA}"/>
    <cellStyle name="Normal 2" xfId="2" xr:uid="{00000000-0005-0000-0000-000004000000}"/>
    <cellStyle name="Normal 2 10" xfId="14" xr:uid="{A317B9DB-987D-484D-B8E6-EFEE30D5FC99}"/>
    <cellStyle name="Normal 2 2" xfId="5" xr:uid="{00000000-0005-0000-0000-000005000000}"/>
    <cellStyle name="Normal 3" xfId="16" xr:uid="{EEE3766A-C377-404A-AE6A-5369C1BFC66C}"/>
    <cellStyle name="Normal 4" xfId="6" xr:uid="{00000000-0005-0000-0000-000006000000}"/>
    <cellStyle name="Percent" xfId="15" builtinId="5"/>
  </cellStyles>
  <dxfs count="0"/>
  <tableStyles count="0" defaultTableStyle="TableStyleMedium9" defaultPivotStyle="PivotStyleLight16"/>
  <colors>
    <mruColors>
      <color rgb="FF0000FF"/>
      <color rgb="FF0000CC"/>
      <color rgb="FFFFFF99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yahidhalid\Syahid_PC\Analytics%20-%20ITD\10.%20Python%20-%20ARRD%20Upload\ARRD-MIA&amp;amp;RATE%20OCT25.xlsx" TargetMode="External"/><Relationship Id="rId1" Type="http://schemas.openxmlformats.org/officeDocument/2006/relationships/externalLinkPath" Target="ARRD-MIA&amp;amp;RATE%20OCT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IA&amp;RATE-CONV-OCT25"/>
      <sheetName val="MIA&amp;RATE-ISLAMIC-OCT25"/>
    </sheetNames>
    <sheetDataSet>
      <sheetData sheetId="0">
        <row r="6">
          <cell r="D6" t="str">
            <v>CODE</v>
          </cell>
          <cell r="E6" t="str">
            <v>Effective cost of borrowings</v>
          </cell>
          <cell r="F6" t="str">
            <v>Interest Margin</v>
          </cell>
          <cell r="G6" t="str">
            <v>Profit/Interest Rate</v>
          </cell>
          <cell r="H6" t="str">
            <v>Penalty Rate</v>
          </cell>
        </row>
        <row r="8">
          <cell r="D8">
            <v>500758</v>
          </cell>
          <cell r="E8" t="str">
            <v>FIXED</v>
          </cell>
          <cell r="F8">
            <v>0</v>
          </cell>
          <cell r="G8">
            <v>3</v>
          </cell>
          <cell r="H8">
            <v>0.01</v>
          </cell>
        </row>
        <row r="9">
          <cell r="D9">
            <v>500512</v>
          </cell>
          <cell r="E9" t="str">
            <v>FIXED</v>
          </cell>
          <cell r="F9">
            <v>0</v>
          </cell>
          <cell r="G9">
            <v>6</v>
          </cell>
          <cell r="H9">
            <v>0.01</v>
          </cell>
        </row>
        <row r="10">
          <cell r="D10">
            <v>100374</v>
          </cell>
          <cell r="E10" t="str">
            <v>COF</v>
          </cell>
          <cell r="F10">
            <v>1.75</v>
          </cell>
          <cell r="G10">
            <v>8.08</v>
          </cell>
          <cell r="H10">
            <v>0.02</v>
          </cell>
        </row>
        <row r="11">
          <cell r="D11">
            <v>501000</v>
          </cell>
          <cell r="E11" t="str">
            <v>COF</v>
          </cell>
          <cell r="F11">
            <v>2</v>
          </cell>
          <cell r="G11">
            <v>6.52</v>
          </cell>
          <cell r="H11">
            <v>6.5199999999999994E-2</v>
          </cell>
        </row>
        <row r="12">
          <cell r="D12">
            <v>500274</v>
          </cell>
          <cell r="E12" t="str">
            <v>3MLIBOR</v>
          </cell>
          <cell r="F12">
            <v>3</v>
          </cell>
          <cell r="G12">
            <v>9.19</v>
          </cell>
          <cell r="H12">
            <v>0.01</v>
          </cell>
        </row>
        <row r="13">
          <cell r="D13">
            <v>500776</v>
          </cell>
          <cell r="E13" t="str">
            <v>FIXED</v>
          </cell>
          <cell r="F13">
            <v>2.25</v>
          </cell>
          <cell r="G13">
            <v>6.5640000000000001</v>
          </cell>
          <cell r="H13">
            <v>8.5640999999999995E-2</v>
          </cell>
        </row>
        <row r="14">
          <cell r="D14">
            <v>500781</v>
          </cell>
          <cell r="E14" t="str">
            <v>FIXED</v>
          </cell>
          <cell r="F14">
            <v>2.25</v>
          </cell>
          <cell r="G14">
            <v>6.5640000000000001</v>
          </cell>
          <cell r="H14">
            <v>8.5640999999999995E-2</v>
          </cell>
        </row>
        <row r="15">
          <cell r="D15">
            <v>500914</v>
          </cell>
          <cell r="E15" t="str">
            <v>COF</v>
          </cell>
          <cell r="F15">
            <v>2.25</v>
          </cell>
          <cell r="G15">
            <v>8.43</v>
          </cell>
          <cell r="H15">
            <v>0.01</v>
          </cell>
        </row>
        <row r="16">
          <cell r="D16">
            <v>500557</v>
          </cell>
          <cell r="E16" t="str">
            <v>3M LIBOR</v>
          </cell>
          <cell r="F16">
            <v>3.5</v>
          </cell>
          <cell r="G16">
            <v>9.69</v>
          </cell>
          <cell r="H16">
            <v>0.01</v>
          </cell>
        </row>
        <row r="17">
          <cell r="D17">
            <v>500558</v>
          </cell>
          <cell r="E17" t="str">
            <v>3M LIBOR</v>
          </cell>
          <cell r="F17">
            <v>3.5</v>
          </cell>
          <cell r="G17">
            <v>9.69</v>
          </cell>
          <cell r="H17">
            <v>0.01</v>
          </cell>
        </row>
        <row r="18">
          <cell r="D18">
            <v>500538</v>
          </cell>
          <cell r="E18" t="str">
            <v>COF</v>
          </cell>
          <cell r="F18">
            <v>3.5</v>
          </cell>
          <cell r="G18">
            <v>9.83</v>
          </cell>
          <cell r="H18">
            <v>0.01</v>
          </cell>
        </row>
        <row r="19">
          <cell r="D19">
            <v>500010</v>
          </cell>
          <cell r="E19" t="str">
            <v>3M LIBOR</v>
          </cell>
          <cell r="F19">
            <v>0</v>
          </cell>
          <cell r="G19">
            <v>2.75</v>
          </cell>
          <cell r="H19">
            <v>0.01</v>
          </cell>
        </row>
        <row r="20">
          <cell r="D20">
            <v>500011</v>
          </cell>
          <cell r="E20" t="str">
            <v>3M LIBOR</v>
          </cell>
          <cell r="F20">
            <v>0</v>
          </cell>
          <cell r="G20">
            <v>2.75</v>
          </cell>
          <cell r="H20">
            <v>0.01</v>
          </cell>
        </row>
        <row r="21">
          <cell r="D21">
            <v>500042</v>
          </cell>
          <cell r="E21" t="str">
            <v>3M LIBOR</v>
          </cell>
          <cell r="F21">
            <v>3</v>
          </cell>
          <cell r="G21">
            <v>9.39</v>
          </cell>
          <cell r="H21">
            <v>0.01</v>
          </cell>
        </row>
        <row r="22">
          <cell r="D22">
            <v>500039</v>
          </cell>
          <cell r="E22" t="str">
            <v>1M LIBOR</v>
          </cell>
          <cell r="F22">
            <v>3</v>
          </cell>
          <cell r="G22">
            <v>3</v>
          </cell>
          <cell r="H22">
            <v>0.01</v>
          </cell>
        </row>
        <row r="23">
          <cell r="D23">
            <v>500265</v>
          </cell>
          <cell r="E23" t="str">
            <v>3M LIBOR</v>
          </cell>
          <cell r="F23">
            <v>3</v>
          </cell>
          <cell r="G23">
            <v>9.33</v>
          </cell>
          <cell r="H23">
            <v>0.01</v>
          </cell>
        </row>
        <row r="24">
          <cell r="D24">
            <v>500913</v>
          </cell>
          <cell r="E24" t="str">
            <v>1M LIBOR</v>
          </cell>
          <cell r="F24">
            <v>2.5</v>
          </cell>
          <cell r="G24">
            <v>8.85</v>
          </cell>
          <cell r="H24">
            <v>0.01</v>
          </cell>
        </row>
        <row r="25">
          <cell r="D25">
            <v>500918</v>
          </cell>
          <cell r="E25" t="str">
            <v>1M LIBOR</v>
          </cell>
          <cell r="F25">
            <v>2.5</v>
          </cell>
          <cell r="G25">
            <v>0</v>
          </cell>
          <cell r="H25">
            <v>0.01</v>
          </cell>
        </row>
        <row r="26">
          <cell r="D26">
            <v>501045</v>
          </cell>
        </row>
        <row r="27">
          <cell r="D27">
            <v>500885</v>
          </cell>
          <cell r="E27" t="str">
            <v>3M LIBOR</v>
          </cell>
          <cell r="F27">
            <v>2</v>
          </cell>
          <cell r="G27">
            <v>8.39</v>
          </cell>
          <cell r="H27">
            <v>0.01</v>
          </cell>
        </row>
        <row r="28">
          <cell r="D28">
            <v>500883</v>
          </cell>
          <cell r="E28" t="str">
            <v>COF</v>
          </cell>
          <cell r="F28">
            <v>3</v>
          </cell>
          <cell r="G28">
            <v>9.35</v>
          </cell>
          <cell r="H28">
            <v>0.01</v>
          </cell>
        </row>
        <row r="29">
          <cell r="D29">
            <v>500884</v>
          </cell>
          <cell r="E29" t="str">
            <v>COF</v>
          </cell>
          <cell r="F29">
            <v>3</v>
          </cell>
          <cell r="G29">
            <v>9.35</v>
          </cell>
          <cell r="H29">
            <v>0.01</v>
          </cell>
        </row>
        <row r="30">
          <cell r="D30">
            <v>501294</v>
          </cell>
          <cell r="E30" t="str">
            <v>FIXED</v>
          </cell>
          <cell r="F30">
            <v>0</v>
          </cell>
          <cell r="G30">
            <v>4.4999999999999998E-2</v>
          </cell>
          <cell r="H30">
            <v>0</v>
          </cell>
        </row>
        <row r="31">
          <cell r="D31">
            <v>501295</v>
          </cell>
          <cell r="E31" t="str">
            <v>FIXED</v>
          </cell>
          <cell r="F31">
            <v>0</v>
          </cell>
          <cell r="G31">
            <v>4.4999999999999998E-2</v>
          </cell>
          <cell r="H31">
            <v>0</v>
          </cell>
        </row>
        <row r="32">
          <cell r="D32">
            <v>501296</v>
          </cell>
          <cell r="E32" t="str">
            <v>FIXED</v>
          </cell>
          <cell r="F32">
            <v>0</v>
          </cell>
          <cell r="G32">
            <v>0.02</v>
          </cell>
          <cell r="H32">
            <v>0</v>
          </cell>
        </row>
        <row r="33">
          <cell r="D33">
            <v>500980</v>
          </cell>
          <cell r="E33" t="str">
            <v>1M LIBOR</v>
          </cell>
          <cell r="F33">
            <v>4.2</v>
          </cell>
          <cell r="G33">
            <v>10.38</v>
          </cell>
          <cell r="H33">
            <v>0.01</v>
          </cell>
        </row>
        <row r="34">
          <cell r="D34">
            <v>500522</v>
          </cell>
          <cell r="E34" t="str">
            <v>3M LIBOR</v>
          </cell>
          <cell r="F34">
            <v>0</v>
          </cell>
          <cell r="G34">
            <v>0</v>
          </cell>
          <cell r="H34">
            <v>0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W191"/>
  <sheetViews>
    <sheetView showGridLines="0" zoomScale="60" zoomScaleNormal="60" zoomScaleSheetLayoutView="10" workbookViewId="0">
      <pane xSplit="2" ySplit="8" topLeftCell="C9" activePane="bottomRight" state="frozen"/>
      <selection pane="topRight" activeCell="C1" sqref="C1"/>
      <selection pane="bottomLeft" activeCell="A9" sqref="A9"/>
      <selection pane="bottomRight" activeCell="L13" sqref="L13"/>
    </sheetView>
  </sheetViews>
  <sheetFormatPr defaultColWidth="9.140625" defaultRowHeight="67.5" customHeight="1" x14ac:dyDescent="0.25"/>
  <cols>
    <col min="1" max="1" width="7.28515625" style="11" customWidth="1"/>
    <col min="2" max="2" width="54.42578125" style="6" customWidth="1"/>
    <col min="3" max="3" width="15.85546875" style="3" customWidth="1"/>
    <col min="4" max="4" width="16.28515625" style="11" customWidth="1"/>
    <col min="5" max="5" width="37.28515625" style="11" customWidth="1"/>
    <col min="6" max="6" width="40" style="11" customWidth="1"/>
    <col min="7" max="7" width="16.7109375" style="2" customWidth="1"/>
    <col min="8" max="9" width="16.7109375" style="11" customWidth="1"/>
    <col min="10" max="10" width="4.7109375" style="6" customWidth="1"/>
    <col min="11" max="11" width="24.7109375" style="6" customWidth="1"/>
    <col min="12" max="13" width="18.85546875" style="6" customWidth="1"/>
    <col min="14" max="14" width="13.42578125" style="6" bestFit="1" customWidth="1"/>
    <col min="15" max="16" width="13.42578125" style="6" customWidth="1"/>
    <col min="17" max="19" width="17.5703125" style="6" customWidth="1"/>
    <col min="20" max="20" width="15" style="6" customWidth="1"/>
    <col min="21" max="21" width="17.140625" style="6" customWidth="1"/>
    <col min="22" max="22" width="18.140625" style="6" customWidth="1"/>
    <col min="23" max="23" width="19.5703125" style="6" customWidth="1"/>
    <col min="24" max="24" width="9.140625" style="6"/>
    <col min="25" max="25" width="16.42578125" style="6" customWidth="1"/>
    <col min="26" max="16384" width="9.140625" style="6"/>
  </cols>
  <sheetData>
    <row r="1" spans="1:23" s="1" customFormat="1" ht="29.45" customHeight="1" x14ac:dyDescent="0.25">
      <c r="A1" s="21"/>
      <c r="B1" s="21" t="s">
        <v>0</v>
      </c>
      <c r="C1" s="97" t="s">
        <v>1</v>
      </c>
      <c r="D1" s="97"/>
      <c r="E1" s="97"/>
      <c r="F1" s="21"/>
      <c r="G1" s="21"/>
    </row>
    <row r="2" spans="1:23" s="1" customFormat="1" ht="29.45" customHeight="1" x14ac:dyDescent="0.25">
      <c r="A2" s="21"/>
      <c r="B2" s="21" t="s">
        <v>2</v>
      </c>
      <c r="C2" s="23" t="s">
        <v>3</v>
      </c>
      <c r="D2" s="23"/>
      <c r="E2" s="23"/>
      <c r="F2" s="21"/>
      <c r="G2" s="21"/>
    </row>
    <row r="3" spans="1:23" s="1" customFormat="1" ht="29.45" customHeight="1" x14ac:dyDescent="0.25">
      <c r="A3" s="21"/>
      <c r="B3" s="21" t="s">
        <v>4</v>
      </c>
      <c r="C3" s="98" t="s">
        <v>5</v>
      </c>
      <c r="D3" s="98"/>
      <c r="E3" s="98"/>
      <c r="F3" s="21"/>
      <c r="G3" s="25"/>
    </row>
    <row r="4" spans="1:23" s="1" customFormat="1" ht="29.45" customHeight="1" x14ac:dyDescent="0.25">
      <c r="A4" s="21"/>
      <c r="B4" s="21" t="s">
        <v>6</v>
      </c>
      <c r="C4" s="98">
        <v>2025</v>
      </c>
      <c r="D4" s="98"/>
      <c r="E4" s="98"/>
      <c r="F4" s="21"/>
      <c r="G4" s="26"/>
    </row>
    <row r="5" spans="1:23" s="1" customFormat="1" ht="29.45" customHeight="1" x14ac:dyDescent="0.25">
      <c r="A5" s="21"/>
      <c r="B5" s="21" t="s">
        <v>7</v>
      </c>
      <c r="C5" s="98" t="s">
        <v>212</v>
      </c>
      <c r="D5" s="98"/>
      <c r="E5" s="98"/>
      <c r="F5" s="21"/>
      <c r="G5" s="21"/>
    </row>
    <row r="6" spans="1:23" s="1" customFormat="1" ht="29.45" customHeight="1" x14ac:dyDescent="0.25">
      <c r="A6" s="21"/>
      <c r="B6" s="21" t="s">
        <v>8</v>
      </c>
      <c r="C6" s="98">
        <v>330814001</v>
      </c>
      <c r="D6" s="98"/>
      <c r="E6" s="98"/>
      <c r="F6" s="21"/>
      <c r="G6" s="21"/>
    </row>
    <row r="7" spans="1:23" s="5" customFormat="1" ht="29.45" customHeight="1" x14ac:dyDescent="0.25">
      <c r="A7" s="4"/>
      <c r="B7" s="30"/>
      <c r="C7" s="31"/>
      <c r="D7" s="4"/>
      <c r="E7" s="4"/>
      <c r="F7" s="4"/>
      <c r="G7" s="4"/>
      <c r="H7" s="100"/>
      <c r="I7" s="100"/>
    </row>
    <row r="8" spans="1:23" s="36" customFormat="1" ht="109.15" customHeight="1" x14ac:dyDescent="0.25">
      <c r="A8" s="37" t="s">
        <v>9</v>
      </c>
      <c r="B8" s="37" t="s">
        <v>10</v>
      </c>
      <c r="C8" s="38" t="s">
        <v>11</v>
      </c>
      <c r="D8" s="38" t="s">
        <v>12</v>
      </c>
      <c r="E8" s="38" t="s">
        <v>13</v>
      </c>
      <c r="F8" s="39" t="s">
        <v>14</v>
      </c>
      <c r="G8" s="32" t="s">
        <v>15</v>
      </c>
      <c r="H8" s="33" t="s">
        <v>16</v>
      </c>
      <c r="I8" s="34" t="s">
        <v>17</v>
      </c>
      <c r="J8" s="35"/>
      <c r="K8" s="35"/>
      <c r="L8" s="35"/>
      <c r="M8" s="35"/>
    </row>
    <row r="9" spans="1:23" s="49" customFormat="1" ht="33" customHeight="1" x14ac:dyDescent="0.25">
      <c r="A9" s="42">
        <v>1</v>
      </c>
      <c r="B9" s="43" t="s">
        <v>18</v>
      </c>
      <c r="C9" s="44">
        <v>500758</v>
      </c>
      <c r="D9" s="44" t="s">
        <v>19</v>
      </c>
      <c r="E9" s="44" t="s">
        <v>20</v>
      </c>
      <c r="F9" s="44" t="s">
        <v>20</v>
      </c>
      <c r="G9" s="45">
        <v>45930</v>
      </c>
      <c r="H9" s="46">
        <v>100</v>
      </c>
      <c r="I9" s="46">
        <v>100</v>
      </c>
      <c r="J9" s="47"/>
      <c r="K9" s="47"/>
      <c r="L9" s="47"/>
      <c r="M9" s="47"/>
      <c r="N9" s="48"/>
      <c r="O9" s="48"/>
      <c r="P9" s="48"/>
      <c r="Q9" s="48"/>
      <c r="R9" s="48"/>
      <c r="S9" s="48"/>
      <c r="T9" s="48"/>
      <c r="U9" s="48"/>
      <c r="V9" s="48"/>
      <c r="W9" s="48"/>
    </row>
    <row r="10" spans="1:23" s="49" customFormat="1" ht="33" customHeight="1" x14ac:dyDescent="0.25">
      <c r="A10" s="42">
        <v>2</v>
      </c>
      <c r="B10" s="43" t="s">
        <v>21</v>
      </c>
      <c r="C10" s="44">
        <v>500771</v>
      </c>
      <c r="D10" s="44" t="s">
        <v>19</v>
      </c>
      <c r="E10" s="44" t="s">
        <v>22</v>
      </c>
      <c r="F10" s="44" t="s">
        <v>23</v>
      </c>
      <c r="G10" s="45">
        <v>45930</v>
      </c>
      <c r="H10" s="46">
        <v>51</v>
      </c>
      <c r="I10" s="46">
        <v>51</v>
      </c>
      <c r="J10" s="50"/>
      <c r="K10" s="47"/>
      <c r="L10" s="50"/>
      <c r="M10" s="50"/>
      <c r="N10" s="48"/>
      <c r="O10" s="48"/>
      <c r="P10" s="48"/>
      <c r="Q10" s="48"/>
      <c r="R10" s="48"/>
      <c r="S10" s="48"/>
      <c r="T10" s="48"/>
      <c r="U10" s="48"/>
      <c r="V10" s="48"/>
      <c r="W10" s="48"/>
    </row>
    <row r="11" spans="1:23" s="49" customFormat="1" ht="33" customHeight="1" x14ac:dyDescent="0.25">
      <c r="A11" s="42">
        <v>3</v>
      </c>
      <c r="B11" s="43" t="s">
        <v>24</v>
      </c>
      <c r="C11" s="44">
        <v>500512</v>
      </c>
      <c r="D11" s="44" t="s">
        <v>19</v>
      </c>
      <c r="E11" s="44" t="s">
        <v>25</v>
      </c>
      <c r="F11" s="44" t="s">
        <v>25</v>
      </c>
      <c r="G11" s="45">
        <v>45930</v>
      </c>
      <c r="H11" s="46">
        <v>100</v>
      </c>
      <c r="I11" s="46">
        <v>50</v>
      </c>
      <c r="J11" s="50"/>
      <c r="K11" s="47"/>
      <c r="L11" s="50"/>
      <c r="M11" s="50"/>
      <c r="N11" s="48"/>
      <c r="O11" s="48"/>
      <c r="P11" s="48"/>
      <c r="Q11" s="48"/>
      <c r="R11" s="48"/>
      <c r="S11" s="48"/>
      <c r="T11" s="48"/>
      <c r="U11" s="48"/>
      <c r="V11" s="48"/>
      <c r="W11" s="48"/>
    </row>
    <row r="12" spans="1:23" s="49" customFormat="1" ht="33" customHeight="1" x14ac:dyDescent="0.25">
      <c r="A12" s="42">
        <v>4</v>
      </c>
      <c r="B12" s="43" t="s">
        <v>31</v>
      </c>
      <c r="C12" s="44">
        <v>0</v>
      </c>
      <c r="D12" s="44" t="s">
        <v>27</v>
      </c>
      <c r="E12" s="51" t="s">
        <v>32</v>
      </c>
      <c r="F12" s="51" t="s">
        <v>33</v>
      </c>
      <c r="G12" s="45">
        <v>45930</v>
      </c>
      <c r="H12" s="46">
        <v>34</v>
      </c>
      <c r="I12" s="46">
        <v>0</v>
      </c>
      <c r="J12" s="50"/>
      <c r="K12" s="47"/>
      <c r="L12" s="50"/>
      <c r="M12" s="50"/>
      <c r="N12" s="48"/>
      <c r="O12" s="48"/>
      <c r="P12" s="48"/>
      <c r="Q12" s="48"/>
      <c r="R12" s="48"/>
      <c r="S12" s="48"/>
      <c r="T12" s="48"/>
      <c r="U12" s="48"/>
      <c r="V12" s="48"/>
      <c r="W12" s="48"/>
    </row>
    <row r="13" spans="1:23" s="52" customFormat="1" ht="33" customHeight="1" x14ac:dyDescent="0.2">
      <c r="A13" s="42">
        <v>5</v>
      </c>
      <c r="B13" s="43" t="s">
        <v>31</v>
      </c>
      <c r="C13" s="44">
        <v>0</v>
      </c>
      <c r="D13" s="44" t="s">
        <v>27</v>
      </c>
      <c r="E13" s="51" t="s">
        <v>32</v>
      </c>
      <c r="F13" s="51" t="s">
        <v>34</v>
      </c>
      <c r="G13" s="45">
        <v>45930</v>
      </c>
      <c r="H13" s="46">
        <v>0</v>
      </c>
      <c r="I13" s="46">
        <v>0</v>
      </c>
      <c r="N13" s="53"/>
      <c r="O13" s="53"/>
      <c r="P13" s="53"/>
      <c r="Q13" s="53"/>
      <c r="R13" s="53"/>
      <c r="S13" s="53"/>
    </row>
    <row r="14" spans="1:23" s="49" customFormat="1" ht="33" customHeight="1" x14ac:dyDescent="0.25">
      <c r="A14" s="42">
        <v>6</v>
      </c>
      <c r="B14" s="43" t="s">
        <v>31</v>
      </c>
      <c r="C14" s="44">
        <v>0</v>
      </c>
      <c r="D14" s="44" t="s">
        <v>27</v>
      </c>
      <c r="E14" s="51" t="s">
        <v>32</v>
      </c>
      <c r="F14" s="51" t="s">
        <v>35</v>
      </c>
      <c r="G14" s="45">
        <v>45930</v>
      </c>
      <c r="H14" s="46">
        <v>0</v>
      </c>
      <c r="I14" s="46">
        <v>0</v>
      </c>
      <c r="J14" s="50"/>
      <c r="K14" s="47"/>
      <c r="L14" s="50"/>
      <c r="M14" s="50"/>
      <c r="N14" s="48"/>
      <c r="O14" s="48"/>
      <c r="P14" s="48"/>
      <c r="Q14" s="48"/>
      <c r="R14" s="48"/>
      <c r="S14" s="48"/>
      <c r="V14" s="48"/>
      <c r="W14" s="48"/>
    </row>
    <row r="15" spans="1:23" s="49" customFormat="1" ht="33" customHeight="1" x14ac:dyDescent="0.25">
      <c r="A15" s="42">
        <v>7</v>
      </c>
      <c r="B15" s="54" t="s">
        <v>36</v>
      </c>
      <c r="C15" s="44">
        <v>501000</v>
      </c>
      <c r="D15" s="44" t="s">
        <v>19</v>
      </c>
      <c r="E15" s="44" t="s">
        <v>37</v>
      </c>
      <c r="F15" s="44" t="s">
        <v>37</v>
      </c>
      <c r="G15" s="45">
        <v>45930</v>
      </c>
      <c r="H15" s="46">
        <v>78</v>
      </c>
      <c r="I15" s="46">
        <v>78</v>
      </c>
      <c r="J15" s="50"/>
      <c r="K15" s="47"/>
      <c r="L15" s="50"/>
      <c r="M15" s="50"/>
      <c r="N15" s="48"/>
      <c r="O15" s="48"/>
      <c r="P15" s="48"/>
      <c r="Q15" s="48"/>
      <c r="R15" s="48"/>
      <c r="S15" s="48"/>
      <c r="V15" s="48"/>
      <c r="W15" s="48"/>
    </row>
    <row r="16" spans="1:23" s="49" customFormat="1" ht="33" customHeight="1" x14ac:dyDescent="0.25">
      <c r="A16" s="42">
        <v>8</v>
      </c>
      <c r="B16" s="54" t="s">
        <v>38</v>
      </c>
      <c r="C16" s="44">
        <v>500850</v>
      </c>
      <c r="D16" s="44" t="s">
        <v>19</v>
      </c>
      <c r="E16" s="44" t="s">
        <v>39</v>
      </c>
      <c r="F16" s="44" t="s">
        <v>39</v>
      </c>
      <c r="G16" s="45">
        <v>45930</v>
      </c>
      <c r="H16" s="46">
        <v>88</v>
      </c>
      <c r="I16" s="46">
        <v>99</v>
      </c>
      <c r="J16" s="50"/>
      <c r="K16" s="47"/>
      <c r="L16" s="50"/>
      <c r="M16" s="50"/>
      <c r="N16" s="48"/>
      <c r="O16" s="48"/>
      <c r="P16" s="48"/>
      <c r="Q16" s="48"/>
      <c r="R16" s="48"/>
      <c r="S16" s="48"/>
      <c r="V16" s="48"/>
      <c r="W16" s="48"/>
    </row>
    <row r="17" spans="1:19" s="52" customFormat="1" ht="33" customHeight="1" x14ac:dyDescent="0.2">
      <c r="A17" s="42">
        <v>9</v>
      </c>
      <c r="B17" s="55" t="s">
        <v>40</v>
      </c>
      <c r="C17" s="44">
        <v>500676</v>
      </c>
      <c r="D17" s="44" t="s">
        <v>19</v>
      </c>
      <c r="E17" s="56" t="s">
        <v>41</v>
      </c>
      <c r="F17" s="56" t="s">
        <v>41</v>
      </c>
      <c r="G17" s="45">
        <v>45930</v>
      </c>
      <c r="H17" s="46">
        <v>120</v>
      </c>
      <c r="I17" s="46">
        <v>99</v>
      </c>
      <c r="N17" s="53"/>
      <c r="O17" s="53"/>
      <c r="P17" s="53"/>
      <c r="Q17" s="53"/>
      <c r="R17" s="53"/>
      <c r="S17" s="53"/>
    </row>
    <row r="18" spans="1:19" s="52" customFormat="1" ht="33" customHeight="1" x14ac:dyDescent="0.2">
      <c r="A18" s="42">
        <v>10</v>
      </c>
      <c r="B18" s="55" t="s">
        <v>42</v>
      </c>
      <c r="C18" s="44">
        <v>500910</v>
      </c>
      <c r="D18" s="44" t="s">
        <v>19</v>
      </c>
      <c r="E18" s="56" t="s">
        <v>43</v>
      </c>
      <c r="F18" s="56" t="s">
        <v>44</v>
      </c>
      <c r="G18" s="45">
        <v>45930</v>
      </c>
      <c r="H18" s="46">
        <v>85</v>
      </c>
      <c r="I18" s="46">
        <v>85</v>
      </c>
      <c r="N18" s="53"/>
      <c r="O18" s="53"/>
      <c r="P18" s="53"/>
      <c r="Q18" s="53"/>
      <c r="R18" s="53"/>
      <c r="S18" s="53"/>
    </row>
    <row r="19" spans="1:19" s="57" customFormat="1" ht="33" customHeight="1" x14ac:dyDescent="0.25">
      <c r="A19" s="42">
        <v>11</v>
      </c>
      <c r="B19" s="55" t="s">
        <v>45</v>
      </c>
      <c r="C19" s="44">
        <v>500692</v>
      </c>
      <c r="D19" s="44" t="s">
        <v>27</v>
      </c>
      <c r="E19" s="56" t="s">
        <v>46</v>
      </c>
      <c r="F19" s="56" t="s">
        <v>47</v>
      </c>
      <c r="G19" s="45">
        <v>45930</v>
      </c>
      <c r="H19" s="46">
        <v>85</v>
      </c>
      <c r="I19" s="46">
        <v>8</v>
      </c>
      <c r="N19" s="58"/>
      <c r="O19" s="58"/>
      <c r="P19" s="58"/>
      <c r="Q19" s="58"/>
      <c r="R19" s="58"/>
      <c r="S19" s="58"/>
    </row>
    <row r="20" spans="1:19" s="57" customFormat="1" ht="33" customHeight="1" x14ac:dyDescent="0.25">
      <c r="A20" s="42">
        <v>13</v>
      </c>
      <c r="B20" s="55" t="s">
        <v>54</v>
      </c>
      <c r="C20" s="56">
        <v>500879</v>
      </c>
      <c r="D20" s="44" t="s">
        <v>19</v>
      </c>
      <c r="E20" s="56" t="s">
        <v>55</v>
      </c>
      <c r="F20" s="56" t="s">
        <v>55</v>
      </c>
      <c r="G20" s="45">
        <v>45930</v>
      </c>
      <c r="H20" s="46">
        <v>78</v>
      </c>
      <c r="I20" s="46">
        <v>78</v>
      </c>
      <c r="N20" s="58"/>
      <c r="O20" s="58"/>
      <c r="P20" s="58"/>
      <c r="Q20" s="58"/>
      <c r="R20" s="58"/>
      <c r="S20" s="58"/>
    </row>
    <row r="21" spans="1:19" s="52" customFormat="1" ht="33" customHeight="1" x14ac:dyDescent="0.2">
      <c r="A21" s="42">
        <v>14</v>
      </c>
      <c r="B21" s="55" t="s">
        <v>56</v>
      </c>
      <c r="C21" s="56">
        <v>500274</v>
      </c>
      <c r="D21" s="44" t="s">
        <v>19</v>
      </c>
      <c r="E21" s="56" t="s">
        <v>57</v>
      </c>
      <c r="F21" s="56" t="s">
        <v>57</v>
      </c>
      <c r="G21" s="45">
        <v>45930</v>
      </c>
      <c r="H21" s="46">
        <v>150</v>
      </c>
      <c r="I21" s="46">
        <v>99</v>
      </c>
      <c r="N21" s="53"/>
      <c r="O21" s="53"/>
      <c r="P21" s="53"/>
      <c r="Q21" s="53"/>
      <c r="R21" s="53"/>
      <c r="S21" s="53"/>
    </row>
    <row r="22" spans="1:19" s="52" customFormat="1" ht="33" customHeight="1" x14ac:dyDescent="0.2">
      <c r="A22" s="42">
        <v>15</v>
      </c>
      <c r="B22" s="55" t="s">
        <v>58</v>
      </c>
      <c r="C22" s="56">
        <v>500776</v>
      </c>
      <c r="D22" s="44" t="s">
        <v>19</v>
      </c>
      <c r="E22" s="56" t="s">
        <v>59</v>
      </c>
      <c r="F22" s="56" t="s">
        <v>59</v>
      </c>
      <c r="G22" s="45">
        <v>45930</v>
      </c>
      <c r="H22" s="46">
        <v>79</v>
      </c>
      <c r="I22" s="46">
        <v>99</v>
      </c>
      <c r="N22" s="53"/>
      <c r="O22" s="53"/>
      <c r="P22" s="53"/>
      <c r="Q22" s="53"/>
      <c r="R22" s="53"/>
      <c r="S22" s="53"/>
    </row>
    <row r="23" spans="1:19" s="52" customFormat="1" ht="33" customHeight="1" x14ac:dyDescent="0.2">
      <c r="A23" s="42">
        <v>16</v>
      </c>
      <c r="B23" s="55" t="s">
        <v>58</v>
      </c>
      <c r="C23" s="56">
        <v>500781</v>
      </c>
      <c r="D23" s="44" t="s">
        <v>19</v>
      </c>
      <c r="E23" s="56" t="s">
        <v>60</v>
      </c>
      <c r="F23" s="56" t="s">
        <v>60</v>
      </c>
      <c r="G23" s="45">
        <v>45930</v>
      </c>
      <c r="H23" s="46">
        <v>79</v>
      </c>
      <c r="I23" s="46">
        <v>99</v>
      </c>
      <c r="N23" s="53"/>
      <c r="O23" s="53"/>
      <c r="P23" s="53"/>
      <c r="Q23" s="53"/>
      <c r="R23" s="53"/>
      <c r="S23" s="53"/>
    </row>
    <row r="24" spans="1:19" s="52" customFormat="1" ht="33" customHeight="1" x14ac:dyDescent="0.2">
      <c r="A24" s="42">
        <v>17</v>
      </c>
      <c r="B24" s="55" t="s">
        <v>61</v>
      </c>
      <c r="C24" s="56">
        <v>500705</v>
      </c>
      <c r="D24" s="44" t="s">
        <v>19</v>
      </c>
      <c r="E24" s="56" t="s">
        <v>62</v>
      </c>
      <c r="F24" s="56" t="s">
        <v>63</v>
      </c>
      <c r="G24" s="45">
        <v>45930</v>
      </c>
      <c r="H24" s="46">
        <v>129</v>
      </c>
      <c r="I24" s="46">
        <v>32</v>
      </c>
      <c r="N24" s="53"/>
      <c r="O24" s="53"/>
      <c r="P24" s="53"/>
      <c r="Q24" s="53"/>
      <c r="R24" s="53"/>
      <c r="S24" s="53"/>
    </row>
    <row r="25" spans="1:19" s="52" customFormat="1" ht="33" customHeight="1" x14ac:dyDescent="0.2">
      <c r="A25" s="42">
        <v>18</v>
      </c>
      <c r="B25" s="55" t="s">
        <v>66</v>
      </c>
      <c r="C25" s="56">
        <v>501046</v>
      </c>
      <c r="D25" s="44" t="s">
        <v>27</v>
      </c>
      <c r="E25" s="56" t="s">
        <v>67</v>
      </c>
      <c r="F25" s="56" t="s">
        <v>67</v>
      </c>
      <c r="G25" s="45">
        <v>45930</v>
      </c>
      <c r="H25" s="46">
        <v>22</v>
      </c>
      <c r="I25" s="46">
        <v>99</v>
      </c>
      <c r="N25" s="53"/>
      <c r="O25" s="53"/>
      <c r="P25" s="53"/>
      <c r="Q25" s="53"/>
      <c r="R25" s="53"/>
      <c r="S25" s="53"/>
    </row>
    <row r="26" spans="1:19" s="52" customFormat="1" ht="33" customHeight="1" x14ac:dyDescent="0.2">
      <c r="A26" s="42">
        <v>19</v>
      </c>
      <c r="B26" s="55" t="s">
        <v>68</v>
      </c>
      <c r="C26" s="56">
        <v>500722</v>
      </c>
      <c r="D26" s="44" t="s">
        <v>19</v>
      </c>
      <c r="E26" s="56" t="s">
        <v>69</v>
      </c>
      <c r="F26" s="56" t="s">
        <v>70</v>
      </c>
      <c r="G26" s="45">
        <v>45930</v>
      </c>
      <c r="H26" s="46">
        <v>3</v>
      </c>
      <c r="I26" s="46">
        <v>3</v>
      </c>
      <c r="N26" s="53"/>
      <c r="O26" s="53"/>
      <c r="P26" s="53"/>
      <c r="Q26" s="53"/>
      <c r="R26" s="53"/>
      <c r="S26" s="53"/>
    </row>
    <row r="27" spans="1:19" s="52" customFormat="1" ht="33" customHeight="1" x14ac:dyDescent="0.2">
      <c r="A27" s="42">
        <v>20</v>
      </c>
      <c r="B27" s="55" t="s">
        <v>71</v>
      </c>
      <c r="C27" s="56">
        <v>500826</v>
      </c>
      <c r="D27" s="44" t="s">
        <v>19</v>
      </c>
      <c r="E27" s="56" t="s">
        <v>204</v>
      </c>
      <c r="F27" s="56" t="s">
        <v>72</v>
      </c>
      <c r="G27" s="45">
        <v>45930</v>
      </c>
      <c r="H27" s="46">
        <v>100</v>
      </c>
      <c r="I27" s="46">
        <v>99</v>
      </c>
      <c r="N27" s="53"/>
      <c r="O27" s="53"/>
      <c r="P27" s="53"/>
      <c r="Q27" s="53"/>
      <c r="R27" s="53"/>
      <c r="S27" s="53"/>
    </row>
    <row r="28" spans="1:19" s="52" customFormat="1" ht="33" customHeight="1" x14ac:dyDescent="0.2">
      <c r="A28" s="42">
        <v>21</v>
      </c>
      <c r="B28" s="55" t="s">
        <v>75</v>
      </c>
      <c r="C28" s="56">
        <v>500558</v>
      </c>
      <c r="D28" s="44" t="s">
        <v>19</v>
      </c>
      <c r="E28" s="56" t="s">
        <v>76</v>
      </c>
      <c r="F28" s="56" t="s">
        <v>76</v>
      </c>
      <c r="G28" s="45">
        <v>45930</v>
      </c>
      <c r="H28" s="46">
        <v>129</v>
      </c>
      <c r="I28" s="46">
        <v>32</v>
      </c>
      <c r="N28" s="53"/>
      <c r="O28" s="53"/>
      <c r="P28" s="53"/>
      <c r="Q28" s="53"/>
      <c r="R28" s="53"/>
      <c r="S28" s="53"/>
    </row>
    <row r="29" spans="1:19" s="52" customFormat="1" ht="33" customHeight="1" x14ac:dyDescent="0.2">
      <c r="A29" s="42">
        <v>22</v>
      </c>
      <c r="B29" s="55" t="s">
        <v>77</v>
      </c>
      <c r="C29" s="56">
        <v>500557</v>
      </c>
      <c r="D29" s="44" t="s">
        <v>19</v>
      </c>
      <c r="E29" s="56" t="s">
        <v>78</v>
      </c>
      <c r="F29" s="56" t="s">
        <v>78</v>
      </c>
      <c r="G29" s="45">
        <v>45930</v>
      </c>
      <c r="H29" s="46">
        <v>129</v>
      </c>
      <c r="I29" s="46">
        <v>32</v>
      </c>
      <c r="N29" s="53"/>
      <c r="O29" s="53"/>
      <c r="P29" s="53"/>
      <c r="Q29" s="53"/>
      <c r="R29" s="53"/>
      <c r="S29" s="53"/>
    </row>
    <row r="30" spans="1:19" s="52" customFormat="1" ht="33" customHeight="1" x14ac:dyDescent="0.2">
      <c r="A30" s="42">
        <v>23</v>
      </c>
      <c r="B30" s="55" t="s">
        <v>85</v>
      </c>
      <c r="C30" s="56">
        <v>500897</v>
      </c>
      <c r="D30" s="44" t="s">
        <v>19</v>
      </c>
      <c r="E30" s="56" t="s">
        <v>86</v>
      </c>
      <c r="F30" s="56" t="s">
        <v>86</v>
      </c>
      <c r="G30" s="45">
        <v>45930</v>
      </c>
      <c r="H30" s="46">
        <v>74</v>
      </c>
      <c r="I30" s="46">
        <v>74</v>
      </c>
      <c r="N30" s="53"/>
      <c r="O30" s="53"/>
      <c r="P30" s="53"/>
      <c r="Q30" s="53"/>
      <c r="R30" s="53"/>
      <c r="S30" s="53"/>
    </row>
    <row r="31" spans="1:19" s="52" customFormat="1" ht="33" customHeight="1" x14ac:dyDescent="0.2">
      <c r="A31" s="42">
        <v>24</v>
      </c>
      <c r="B31" s="55" t="s">
        <v>87</v>
      </c>
      <c r="C31" s="56">
        <v>500010</v>
      </c>
      <c r="D31" s="44" t="s">
        <v>19</v>
      </c>
      <c r="E31" s="56" t="s">
        <v>88</v>
      </c>
      <c r="F31" s="56" t="s">
        <v>88</v>
      </c>
      <c r="G31" s="45">
        <v>45930</v>
      </c>
      <c r="H31" s="46">
        <v>190</v>
      </c>
      <c r="I31" s="46">
        <v>47</v>
      </c>
      <c r="N31" s="53"/>
      <c r="O31" s="53"/>
      <c r="P31" s="53"/>
      <c r="Q31" s="53"/>
      <c r="R31" s="53"/>
      <c r="S31" s="53"/>
    </row>
    <row r="32" spans="1:19" s="52" customFormat="1" ht="33" customHeight="1" x14ac:dyDescent="0.2">
      <c r="A32" s="42">
        <v>25</v>
      </c>
      <c r="B32" s="55" t="s">
        <v>89</v>
      </c>
      <c r="C32" s="56">
        <v>500011</v>
      </c>
      <c r="D32" s="44" t="s">
        <v>19</v>
      </c>
      <c r="E32" s="56" t="s">
        <v>90</v>
      </c>
      <c r="F32" s="56" t="s">
        <v>90</v>
      </c>
      <c r="G32" s="45">
        <v>45930</v>
      </c>
      <c r="H32" s="46">
        <v>191</v>
      </c>
      <c r="I32" s="46">
        <v>47</v>
      </c>
      <c r="N32" s="53"/>
      <c r="O32" s="53"/>
      <c r="P32" s="53"/>
      <c r="Q32" s="53"/>
      <c r="R32" s="53"/>
      <c r="S32" s="53"/>
    </row>
    <row r="33" spans="1:19" s="52" customFormat="1" ht="33" customHeight="1" x14ac:dyDescent="0.2">
      <c r="A33" s="42">
        <v>26</v>
      </c>
      <c r="B33" s="55" t="s">
        <v>91</v>
      </c>
      <c r="C33" s="56">
        <v>500892</v>
      </c>
      <c r="D33" s="44" t="s">
        <v>19</v>
      </c>
      <c r="E33" s="56" t="s">
        <v>92</v>
      </c>
      <c r="F33" s="56" t="s">
        <v>92</v>
      </c>
      <c r="G33" s="45">
        <v>45930</v>
      </c>
      <c r="H33" s="46">
        <v>94</v>
      </c>
      <c r="I33" s="46">
        <v>94</v>
      </c>
      <c r="N33" s="53"/>
      <c r="O33" s="53"/>
      <c r="P33" s="53"/>
      <c r="Q33" s="53"/>
      <c r="R33" s="53"/>
      <c r="S33" s="53"/>
    </row>
    <row r="34" spans="1:19" s="52" customFormat="1" ht="33" customHeight="1" x14ac:dyDescent="0.2">
      <c r="A34" s="42">
        <v>27</v>
      </c>
      <c r="B34" s="55" t="s">
        <v>93</v>
      </c>
      <c r="C34" s="56">
        <v>500042</v>
      </c>
      <c r="D34" s="44" t="s">
        <v>19</v>
      </c>
      <c r="E34" s="56" t="s">
        <v>94</v>
      </c>
      <c r="F34" s="56" t="s">
        <v>95</v>
      </c>
      <c r="G34" s="45">
        <v>45930</v>
      </c>
      <c r="H34" s="46">
        <v>214</v>
      </c>
      <c r="I34" s="46">
        <v>99</v>
      </c>
      <c r="N34" s="53"/>
      <c r="O34" s="53"/>
      <c r="P34" s="53"/>
      <c r="Q34" s="53"/>
      <c r="R34" s="53"/>
      <c r="S34" s="53"/>
    </row>
    <row r="35" spans="1:19" s="52" customFormat="1" ht="33" customHeight="1" x14ac:dyDescent="0.2">
      <c r="A35" s="42">
        <v>28</v>
      </c>
      <c r="B35" s="55" t="s">
        <v>96</v>
      </c>
      <c r="C35" s="56">
        <v>500707</v>
      </c>
      <c r="D35" s="44" t="s">
        <v>19</v>
      </c>
      <c r="E35" s="56" t="s">
        <v>97</v>
      </c>
      <c r="F35" s="56" t="s">
        <v>97</v>
      </c>
      <c r="G35" s="45">
        <v>45930</v>
      </c>
      <c r="H35" s="46">
        <v>111</v>
      </c>
      <c r="I35" s="46">
        <v>27</v>
      </c>
      <c r="N35" s="53"/>
      <c r="O35" s="53"/>
      <c r="P35" s="53"/>
      <c r="Q35" s="53"/>
      <c r="R35" s="53"/>
      <c r="S35" s="53"/>
    </row>
    <row r="36" spans="1:19" s="52" customFormat="1" ht="33" customHeight="1" x14ac:dyDescent="0.2">
      <c r="A36" s="42">
        <v>29</v>
      </c>
      <c r="B36" s="55" t="s">
        <v>98</v>
      </c>
      <c r="C36" s="56">
        <v>500039</v>
      </c>
      <c r="D36" s="44" t="s">
        <v>19</v>
      </c>
      <c r="E36" s="56" t="s">
        <v>99</v>
      </c>
      <c r="F36" s="56" t="s">
        <v>100</v>
      </c>
      <c r="G36" s="45">
        <v>45930</v>
      </c>
      <c r="H36" s="46">
        <v>140</v>
      </c>
      <c r="I36" s="46">
        <v>35</v>
      </c>
      <c r="N36" s="53"/>
      <c r="O36" s="53"/>
      <c r="P36" s="53"/>
      <c r="Q36" s="53"/>
      <c r="R36" s="53"/>
      <c r="S36" s="53"/>
    </row>
    <row r="37" spans="1:19" s="52" customFormat="1" ht="33" customHeight="1" x14ac:dyDescent="0.2">
      <c r="A37" s="42">
        <v>30</v>
      </c>
      <c r="B37" s="55" t="s">
        <v>101</v>
      </c>
      <c r="C37" s="56">
        <v>500265</v>
      </c>
      <c r="D37" s="44" t="s">
        <v>19</v>
      </c>
      <c r="E37" s="56" t="s">
        <v>102</v>
      </c>
      <c r="F37" s="56" t="s">
        <v>103</v>
      </c>
      <c r="G37" s="45">
        <v>45930</v>
      </c>
      <c r="H37" s="46">
        <v>97</v>
      </c>
      <c r="I37" s="46">
        <v>24</v>
      </c>
      <c r="N37" s="53"/>
      <c r="O37" s="53"/>
      <c r="P37" s="53"/>
      <c r="Q37" s="53"/>
      <c r="R37" s="53"/>
      <c r="S37" s="53"/>
    </row>
    <row r="38" spans="1:19" s="52" customFormat="1" ht="33" customHeight="1" x14ac:dyDescent="0.2">
      <c r="A38" s="42">
        <v>31</v>
      </c>
      <c r="B38" s="55" t="s">
        <v>104</v>
      </c>
      <c r="C38" s="56">
        <v>500913</v>
      </c>
      <c r="D38" s="44" t="s">
        <v>19</v>
      </c>
      <c r="E38" s="56" t="s">
        <v>105</v>
      </c>
      <c r="F38" s="56" t="s">
        <v>106</v>
      </c>
      <c r="G38" s="45">
        <v>45930</v>
      </c>
      <c r="H38" s="46">
        <v>0</v>
      </c>
      <c r="I38" s="46">
        <v>0</v>
      </c>
      <c r="N38" s="53"/>
      <c r="O38" s="53"/>
      <c r="P38" s="53"/>
      <c r="Q38" s="53"/>
      <c r="R38" s="53"/>
      <c r="S38" s="53"/>
    </row>
    <row r="39" spans="1:19" s="52" customFormat="1" ht="33" customHeight="1" x14ac:dyDescent="0.2">
      <c r="A39" s="42">
        <v>32</v>
      </c>
      <c r="B39" s="55" t="s">
        <v>107</v>
      </c>
      <c r="C39" s="56">
        <v>500918</v>
      </c>
      <c r="D39" s="44" t="s">
        <v>19</v>
      </c>
      <c r="E39" s="56" t="s">
        <v>108</v>
      </c>
      <c r="F39" s="56" t="s">
        <v>108</v>
      </c>
      <c r="G39" s="45">
        <v>45930</v>
      </c>
      <c r="H39" s="46">
        <v>0</v>
      </c>
      <c r="I39" s="46">
        <v>0</v>
      </c>
      <c r="N39" s="53"/>
      <c r="O39" s="53"/>
      <c r="P39" s="53"/>
      <c r="Q39" s="53"/>
      <c r="R39" s="53"/>
      <c r="S39" s="53"/>
    </row>
    <row r="40" spans="1:19" s="52" customFormat="1" ht="33" customHeight="1" x14ac:dyDescent="0.2">
      <c r="A40" s="42">
        <v>33</v>
      </c>
      <c r="B40" s="55" t="s">
        <v>111</v>
      </c>
      <c r="C40" s="56">
        <v>500883</v>
      </c>
      <c r="D40" s="44" t="s">
        <v>19</v>
      </c>
      <c r="E40" s="56" t="s">
        <v>199</v>
      </c>
      <c r="F40" s="56" t="s">
        <v>112</v>
      </c>
      <c r="G40" s="45">
        <v>45930</v>
      </c>
      <c r="H40" s="46">
        <v>89</v>
      </c>
      <c r="I40" s="46">
        <v>89</v>
      </c>
      <c r="N40" s="53"/>
      <c r="O40" s="53"/>
      <c r="P40" s="53"/>
      <c r="Q40" s="53"/>
      <c r="R40" s="53"/>
      <c r="S40" s="53"/>
    </row>
    <row r="41" spans="1:19" s="52" customFormat="1" ht="33" customHeight="1" x14ac:dyDescent="0.2">
      <c r="A41" s="42">
        <v>34</v>
      </c>
      <c r="B41" s="55" t="s">
        <v>111</v>
      </c>
      <c r="C41" s="56">
        <v>500884</v>
      </c>
      <c r="D41" s="44" t="s">
        <v>19</v>
      </c>
      <c r="E41" s="56" t="s">
        <v>199</v>
      </c>
      <c r="F41" s="56" t="s">
        <v>113</v>
      </c>
      <c r="G41" s="45">
        <v>45930</v>
      </c>
      <c r="H41" s="46">
        <v>89</v>
      </c>
      <c r="I41" s="46">
        <v>89</v>
      </c>
      <c r="N41" s="53"/>
      <c r="O41" s="53"/>
      <c r="P41" s="53"/>
      <c r="Q41" s="53"/>
      <c r="R41" s="53"/>
      <c r="S41" s="53"/>
    </row>
    <row r="42" spans="1:19" s="52" customFormat="1" ht="33" customHeight="1" x14ac:dyDescent="0.2">
      <c r="A42" s="42">
        <v>35</v>
      </c>
      <c r="B42" s="55" t="s">
        <v>114</v>
      </c>
      <c r="C42" s="56">
        <v>500980</v>
      </c>
      <c r="D42" s="44" t="s">
        <v>19</v>
      </c>
      <c r="E42" s="56" t="s">
        <v>115</v>
      </c>
      <c r="F42" s="56" t="s">
        <v>115</v>
      </c>
      <c r="G42" s="45">
        <v>45930</v>
      </c>
      <c r="H42" s="46">
        <v>53</v>
      </c>
      <c r="I42" s="46">
        <v>53</v>
      </c>
      <c r="N42" s="53"/>
      <c r="O42" s="53"/>
      <c r="P42" s="53"/>
      <c r="Q42" s="53"/>
      <c r="R42" s="53"/>
      <c r="S42" s="53"/>
    </row>
    <row r="43" spans="1:19" s="52" customFormat="1" ht="33" customHeight="1" x14ac:dyDescent="0.2">
      <c r="A43" s="42">
        <v>36</v>
      </c>
      <c r="B43" s="55" t="s">
        <v>116</v>
      </c>
      <c r="C43" s="56">
        <v>500522</v>
      </c>
      <c r="D43" s="44" t="s">
        <v>19</v>
      </c>
      <c r="E43" s="56" t="s">
        <v>117</v>
      </c>
      <c r="F43" s="56" t="s">
        <v>118</v>
      </c>
      <c r="G43" s="45">
        <v>45930</v>
      </c>
      <c r="H43" s="46">
        <v>156</v>
      </c>
      <c r="I43" s="46">
        <v>39</v>
      </c>
      <c r="N43" s="53"/>
      <c r="O43" s="53"/>
      <c r="P43" s="53"/>
      <c r="Q43" s="53"/>
      <c r="R43" s="53"/>
      <c r="S43" s="53"/>
    </row>
    <row r="44" spans="1:19" s="52" customFormat="1" ht="33" customHeight="1" x14ac:dyDescent="0.2">
      <c r="A44" s="42">
        <v>37</v>
      </c>
      <c r="B44" s="55" t="s">
        <v>121</v>
      </c>
      <c r="C44" s="56">
        <v>500885</v>
      </c>
      <c r="D44" s="44" t="s">
        <v>19</v>
      </c>
      <c r="E44" s="56" t="s">
        <v>122</v>
      </c>
      <c r="F44" s="56" t="s">
        <v>122</v>
      </c>
      <c r="G44" s="45">
        <v>45930</v>
      </c>
      <c r="H44" s="46">
        <v>46</v>
      </c>
      <c r="I44" s="46">
        <v>15</v>
      </c>
      <c r="N44" s="53"/>
      <c r="O44" s="53"/>
      <c r="P44" s="53"/>
      <c r="Q44" s="53"/>
      <c r="R44" s="53"/>
      <c r="S44" s="53"/>
    </row>
    <row r="45" spans="1:19" s="52" customFormat="1" ht="33" customHeight="1" x14ac:dyDescent="0.2">
      <c r="A45" s="42">
        <v>38</v>
      </c>
      <c r="B45" s="55" t="s">
        <v>123</v>
      </c>
      <c r="C45" s="56">
        <v>500914</v>
      </c>
      <c r="D45" s="44" t="s">
        <v>19</v>
      </c>
      <c r="E45" s="56" t="s">
        <v>124</v>
      </c>
      <c r="F45" s="56" t="s">
        <v>124</v>
      </c>
      <c r="G45" s="45">
        <v>45930</v>
      </c>
      <c r="H45" s="46">
        <v>46</v>
      </c>
      <c r="I45" s="46">
        <v>11</v>
      </c>
      <c r="N45" s="53"/>
      <c r="O45" s="53"/>
      <c r="P45" s="53"/>
      <c r="Q45" s="53"/>
      <c r="R45" s="53"/>
      <c r="S45" s="53"/>
    </row>
    <row r="46" spans="1:19" s="52" customFormat="1" ht="33" customHeight="1" x14ac:dyDescent="0.2">
      <c r="A46" s="42">
        <v>39</v>
      </c>
      <c r="B46" s="55" t="s">
        <v>125</v>
      </c>
      <c r="C46" s="56">
        <v>500947</v>
      </c>
      <c r="D46" s="44" t="s">
        <v>19</v>
      </c>
      <c r="E46" s="56" t="s">
        <v>126</v>
      </c>
      <c r="F46" s="56" t="s">
        <v>126</v>
      </c>
      <c r="G46" s="45">
        <v>45930</v>
      </c>
      <c r="H46" s="46">
        <v>46</v>
      </c>
      <c r="I46" s="46">
        <v>11</v>
      </c>
      <c r="N46" s="53"/>
      <c r="O46" s="53"/>
      <c r="P46" s="53"/>
      <c r="Q46" s="53"/>
      <c r="R46" s="53"/>
      <c r="S46" s="53"/>
    </row>
    <row r="47" spans="1:19" s="52" customFormat="1" ht="33" customHeight="1" x14ac:dyDescent="0.2">
      <c r="A47" s="42">
        <v>41</v>
      </c>
      <c r="B47" s="55" t="s">
        <v>127</v>
      </c>
      <c r="C47" s="56">
        <v>501045</v>
      </c>
      <c r="D47" s="44" t="s">
        <v>19</v>
      </c>
      <c r="E47" s="56" t="s">
        <v>128</v>
      </c>
      <c r="F47" s="56" t="s">
        <v>129</v>
      </c>
      <c r="G47" s="45">
        <v>45930</v>
      </c>
      <c r="H47" s="46">
        <v>34</v>
      </c>
      <c r="I47" s="46">
        <v>6</v>
      </c>
      <c r="N47" s="53"/>
      <c r="O47" s="53"/>
      <c r="P47" s="53"/>
      <c r="Q47" s="53"/>
      <c r="R47" s="53"/>
      <c r="S47" s="53"/>
    </row>
    <row r="48" spans="1:19" s="52" customFormat="1" ht="33" customHeight="1" x14ac:dyDescent="0.2">
      <c r="A48" s="42">
        <v>42</v>
      </c>
      <c r="B48" s="55" t="s">
        <v>130</v>
      </c>
      <c r="C48" s="56">
        <v>501018</v>
      </c>
      <c r="D48" s="44" t="s">
        <v>19</v>
      </c>
      <c r="E48" s="56" t="s">
        <v>131</v>
      </c>
      <c r="F48" s="56" t="s">
        <v>131</v>
      </c>
      <c r="G48" s="45">
        <v>45930</v>
      </c>
      <c r="H48" s="46">
        <v>0</v>
      </c>
      <c r="I48" s="46">
        <v>99</v>
      </c>
      <c r="N48" s="53"/>
      <c r="O48" s="53"/>
      <c r="P48" s="53"/>
      <c r="Q48" s="53"/>
      <c r="R48" s="53"/>
      <c r="S48" s="53"/>
    </row>
    <row r="49" spans="1:19" s="59" customFormat="1" ht="28.15" customHeight="1" x14ac:dyDescent="0.25">
      <c r="A49" s="42">
        <v>43</v>
      </c>
      <c r="B49" s="43" t="s">
        <v>132</v>
      </c>
      <c r="C49" s="44">
        <v>500538</v>
      </c>
      <c r="D49" s="44" t="s">
        <v>27</v>
      </c>
      <c r="E49" s="44" t="s">
        <v>133</v>
      </c>
      <c r="F49" s="44" t="s">
        <v>134</v>
      </c>
      <c r="G49" s="45">
        <v>45930</v>
      </c>
      <c r="H49" s="46">
        <v>36</v>
      </c>
      <c r="I49" s="46">
        <v>88</v>
      </c>
      <c r="N49" s="60"/>
      <c r="O49" s="60"/>
      <c r="P49" s="60"/>
      <c r="Q49" s="60"/>
      <c r="R49" s="60"/>
      <c r="S49" s="60"/>
    </row>
    <row r="50" spans="1:19" s="59" customFormat="1" ht="28.15" customHeight="1" x14ac:dyDescent="0.25">
      <c r="A50" s="42">
        <v>44</v>
      </c>
      <c r="B50" s="43" t="s">
        <v>132</v>
      </c>
      <c r="C50" s="44">
        <v>0</v>
      </c>
      <c r="D50" s="44" t="s">
        <v>27</v>
      </c>
      <c r="E50" s="51" t="s">
        <v>133</v>
      </c>
      <c r="F50" s="51" t="s">
        <v>135</v>
      </c>
      <c r="G50" s="45">
        <v>45930</v>
      </c>
      <c r="H50" s="46">
        <v>0</v>
      </c>
      <c r="I50" s="46">
        <v>0</v>
      </c>
      <c r="N50" s="60"/>
      <c r="O50" s="60"/>
      <c r="P50" s="60"/>
      <c r="Q50" s="60"/>
      <c r="R50" s="60"/>
      <c r="S50" s="60"/>
    </row>
    <row r="51" spans="1:19" s="59" customFormat="1" ht="33" customHeight="1" x14ac:dyDescent="0.25">
      <c r="A51" s="42">
        <v>45</v>
      </c>
      <c r="B51" s="55" t="s">
        <v>136</v>
      </c>
      <c r="C51" s="56">
        <v>500887</v>
      </c>
      <c r="D51" s="44" t="s">
        <v>27</v>
      </c>
      <c r="E51" s="56" t="s">
        <v>137</v>
      </c>
      <c r="F51" s="56" t="s">
        <v>138</v>
      </c>
      <c r="G51" s="45">
        <v>45930</v>
      </c>
      <c r="H51" s="46">
        <v>35</v>
      </c>
      <c r="I51" s="46">
        <v>44</v>
      </c>
      <c r="N51" s="60"/>
      <c r="O51" s="60"/>
      <c r="P51" s="60"/>
      <c r="Q51" s="60"/>
      <c r="R51" s="60"/>
      <c r="S51" s="60"/>
    </row>
    <row r="52" spans="1:19" s="59" customFormat="1" ht="33" customHeight="1" x14ac:dyDescent="0.25">
      <c r="A52" s="42">
        <v>46</v>
      </c>
      <c r="B52" s="55" t="s">
        <v>136</v>
      </c>
      <c r="C52" s="56">
        <v>0</v>
      </c>
      <c r="D52" s="44" t="s">
        <v>27</v>
      </c>
      <c r="E52" s="61" t="s">
        <v>137</v>
      </c>
      <c r="F52" s="61" t="s">
        <v>139</v>
      </c>
      <c r="G52" s="45">
        <v>45930</v>
      </c>
      <c r="H52" s="46">
        <v>0</v>
      </c>
      <c r="I52" s="46">
        <v>0</v>
      </c>
      <c r="N52" s="60"/>
      <c r="O52" s="60"/>
      <c r="P52" s="60"/>
      <c r="Q52" s="60"/>
      <c r="R52" s="60"/>
      <c r="S52" s="60"/>
    </row>
    <row r="53" spans="1:19" s="59" customFormat="1" ht="34.9" customHeight="1" x14ac:dyDescent="0.25">
      <c r="A53" s="42">
        <v>47</v>
      </c>
      <c r="B53" s="62" t="s">
        <v>136</v>
      </c>
      <c r="C53" s="63">
        <v>501040</v>
      </c>
      <c r="D53" s="44" t="s">
        <v>27</v>
      </c>
      <c r="E53" s="44" t="s">
        <v>140</v>
      </c>
      <c r="F53" s="44" t="s">
        <v>141</v>
      </c>
      <c r="G53" s="45">
        <v>45930</v>
      </c>
      <c r="H53" s="46">
        <v>35</v>
      </c>
      <c r="I53" s="46">
        <v>4</v>
      </c>
      <c r="N53" s="60"/>
      <c r="O53" s="60"/>
      <c r="P53" s="60"/>
      <c r="Q53" s="60"/>
      <c r="R53" s="60"/>
      <c r="S53" s="60"/>
    </row>
    <row r="54" spans="1:19" s="59" customFormat="1" ht="34.9" customHeight="1" x14ac:dyDescent="0.25">
      <c r="A54" s="42">
        <v>48</v>
      </c>
      <c r="B54" s="64" t="s">
        <v>136</v>
      </c>
      <c r="C54" s="65">
        <v>0</v>
      </c>
      <c r="D54" s="66" t="s">
        <v>27</v>
      </c>
      <c r="E54" s="51" t="s">
        <v>140</v>
      </c>
      <c r="F54" s="51" t="s">
        <v>142</v>
      </c>
      <c r="G54" s="45">
        <v>45930</v>
      </c>
      <c r="H54" s="46">
        <v>0</v>
      </c>
      <c r="I54" s="46">
        <v>0</v>
      </c>
      <c r="N54" s="60"/>
      <c r="O54" s="60"/>
      <c r="P54" s="60"/>
      <c r="Q54" s="60"/>
      <c r="R54" s="60"/>
      <c r="S54" s="60"/>
    </row>
    <row r="55" spans="1:19" s="52" customFormat="1" ht="33" customHeight="1" x14ac:dyDescent="0.2">
      <c r="A55" s="42">
        <v>49</v>
      </c>
      <c r="B55" s="67" t="s">
        <v>202</v>
      </c>
      <c r="C55" s="68">
        <v>501162</v>
      </c>
      <c r="D55" s="69" t="s">
        <v>19</v>
      </c>
      <c r="E55" s="70" t="s">
        <v>200</v>
      </c>
      <c r="F55" s="56" t="s">
        <v>200</v>
      </c>
      <c r="G55" s="45">
        <v>45930</v>
      </c>
      <c r="H55" s="46">
        <v>9</v>
      </c>
      <c r="I55" s="46">
        <v>9</v>
      </c>
      <c r="N55" s="53"/>
      <c r="O55" s="53"/>
      <c r="P55" s="53"/>
      <c r="Q55" s="53"/>
      <c r="R55" s="53"/>
      <c r="S55" s="53"/>
    </row>
    <row r="56" spans="1:19" s="52" customFormat="1" ht="33" customHeight="1" x14ac:dyDescent="0.2">
      <c r="A56" s="42">
        <v>50</v>
      </c>
      <c r="B56" s="67" t="s">
        <v>201</v>
      </c>
      <c r="C56" s="68">
        <v>501163</v>
      </c>
      <c r="D56" s="69" t="s">
        <v>27</v>
      </c>
      <c r="E56" s="70" t="s">
        <v>203</v>
      </c>
      <c r="F56" s="56" t="s">
        <v>203</v>
      </c>
      <c r="G56" s="45">
        <v>45930</v>
      </c>
      <c r="H56" s="46">
        <v>11</v>
      </c>
      <c r="I56" s="46">
        <v>18</v>
      </c>
      <c r="N56" s="53"/>
      <c r="O56" s="53"/>
      <c r="P56" s="53"/>
      <c r="Q56" s="53"/>
      <c r="R56" s="53"/>
      <c r="S56" s="53"/>
    </row>
    <row r="57" spans="1:19" s="52" customFormat="1" ht="33" customHeight="1" x14ac:dyDescent="0.2">
      <c r="A57" s="42">
        <v>51</v>
      </c>
      <c r="B57" s="71" t="s">
        <v>206</v>
      </c>
      <c r="C57" s="68">
        <v>501152</v>
      </c>
      <c r="D57" s="69" t="s">
        <v>27</v>
      </c>
      <c r="E57" s="70" t="s">
        <v>207</v>
      </c>
      <c r="F57" s="56" t="s">
        <v>207</v>
      </c>
      <c r="G57" s="45">
        <v>45930</v>
      </c>
      <c r="H57" s="46">
        <v>8</v>
      </c>
      <c r="I57" s="46">
        <v>6</v>
      </c>
      <c r="N57" s="53"/>
      <c r="O57" s="53"/>
      <c r="P57" s="53"/>
      <c r="Q57" s="53"/>
      <c r="R57" s="53"/>
      <c r="S57" s="53"/>
    </row>
    <row r="58" spans="1:19" s="52" customFormat="1" ht="33" customHeight="1" x14ac:dyDescent="0.2">
      <c r="A58" s="42">
        <v>52</v>
      </c>
      <c r="B58" s="71" t="s">
        <v>196</v>
      </c>
      <c r="C58" s="68">
        <v>501256</v>
      </c>
      <c r="D58" s="69" t="s">
        <v>19</v>
      </c>
      <c r="E58" s="70" t="s">
        <v>219</v>
      </c>
      <c r="F58" s="56" t="s">
        <v>219</v>
      </c>
      <c r="G58" s="45">
        <v>45930</v>
      </c>
      <c r="H58" s="46">
        <v>0</v>
      </c>
      <c r="I58" s="46">
        <v>0</v>
      </c>
      <c r="N58" s="53"/>
      <c r="O58" s="53"/>
      <c r="P58" s="53"/>
      <c r="Q58" s="53"/>
      <c r="R58" s="53"/>
      <c r="S58" s="53"/>
    </row>
    <row r="59" spans="1:19" s="52" customFormat="1" ht="33" customHeight="1" x14ac:dyDescent="0.2">
      <c r="A59" s="42">
        <v>53</v>
      </c>
      <c r="B59" s="71" t="s">
        <v>208</v>
      </c>
      <c r="C59" s="68">
        <v>501116</v>
      </c>
      <c r="D59" s="69" t="s">
        <v>19</v>
      </c>
      <c r="E59" s="70" t="s">
        <v>217</v>
      </c>
      <c r="F59" s="56" t="s">
        <v>217</v>
      </c>
      <c r="G59" s="45">
        <v>45930</v>
      </c>
      <c r="H59" s="46">
        <v>2</v>
      </c>
      <c r="I59" s="46">
        <v>3</v>
      </c>
      <c r="N59" s="53"/>
      <c r="O59" s="53"/>
      <c r="P59" s="53"/>
      <c r="Q59" s="53"/>
      <c r="R59" s="53"/>
      <c r="S59" s="53"/>
    </row>
    <row r="60" spans="1:19" s="52" customFormat="1" ht="33" customHeight="1" x14ac:dyDescent="0.2">
      <c r="A60" s="42">
        <v>54</v>
      </c>
      <c r="B60" s="71" t="s">
        <v>209</v>
      </c>
      <c r="C60" s="68">
        <v>501117</v>
      </c>
      <c r="D60" s="69" t="s">
        <v>27</v>
      </c>
      <c r="E60" s="70" t="s">
        <v>218</v>
      </c>
      <c r="F60" s="56" t="s">
        <v>218</v>
      </c>
      <c r="G60" s="45">
        <v>45930</v>
      </c>
      <c r="H60" s="46">
        <v>2</v>
      </c>
      <c r="I60" s="46">
        <v>3</v>
      </c>
      <c r="N60" s="53"/>
      <c r="O60" s="53"/>
      <c r="P60" s="53"/>
      <c r="Q60" s="53"/>
      <c r="R60" s="53"/>
      <c r="S60" s="53"/>
    </row>
    <row r="61" spans="1:19" s="52" customFormat="1" ht="33" customHeight="1" x14ac:dyDescent="0.2">
      <c r="A61" s="42">
        <v>55</v>
      </c>
      <c r="B61" s="71" t="s">
        <v>210</v>
      </c>
      <c r="C61" s="68">
        <v>501216</v>
      </c>
      <c r="D61" s="69" t="s">
        <v>27</v>
      </c>
      <c r="E61" s="70" t="s">
        <v>220</v>
      </c>
      <c r="F61" s="56" t="s">
        <v>220</v>
      </c>
      <c r="G61" s="45">
        <v>45930</v>
      </c>
      <c r="H61" s="46">
        <v>4</v>
      </c>
      <c r="I61" s="46">
        <v>4</v>
      </c>
      <c r="N61" s="53"/>
      <c r="O61" s="53"/>
      <c r="P61" s="53"/>
      <c r="Q61" s="53"/>
      <c r="R61" s="53"/>
      <c r="S61" s="53"/>
    </row>
    <row r="62" spans="1:19" s="52" customFormat="1" ht="33" customHeight="1" x14ac:dyDescent="0.2">
      <c r="A62" s="42">
        <v>56</v>
      </c>
      <c r="B62" s="71" t="s">
        <v>211</v>
      </c>
      <c r="C62" s="68">
        <v>501223</v>
      </c>
      <c r="D62" s="69" t="s">
        <v>27</v>
      </c>
      <c r="E62" s="70" t="s">
        <v>221</v>
      </c>
      <c r="F62" s="56" t="s">
        <v>221</v>
      </c>
      <c r="G62" s="45">
        <v>45930</v>
      </c>
      <c r="H62" s="46">
        <v>1</v>
      </c>
      <c r="I62" s="46">
        <v>1</v>
      </c>
      <c r="N62" s="53"/>
      <c r="O62" s="53"/>
      <c r="P62" s="53"/>
      <c r="Q62" s="53"/>
      <c r="R62" s="53"/>
      <c r="S62" s="53"/>
    </row>
    <row r="63" spans="1:19" s="52" customFormat="1" ht="33" customHeight="1" x14ac:dyDescent="0.2">
      <c r="A63" s="42">
        <v>57</v>
      </c>
      <c r="B63" s="41" t="s">
        <v>213</v>
      </c>
      <c r="C63" s="68">
        <v>501090</v>
      </c>
      <c r="D63" s="69" t="s">
        <v>27</v>
      </c>
      <c r="E63" s="70" t="s">
        <v>215</v>
      </c>
      <c r="F63" s="56" t="s">
        <v>215</v>
      </c>
      <c r="G63" s="45">
        <v>45930</v>
      </c>
      <c r="H63" s="46">
        <v>3</v>
      </c>
      <c r="I63" s="46">
        <v>4</v>
      </c>
      <c r="N63" s="53"/>
      <c r="O63" s="53"/>
      <c r="P63" s="53"/>
      <c r="Q63" s="53"/>
      <c r="R63" s="53"/>
      <c r="S63" s="53"/>
    </row>
    <row r="64" spans="1:19" s="52" customFormat="1" ht="33" customHeight="1" x14ac:dyDescent="0.2">
      <c r="A64" s="42">
        <v>58</v>
      </c>
      <c r="B64" s="41" t="s">
        <v>214</v>
      </c>
      <c r="C64" s="68">
        <v>501257</v>
      </c>
      <c r="D64" s="69" t="s">
        <v>27</v>
      </c>
      <c r="E64" s="70" t="s">
        <v>216</v>
      </c>
      <c r="F64" s="56" t="s">
        <v>216</v>
      </c>
      <c r="G64" s="45">
        <v>45930</v>
      </c>
      <c r="H64" s="46">
        <v>2</v>
      </c>
      <c r="I64" s="46">
        <v>3</v>
      </c>
      <c r="N64" s="53"/>
      <c r="O64" s="53"/>
      <c r="P64" s="53"/>
      <c r="Q64" s="53"/>
      <c r="R64" s="53"/>
      <c r="S64" s="53"/>
    </row>
    <row r="65" spans="1:19" s="52" customFormat="1" ht="33" customHeight="1" x14ac:dyDescent="0.2">
      <c r="A65" s="42">
        <v>59</v>
      </c>
      <c r="B65" s="72" t="s">
        <v>143</v>
      </c>
      <c r="C65" s="73">
        <v>0</v>
      </c>
      <c r="D65" s="74" t="s">
        <v>27</v>
      </c>
      <c r="E65" s="75" t="s">
        <v>144</v>
      </c>
      <c r="F65" s="76" t="s">
        <v>145</v>
      </c>
      <c r="G65" s="45">
        <v>45930</v>
      </c>
      <c r="H65" s="46">
        <v>95</v>
      </c>
      <c r="I65" s="46">
        <v>24</v>
      </c>
      <c r="N65" s="53"/>
      <c r="O65" s="53"/>
      <c r="P65" s="53"/>
      <c r="Q65" s="53"/>
      <c r="R65" s="53"/>
      <c r="S65" s="53"/>
    </row>
    <row r="66" spans="1:19" s="52" customFormat="1" ht="33" customHeight="1" x14ac:dyDescent="0.2">
      <c r="A66" s="42">
        <v>60</v>
      </c>
      <c r="B66" s="77" t="s">
        <v>146</v>
      </c>
      <c r="C66" s="78">
        <v>0</v>
      </c>
      <c r="D66" s="79" t="s">
        <v>19</v>
      </c>
      <c r="E66" s="76" t="s">
        <v>147</v>
      </c>
      <c r="F66" s="76" t="s">
        <v>147</v>
      </c>
      <c r="G66" s="45">
        <v>45930</v>
      </c>
      <c r="H66" s="46">
        <v>109</v>
      </c>
      <c r="I66" s="46">
        <v>109</v>
      </c>
      <c r="N66" s="53"/>
      <c r="O66" s="53"/>
      <c r="P66" s="53"/>
      <c r="Q66" s="53"/>
      <c r="R66" s="53"/>
      <c r="S66" s="53"/>
    </row>
    <row r="67" spans="1:19" s="52" customFormat="1" ht="33" customHeight="1" x14ac:dyDescent="0.2">
      <c r="A67" s="42">
        <v>61</v>
      </c>
      <c r="B67" s="80" t="s">
        <v>148</v>
      </c>
      <c r="C67" s="76">
        <v>0</v>
      </c>
      <c r="D67" s="81" t="s">
        <v>19</v>
      </c>
      <c r="E67" s="76" t="s">
        <v>149</v>
      </c>
      <c r="F67" s="76" t="s">
        <v>150</v>
      </c>
      <c r="G67" s="45">
        <v>45930</v>
      </c>
      <c r="H67" s="46">
        <v>111</v>
      </c>
      <c r="I67" s="46">
        <v>111</v>
      </c>
      <c r="N67" s="53"/>
      <c r="O67" s="53"/>
      <c r="P67" s="53"/>
      <c r="Q67" s="53"/>
      <c r="R67" s="53"/>
      <c r="S67" s="53"/>
    </row>
    <row r="68" spans="1:19" s="52" customFormat="1" ht="33" customHeight="1" x14ac:dyDescent="0.2">
      <c r="A68" s="42">
        <v>62</v>
      </c>
      <c r="B68" s="80" t="s">
        <v>151</v>
      </c>
      <c r="C68" s="76">
        <v>0</v>
      </c>
      <c r="D68" s="81" t="s">
        <v>27</v>
      </c>
      <c r="E68" s="76" t="s">
        <v>152</v>
      </c>
      <c r="F68" s="76" t="s">
        <v>153</v>
      </c>
      <c r="G68" s="45">
        <v>45930</v>
      </c>
      <c r="H68" s="46">
        <v>131</v>
      </c>
      <c r="I68" s="46">
        <v>4</v>
      </c>
      <c r="N68" s="53"/>
      <c r="O68" s="53"/>
      <c r="P68" s="53"/>
      <c r="Q68" s="53"/>
      <c r="R68" s="53"/>
      <c r="S68" s="53"/>
    </row>
    <row r="69" spans="1:19" s="52" customFormat="1" ht="33" customHeight="1" x14ac:dyDescent="0.2">
      <c r="A69" s="42">
        <v>63</v>
      </c>
      <c r="B69" s="80" t="s">
        <v>154</v>
      </c>
      <c r="C69" s="76">
        <v>0</v>
      </c>
      <c r="D69" s="81" t="s">
        <v>19</v>
      </c>
      <c r="E69" s="76" t="s">
        <v>155</v>
      </c>
      <c r="F69" s="76" t="s">
        <v>155</v>
      </c>
      <c r="G69" s="45">
        <v>45930</v>
      </c>
      <c r="H69" s="46">
        <v>181</v>
      </c>
      <c r="I69" s="46">
        <v>45</v>
      </c>
      <c r="N69" s="53"/>
      <c r="O69" s="53"/>
      <c r="P69" s="53"/>
      <c r="Q69" s="53"/>
      <c r="R69" s="53"/>
      <c r="S69" s="53"/>
    </row>
    <row r="70" spans="1:19" s="52" customFormat="1" ht="33" customHeight="1" x14ac:dyDescent="0.2">
      <c r="A70" s="42">
        <v>64</v>
      </c>
      <c r="B70" s="80" t="s">
        <v>156</v>
      </c>
      <c r="C70" s="76">
        <v>0</v>
      </c>
      <c r="D70" s="81" t="s">
        <v>19</v>
      </c>
      <c r="E70" s="76" t="s">
        <v>157</v>
      </c>
      <c r="F70" s="76" t="s">
        <v>158</v>
      </c>
      <c r="G70" s="45">
        <v>45930</v>
      </c>
      <c r="H70" s="46">
        <v>111</v>
      </c>
      <c r="I70" s="46">
        <v>99</v>
      </c>
      <c r="N70" s="53"/>
      <c r="O70" s="53"/>
      <c r="P70" s="53"/>
      <c r="Q70" s="53"/>
      <c r="R70" s="53"/>
      <c r="S70" s="53"/>
    </row>
    <row r="71" spans="1:19" s="83" customFormat="1" ht="33" customHeight="1" x14ac:dyDescent="0.2">
      <c r="A71" s="42">
        <v>65</v>
      </c>
      <c r="B71" s="80" t="s">
        <v>159</v>
      </c>
      <c r="C71" s="76">
        <v>0</v>
      </c>
      <c r="D71" s="81" t="s">
        <v>19</v>
      </c>
      <c r="E71" s="76" t="s">
        <v>160</v>
      </c>
      <c r="F71" s="76" t="s">
        <v>161</v>
      </c>
      <c r="G71" s="45">
        <v>45930</v>
      </c>
      <c r="H71" s="82">
        <v>152</v>
      </c>
      <c r="I71" s="82">
        <v>152</v>
      </c>
      <c r="N71" s="84"/>
      <c r="O71" s="84"/>
      <c r="P71" s="84"/>
      <c r="Q71" s="84"/>
      <c r="R71" s="84"/>
      <c r="S71" s="84"/>
    </row>
    <row r="72" spans="1:19" s="52" customFormat="1" ht="33" customHeight="1" x14ac:dyDescent="0.2">
      <c r="A72" s="42">
        <v>66</v>
      </c>
      <c r="B72" s="80" t="s">
        <v>162</v>
      </c>
      <c r="C72" s="76">
        <v>0</v>
      </c>
      <c r="D72" s="81" t="s">
        <v>27</v>
      </c>
      <c r="E72" s="76" t="s">
        <v>163</v>
      </c>
      <c r="F72" s="76" t="s">
        <v>163</v>
      </c>
      <c r="G72" s="45">
        <v>45930</v>
      </c>
      <c r="H72" s="46">
        <v>168</v>
      </c>
      <c r="I72" s="46">
        <v>99</v>
      </c>
      <c r="N72" s="53"/>
      <c r="O72" s="53"/>
      <c r="P72" s="53"/>
      <c r="Q72" s="53"/>
      <c r="R72" s="53"/>
      <c r="S72" s="53"/>
    </row>
    <row r="73" spans="1:19" s="52" customFormat="1" ht="33" customHeight="1" x14ac:dyDescent="0.2">
      <c r="A73" s="42">
        <v>67</v>
      </c>
      <c r="B73" s="80" t="s">
        <v>164</v>
      </c>
      <c r="C73" s="76">
        <v>0</v>
      </c>
      <c r="D73" s="81" t="s">
        <v>19</v>
      </c>
      <c r="E73" s="76" t="s">
        <v>205</v>
      </c>
      <c r="F73" s="76" t="s">
        <v>205</v>
      </c>
      <c r="G73" s="45">
        <v>45930</v>
      </c>
      <c r="H73" s="46">
        <v>123</v>
      </c>
      <c r="I73" s="46">
        <v>99</v>
      </c>
      <c r="N73" s="53"/>
      <c r="O73" s="53"/>
      <c r="P73" s="53"/>
      <c r="Q73" s="53"/>
      <c r="R73" s="53"/>
      <c r="S73" s="53"/>
    </row>
    <row r="74" spans="1:19" s="52" customFormat="1" ht="33" customHeight="1" x14ac:dyDescent="0.2">
      <c r="A74" s="42">
        <v>68</v>
      </c>
      <c r="B74" s="80" t="s">
        <v>165</v>
      </c>
      <c r="C74" s="76">
        <v>0</v>
      </c>
      <c r="D74" s="81" t="s">
        <v>27</v>
      </c>
      <c r="E74" s="76" t="s">
        <v>166</v>
      </c>
      <c r="F74" s="76" t="s">
        <v>166</v>
      </c>
      <c r="G74" s="45">
        <v>45930</v>
      </c>
      <c r="H74" s="46">
        <v>199</v>
      </c>
      <c r="I74" s="46">
        <v>13</v>
      </c>
      <c r="N74" s="53"/>
      <c r="O74" s="53"/>
      <c r="P74" s="53"/>
      <c r="Q74" s="53"/>
      <c r="R74" s="53"/>
      <c r="S74" s="53"/>
    </row>
    <row r="75" spans="1:19" s="52" customFormat="1" ht="33" customHeight="1" x14ac:dyDescent="0.2">
      <c r="A75" s="42">
        <v>69</v>
      </c>
      <c r="B75" s="80" t="s">
        <v>167</v>
      </c>
      <c r="C75" s="76">
        <v>0</v>
      </c>
      <c r="D75" s="81" t="s">
        <v>19</v>
      </c>
      <c r="E75" s="76" t="s">
        <v>168</v>
      </c>
      <c r="F75" s="76" t="s">
        <v>168</v>
      </c>
      <c r="G75" s="45">
        <v>45930</v>
      </c>
      <c r="H75" s="46">
        <v>99</v>
      </c>
      <c r="I75" s="46">
        <v>99</v>
      </c>
      <c r="N75" s="53"/>
      <c r="O75" s="53"/>
      <c r="P75" s="53"/>
      <c r="Q75" s="53"/>
      <c r="R75" s="53"/>
      <c r="S75" s="53"/>
    </row>
    <row r="76" spans="1:19" s="52" customFormat="1" ht="33" customHeight="1" x14ac:dyDescent="0.2">
      <c r="A76" s="42">
        <v>70</v>
      </c>
      <c r="B76" s="80" t="s">
        <v>169</v>
      </c>
      <c r="C76" s="76">
        <v>0</v>
      </c>
      <c r="D76" s="81" t="s">
        <v>27</v>
      </c>
      <c r="E76" s="76" t="s">
        <v>170</v>
      </c>
      <c r="F76" s="76" t="s">
        <v>170</v>
      </c>
      <c r="G76" s="45">
        <v>45930</v>
      </c>
      <c r="H76" s="46">
        <v>74</v>
      </c>
      <c r="I76" s="46">
        <v>7</v>
      </c>
      <c r="N76" s="53"/>
      <c r="O76" s="53"/>
      <c r="P76" s="53"/>
      <c r="Q76" s="53"/>
      <c r="R76" s="53"/>
      <c r="S76" s="53"/>
    </row>
    <row r="77" spans="1:19" s="52" customFormat="1" ht="33" customHeight="1" x14ac:dyDescent="0.2">
      <c r="A77" s="42">
        <v>71</v>
      </c>
      <c r="B77" s="80" t="s">
        <v>169</v>
      </c>
      <c r="C77" s="76">
        <v>0</v>
      </c>
      <c r="D77" s="81" t="s">
        <v>27</v>
      </c>
      <c r="E77" s="76" t="s">
        <v>171</v>
      </c>
      <c r="F77" s="76" t="s">
        <v>172</v>
      </c>
      <c r="G77" s="45">
        <v>45930</v>
      </c>
      <c r="H77" s="46">
        <v>71</v>
      </c>
      <c r="I77" s="46">
        <v>14</v>
      </c>
      <c r="N77" s="53"/>
      <c r="O77" s="53"/>
      <c r="P77" s="53"/>
      <c r="Q77" s="53"/>
      <c r="R77" s="53"/>
      <c r="S77" s="53"/>
    </row>
    <row r="78" spans="1:19" s="52" customFormat="1" ht="33" customHeight="1" x14ac:dyDescent="0.2">
      <c r="A78" s="42">
        <v>72</v>
      </c>
      <c r="B78" s="80" t="s">
        <v>173</v>
      </c>
      <c r="C78" s="76">
        <v>0</v>
      </c>
      <c r="D78" s="81" t="s">
        <v>27</v>
      </c>
      <c r="E78" s="76" t="s">
        <v>174</v>
      </c>
      <c r="F78" s="76" t="s">
        <v>174</v>
      </c>
      <c r="G78" s="45">
        <v>45930</v>
      </c>
      <c r="H78" s="46">
        <v>96</v>
      </c>
      <c r="I78" s="46">
        <v>19</v>
      </c>
      <c r="N78" s="53"/>
      <c r="O78" s="53"/>
      <c r="P78" s="53"/>
      <c r="Q78" s="53"/>
      <c r="R78" s="53"/>
      <c r="S78" s="53"/>
    </row>
    <row r="79" spans="1:19" s="52" customFormat="1" ht="33" customHeight="1" x14ac:dyDescent="0.2">
      <c r="A79" s="42">
        <v>73</v>
      </c>
      <c r="B79" s="80" t="s">
        <v>175</v>
      </c>
      <c r="C79" s="76">
        <v>0</v>
      </c>
      <c r="D79" s="81" t="s">
        <v>27</v>
      </c>
      <c r="E79" s="76" t="s">
        <v>176</v>
      </c>
      <c r="F79" s="76" t="s">
        <v>176</v>
      </c>
      <c r="G79" s="45">
        <v>45930</v>
      </c>
      <c r="H79" s="46">
        <v>104</v>
      </c>
      <c r="I79" s="46">
        <v>34</v>
      </c>
      <c r="N79" s="53"/>
      <c r="O79" s="53"/>
      <c r="P79" s="53"/>
      <c r="Q79" s="53"/>
      <c r="R79" s="53"/>
      <c r="S79" s="53"/>
    </row>
    <row r="80" spans="1:19" s="52" customFormat="1" ht="33" customHeight="1" x14ac:dyDescent="0.2">
      <c r="A80" s="42">
        <v>74</v>
      </c>
      <c r="B80" s="80" t="s">
        <v>177</v>
      </c>
      <c r="C80" s="76">
        <v>0</v>
      </c>
      <c r="D80" s="81" t="s">
        <v>19</v>
      </c>
      <c r="E80" s="76" t="s">
        <v>178</v>
      </c>
      <c r="F80" s="76" t="s">
        <v>178</v>
      </c>
      <c r="G80" s="45">
        <v>45930</v>
      </c>
      <c r="H80" s="46">
        <v>150</v>
      </c>
      <c r="I80" s="46">
        <v>150</v>
      </c>
      <c r="N80" s="53"/>
      <c r="O80" s="53"/>
      <c r="P80" s="53"/>
      <c r="Q80" s="53"/>
      <c r="R80" s="53"/>
      <c r="S80" s="53"/>
    </row>
    <row r="81" spans="1:23" s="52" customFormat="1" ht="33" customHeight="1" x14ac:dyDescent="0.2">
      <c r="A81" s="42">
        <v>75</v>
      </c>
      <c r="B81" s="80" t="s">
        <v>179</v>
      </c>
      <c r="C81" s="76">
        <v>0</v>
      </c>
      <c r="D81" s="81" t="s">
        <v>19</v>
      </c>
      <c r="E81" s="76" t="s">
        <v>180</v>
      </c>
      <c r="F81" s="76" t="s">
        <v>180</v>
      </c>
      <c r="G81" s="45">
        <v>45930</v>
      </c>
      <c r="H81" s="46">
        <v>131</v>
      </c>
      <c r="I81" s="46">
        <v>131</v>
      </c>
      <c r="N81" s="53"/>
      <c r="O81" s="53"/>
      <c r="P81" s="53"/>
      <c r="Q81" s="53"/>
      <c r="R81" s="53"/>
      <c r="S81" s="53"/>
    </row>
    <row r="82" spans="1:23" s="52" customFormat="1" ht="33" customHeight="1" x14ac:dyDescent="0.2">
      <c r="A82" s="42">
        <v>76</v>
      </c>
      <c r="B82" s="80" t="s">
        <v>181</v>
      </c>
      <c r="C82" s="76">
        <v>0</v>
      </c>
      <c r="D82" s="81" t="s">
        <v>27</v>
      </c>
      <c r="E82" s="76" t="s">
        <v>182</v>
      </c>
      <c r="F82" s="76" t="s">
        <v>182</v>
      </c>
      <c r="G82" s="45">
        <v>45930</v>
      </c>
      <c r="H82" s="46">
        <v>94</v>
      </c>
      <c r="I82" s="46">
        <v>94</v>
      </c>
      <c r="N82" s="53"/>
      <c r="O82" s="53"/>
      <c r="P82" s="53"/>
      <c r="Q82" s="53"/>
      <c r="R82" s="53"/>
      <c r="S82" s="53"/>
    </row>
    <row r="83" spans="1:23" s="52" customFormat="1" ht="33" customHeight="1" x14ac:dyDescent="0.2">
      <c r="A83" s="42">
        <v>77</v>
      </c>
      <c r="B83" s="80" t="s">
        <v>183</v>
      </c>
      <c r="C83" s="76">
        <v>0</v>
      </c>
      <c r="D83" s="81" t="s">
        <v>27</v>
      </c>
      <c r="E83" s="76" t="s">
        <v>184</v>
      </c>
      <c r="F83" s="76" t="s">
        <v>185</v>
      </c>
      <c r="G83" s="45">
        <v>45930</v>
      </c>
      <c r="H83" s="46">
        <v>94</v>
      </c>
      <c r="I83" s="46">
        <v>94</v>
      </c>
      <c r="N83" s="53"/>
      <c r="O83" s="53"/>
      <c r="P83" s="53"/>
      <c r="Q83" s="53"/>
      <c r="R83" s="53"/>
      <c r="S83" s="53"/>
    </row>
    <row r="84" spans="1:23" s="52" customFormat="1" ht="33" customHeight="1" x14ac:dyDescent="0.2">
      <c r="A84" s="42">
        <v>78</v>
      </c>
      <c r="B84" s="85" t="s">
        <v>26</v>
      </c>
      <c r="C84" s="76">
        <v>0</v>
      </c>
      <c r="D84" s="81" t="s">
        <v>27</v>
      </c>
      <c r="E84" s="76" t="s">
        <v>28</v>
      </c>
      <c r="F84" s="76" t="s">
        <v>28</v>
      </c>
      <c r="G84" s="45">
        <v>45930</v>
      </c>
      <c r="H84" s="46">
        <v>118</v>
      </c>
      <c r="I84" s="46">
        <v>5</v>
      </c>
      <c r="N84" s="53"/>
      <c r="O84" s="53"/>
      <c r="P84" s="53"/>
      <c r="Q84" s="53"/>
      <c r="R84" s="53"/>
      <c r="S84" s="53"/>
    </row>
    <row r="85" spans="1:23" s="52" customFormat="1" ht="33" customHeight="1" x14ac:dyDescent="0.2">
      <c r="A85" s="42">
        <v>79</v>
      </c>
      <c r="B85" s="80" t="s">
        <v>48</v>
      </c>
      <c r="C85" s="81">
        <v>0</v>
      </c>
      <c r="D85" s="81" t="s">
        <v>19</v>
      </c>
      <c r="E85" s="76" t="s">
        <v>49</v>
      </c>
      <c r="F85" s="76" t="s">
        <v>49</v>
      </c>
      <c r="G85" s="45">
        <v>45930</v>
      </c>
      <c r="H85" s="46">
        <v>113</v>
      </c>
      <c r="I85" s="46">
        <v>113</v>
      </c>
      <c r="N85" s="53"/>
      <c r="O85" s="53"/>
      <c r="P85" s="53"/>
      <c r="Q85" s="53"/>
      <c r="R85" s="53"/>
      <c r="S85" s="53"/>
    </row>
    <row r="86" spans="1:23" s="52" customFormat="1" ht="33" customHeight="1" x14ac:dyDescent="0.2">
      <c r="A86" s="42">
        <v>80</v>
      </c>
      <c r="B86" s="80" t="s">
        <v>50</v>
      </c>
      <c r="C86" s="76">
        <v>0</v>
      </c>
      <c r="D86" s="81" t="s">
        <v>19</v>
      </c>
      <c r="E86" s="76" t="s">
        <v>51</v>
      </c>
      <c r="F86" s="76" t="s">
        <v>51</v>
      </c>
      <c r="G86" s="45">
        <v>45930</v>
      </c>
      <c r="H86" s="46">
        <v>129</v>
      </c>
      <c r="I86" s="46">
        <v>129</v>
      </c>
      <c r="N86" s="53"/>
      <c r="O86" s="53"/>
      <c r="P86" s="53"/>
      <c r="Q86" s="53"/>
      <c r="R86" s="53"/>
      <c r="S86" s="53"/>
    </row>
    <row r="87" spans="1:23" s="52" customFormat="1" ht="33" customHeight="1" x14ac:dyDescent="0.2">
      <c r="A87" s="42">
        <v>81</v>
      </c>
      <c r="B87" s="80" t="s">
        <v>52</v>
      </c>
      <c r="C87" s="76">
        <v>0</v>
      </c>
      <c r="D87" s="81" t="s">
        <v>19</v>
      </c>
      <c r="E87" s="76" t="s">
        <v>53</v>
      </c>
      <c r="F87" s="76" t="s">
        <v>53</v>
      </c>
      <c r="G87" s="45">
        <v>45930</v>
      </c>
      <c r="H87" s="46">
        <v>79</v>
      </c>
      <c r="I87" s="46">
        <v>79</v>
      </c>
      <c r="N87" s="53"/>
      <c r="O87" s="53"/>
      <c r="P87" s="53"/>
      <c r="Q87" s="53"/>
      <c r="R87" s="53"/>
      <c r="S87" s="53"/>
    </row>
    <row r="88" spans="1:23" s="52" customFormat="1" ht="33" customHeight="1" x14ac:dyDescent="0.2">
      <c r="A88" s="42">
        <v>82</v>
      </c>
      <c r="B88" s="80" t="s">
        <v>64</v>
      </c>
      <c r="C88" s="76">
        <v>0</v>
      </c>
      <c r="D88" s="81" t="s">
        <v>19</v>
      </c>
      <c r="E88" s="76" t="s">
        <v>65</v>
      </c>
      <c r="F88" s="76" t="s">
        <v>65</v>
      </c>
      <c r="G88" s="45">
        <v>45930</v>
      </c>
      <c r="H88" s="46">
        <v>148</v>
      </c>
      <c r="I88" s="46">
        <v>148</v>
      </c>
      <c r="N88" s="53"/>
      <c r="O88" s="53"/>
      <c r="P88" s="53"/>
      <c r="Q88" s="53"/>
      <c r="R88" s="53"/>
      <c r="S88" s="53"/>
    </row>
    <row r="89" spans="1:23" s="52" customFormat="1" ht="33" customHeight="1" x14ac:dyDescent="0.2">
      <c r="A89" s="42">
        <v>83</v>
      </c>
      <c r="B89" s="80" t="s">
        <v>73</v>
      </c>
      <c r="C89" s="76">
        <v>0</v>
      </c>
      <c r="D89" s="81" t="s">
        <v>19</v>
      </c>
      <c r="E89" s="76" t="s">
        <v>74</v>
      </c>
      <c r="F89" s="76" t="s">
        <v>74</v>
      </c>
      <c r="G89" s="45">
        <v>45930</v>
      </c>
      <c r="H89" s="46">
        <v>143</v>
      </c>
      <c r="I89" s="46">
        <v>143</v>
      </c>
      <c r="N89" s="53"/>
      <c r="O89" s="53"/>
      <c r="P89" s="53"/>
      <c r="Q89" s="53"/>
      <c r="R89" s="53"/>
      <c r="S89" s="53"/>
    </row>
    <row r="90" spans="1:23" s="52" customFormat="1" ht="33" customHeight="1" x14ac:dyDescent="0.2">
      <c r="A90" s="42">
        <v>84</v>
      </c>
      <c r="B90" s="80" t="s">
        <v>109</v>
      </c>
      <c r="C90" s="76">
        <v>0</v>
      </c>
      <c r="D90" s="81" t="s">
        <v>27</v>
      </c>
      <c r="E90" s="76" t="s">
        <v>110</v>
      </c>
      <c r="F90" s="76" t="s">
        <v>110</v>
      </c>
      <c r="G90" s="45">
        <v>45930</v>
      </c>
      <c r="H90" s="46">
        <v>96</v>
      </c>
      <c r="I90" s="46">
        <v>96</v>
      </c>
      <c r="N90" s="53"/>
      <c r="O90" s="53"/>
      <c r="P90" s="53"/>
      <c r="Q90" s="53"/>
      <c r="R90" s="53"/>
      <c r="S90" s="53"/>
    </row>
    <row r="91" spans="1:23" s="52" customFormat="1" ht="33" customHeight="1" x14ac:dyDescent="0.2">
      <c r="A91" s="42">
        <v>85</v>
      </c>
      <c r="B91" s="80" t="s">
        <v>119</v>
      </c>
      <c r="C91" s="76">
        <v>0</v>
      </c>
      <c r="D91" s="81" t="s">
        <v>27</v>
      </c>
      <c r="E91" s="76" t="s">
        <v>120</v>
      </c>
      <c r="F91" s="76" t="s">
        <v>120</v>
      </c>
      <c r="G91" s="45">
        <v>45930</v>
      </c>
      <c r="H91" s="46">
        <v>57</v>
      </c>
      <c r="I91" s="46">
        <v>6</v>
      </c>
      <c r="N91" s="53"/>
      <c r="O91" s="53"/>
      <c r="P91" s="53"/>
      <c r="Q91" s="53"/>
      <c r="R91" s="53"/>
      <c r="S91" s="53"/>
    </row>
    <row r="92" spans="1:23" s="52" customFormat="1" ht="33" customHeight="1" x14ac:dyDescent="0.2">
      <c r="A92" s="42">
        <v>86</v>
      </c>
      <c r="B92" s="80" t="s">
        <v>194</v>
      </c>
      <c r="C92" s="76">
        <v>0</v>
      </c>
      <c r="D92" s="81" t="s">
        <v>27</v>
      </c>
      <c r="E92" s="76" t="s">
        <v>195</v>
      </c>
      <c r="F92" s="76" t="s">
        <v>195</v>
      </c>
      <c r="G92" s="45">
        <v>45930</v>
      </c>
      <c r="H92" s="46">
        <v>61</v>
      </c>
      <c r="I92" s="46">
        <v>4</v>
      </c>
      <c r="N92" s="53"/>
      <c r="O92" s="53"/>
      <c r="P92" s="53"/>
      <c r="Q92" s="53"/>
      <c r="R92" s="53"/>
      <c r="S92" s="53"/>
    </row>
    <row r="93" spans="1:23" s="49" customFormat="1" ht="33" customHeight="1" x14ac:dyDescent="0.25">
      <c r="A93" s="42">
        <v>87</v>
      </c>
      <c r="B93" s="86" t="s">
        <v>29</v>
      </c>
      <c r="C93" s="81">
        <v>0</v>
      </c>
      <c r="D93" s="81" t="s">
        <v>27</v>
      </c>
      <c r="E93" s="81" t="s">
        <v>198</v>
      </c>
      <c r="F93" s="81" t="s">
        <v>30</v>
      </c>
      <c r="G93" s="45">
        <v>45930</v>
      </c>
      <c r="H93" s="46">
        <v>84</v>
      </c>
      <c r="I93" s="46">
        <v>99</v>
      </c>
      <c r="J93" s="50"/>
      <c r="K93" s="47"/>
      <c r="L93" s="50"/>
      <c r="M93" s="50"/>
      <c r="N93" s="48"/>
      <c r="O93" s="48"/>
      <c r="P93" s="48"/>
      <c r="Q93" s="48"/>
      <c r="R93" s="48"/>
      <c r="S93" s="48"/>
      <c r="T93" s="48"/>
      <c r="U93" s="48"/>
      <c r="V93" s="48"/>
      <c r="W93" s="48"/>
    </row>
    <row r="94" spans="1:23" s="52" customFormat="1" ht="33" customHeight="1" x14ac:dyDescent="0.2">
      <c r="A94" s="42">
        <v>88</v>
      </c>
      <c r="B94" s="80" t="s">
        <v>79</v>
      </c>
      <c r="C94" s="76">
        <v>0</v>
      </c>
      <c r="D94" s="81" t="s">
        <v>19</v>
      </c>
      <c r="E94" s="76" t="s">
        <v>80</v>
      </c>
      <c r="F94" s="76" t="s">
        <v>80</v>
      </c>
      <c r="G94" s="45">
        <v>45930</v>
      </c>
      <c r="H94" s="46">
        <v>104</v>
      </c>
      <c r="I94" s="46">
        <v>99</v>
      </c>
      <c r="N94" s="53"/>
      <c r="O94" s="53"/>
      <c r="P94" s="53"/>
      <c r="Q94" s="53"/>
      <c r="R94" s="53"/>
      <c r="S94" s="53"/>
    </row>
    <row r="95" spans="1:23" s="52" customFormat="1" ht="33" customHeight="1" x14ac:dyDescent="0.2">
      <c r="A95" s="42">
        <v>89</v>
      </c>
      <c r="B95" s="80" t="s">
        <v>81</v>
      </c>
      <c r="C95" s="76">
        <v>0</v>
      </c>
      <c r="D95" s="81" t="s">
        <v>19</v>
      </c>
      <c r="E95" s="76" t="s">
        <v>82</v>
      </c>
      <c r="F95" s="76" t="s">
        <v>82</v>
      </c>
      <c r="G95" s="45">
        <v>45930</v>
      </c>
      <c r="H95" s="46">
        <v>104</v>
      </c>
      <c r="I95" s="46">
        <v>99</v>
      </c>
      <c r="N95" s="53"/>
      <c r="O95" s="53"/>
      <c r="P95" s="53"/>
      <c r="Q95" s="53"/>
      <c r="R95" s="53"/>
      <c r="S95" s="53"/>
    </row>
    <row r="96" spans="1:23" s="52" customFormat="1" ht="33" customHeight="1" x14ac:dyDescent="0.2">
      <c r="A96" s="42">
        <v>90</v>
      </c>
      <c r="B96" s="80" t="s">
        <v>83</v>
      </c>
      <c r="C96" s="76">
        <v>0</v>
      </c>
      <c r="D96" s="81" t="s">
        <v>19</v>
      </c>
      <c r="E96" s="76" t="s">
        <v>84</v>
      </c>
      <c r="F96" s="76" t="s">
        <v>84</v>
      </c>
      <c r="G96" s="45">
        <v>45930</v>
      </c>
      <c r="H96" s="46">
        <v>147</v>
      </c>
      <c r="I96" s="46">
        <v>147</v>
      </c>
      <c r="N96" s="53"/>
      <c r="O96" s="53"/>
      <c r="P96" s="53"/>
      <c r="Q96" s="53"/>
      <c r="R96" s="53"/>
      <c r="S96" s="53"/>
    </row>
    <row r="97" spans="1:19" s="8" customFormat="1" ht="22.9" customHeight="1" x14ac:dyDescent="0.25">
      <c r="A97" s="10"/>
      <c r="B97" s="27"/>
      <c r="C97" s="28"/>
      <c r="D97" s="3"/>
      <c r="E97" s="29"/>
      <c r="F97" s="29"/>
      <c r="G97" s="24"/>
      <c r="H97" s="24"/>
      <c r="I97" s="24"/>
      <c r="N97" s="9"/>
      <c r="O97" s="9"/>
      <c r="P97" s="9"/>
      <c r="Q97" s="9"/>
      <c r="R97" s="9"/>
      <c r="S97" s="9"/>
    </row>
    <row r="98" spans="1:19" s="8" customFormat="1" ht="22.9" customHeight="1" x14ac:dyDescent="0.25">
      <c r="A98" s="10"/>
      <c r="B98" s="27"/>
      <c r="C98" s="28"/>
      <c r="D98" s="3"/>
      <c r="E98" s="29"/>
      <c r="F98" s="29"/>
      <c r="G98" s="24"/>
      <c r="H98" s="13"/>
      <c r="I98" s="13"/>
      <c r="N98" s="9"/>
      <c r="O98" s="9"/>
      <c r="P98" s="9"/>
      <c r="Q98" s="9"/>
      <c r="R98" s="9"/>
      <c r="S98" s="9"/>
    </row>
    <row r="99" spans="1:19" s="8" customFormat="1" ht="22.9" customHeight="1" x14ac:dyDescent="0.25">
      <c r="A99" s="10"/>
      <c r="B99" s="27"/>
      <c r="C99" s="28"/>
      <c r="D99" s="3"/>
      <c r="E99" s="29"/>
      <c r="F99" s="29"/>
      <c r="G99" s="24"/>
      <c r="H99" s="13"/>
      <c r="I99" s="13"/>
      <c r="N99" s="9"/>
      <c r="O99" s="9"/>
      <c r="P99" s="9"/>
      <c r="Q99" s="9"/>
      <c r="R99" s="9"/>
      <c r="S99" s="9"/>
    </row>
    <row r="100" spans="1:19" s="8" customFormat="1" ht="22.9" customHeight="1" x14ac:dyDescent="0.25">
      <c r="A100" s="10"/>
      <c r="B100" s="27"/>
      <c r="C100" s="28"/>
      <c r="D100" s="3"/>
      <c r="E100" s="29"/>
      <c r="F100" s="29"/>
      <c r="G100" s="24"/>
      <c r="H100" s="40"/>
      <c r="I100" s="40"/>
      <c r="N100" s="9"/>
      <c r="O100" s="9"/>
      <c r="P100" s="9"/>
      <c r="Q100" s="9"/>
      <c r="R100" s="9"/>
      <c r="S100" s="9"/>
    </row>
    <row r="101" spans="1:19" s="8" customFormat="1" ht="22.9" customHeight="1" x14ac:dyDescent="0.25">
      <c r="A101" s="10"/>
      <c r="B101" s="27"/>
      <c r="C101" s="28"/>
      <c r="D101" s="3"/>
      <c r="E101" s="29"/>
      <c r="F101" s="29"/>
      <c r="G101" s="24"/>
      <c r="H101" s="13"/>
      <c r="I101" s="13"/>
      <c r="N101" s="9"/>
      <c r="O101" s="9"/>
      <c r="P101" s="9"/>
      <c r="Q101" s="9"/>
      <c r="R101" s="9"/>
      <c r="S101" s="9"/>
    </row>
    <row r="102" spans="1:19" ht="22.9" customHeight="1" x14ac:dyDescent="0.25">
      <c r="A102" s="10"/>
      <c r="B102" s="14"/>
      <c r="C102" s="15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</row>
    <row r="103" spans="1:19" s="8" customFormat="1" ht="22.9" customHeight="1" x14ac:dyDescent="0.25">
      <c r="A103" s="12"/>
      <c r="B103" s="19" t="s">
        <v>186</v>
      </c>
      <c r="C103" s="20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</row>
    <row r="104" spans="1:19" ht="22.9" customHeight="1" x14ac:dyDescent="0.25">
      <c r="A104" s="10"/>
      <c r="B104" s="19"/>
      <c r="C104" s="15"/>
      <c r="D104" s="16"/>
      <c r="E104" s="16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</row>
    <row r="105" spans="1:19" ht="22.9" customHeight="1" x14ac:dyDescent="0.25">
      <c r="A105" s="10"/>
      <c r="B105" s="19"/>
      <c r="C105" s="15"/>
      <c r="D105" s="16"/>
      <c r="E105" s="16"/>
      <c r="F105" s="16"/>
      <c r="G105" s="17"/>
      <c r="H105" s="18"/>
      <c r="I105" s="18"/>
      <c r="N105" s="7"/>
      <c r="O105" s="7"/>
      <c r="P105" s="7"/>
      <c r="Q105" s="7"/>
      <c r="R105" s="7"/>
      <c r="S105" s="7"/>
    </row>
    <row r="106" spans="1:19" ht="22.9" customHeight="1" x14ac:dyDescent="0.25">
      <c r="B106" s="19"/>
      <c r="C106" s="15"/>
      <c r="D106" s="16"/>
      <c r="E106" s="16"/>
      <c r="F106" s="16"/>
      <c r="G106" s="17"/>
      <c r="N106" s="7"/>
      <c r="O106" s="7"/>
      <c r="P106" s="7"/>
      <c r="Q106" s="7"/>
      <c r="R106" s="7"/>
      <c r="S106" s="7"/>
    </row>
    <row r="107" spans="1:19" ht="22.9" customHeight="1" x14ac:dyDescent="0.25">
      <c r="B107" s="19"/>
      <c r="C107" s="15"/>
      <c r="D107" s="16"/>
      <c r="E107" s="16"/>
      <c r="F107" s="16"/>
      <c r="G107" s="17"/>
      <c r="N107" s="7"/>
      <c r="O107" s="7"/>
      <c r="P107" s="7"/>
      <c r="Q107" s="7"/>
      <c r="R107" s="7"/>
      <c r="S107" s="7"/>
    </row>
    <row r="108" spans="1:19" ht="22.9" customHeight="1" x14ac:dyDescent="0.25">
      <c r="B108" s="22"/>
      <c r="C108" s="15"/>
      <c r="D108" s="16"/>
      <c r="E108" s="16"/>
      <c r="F108" s="16"/>
      <c r="G108" s="17"/>
      <c r="N108" s="7"/>
      <c r="O108" s="7"/>
      <c r="P108" s="7"/>
      <c r="Q108" s="7"/>
      <c r="R108" s="7"/>
      <c r="S108" s="7"/>
    </row>
    <row r="109" spans="1:19" ht="22.9" customHeight="1" x14ac:dyDescent="0.25">
      <c r="B109" s="22" t="s">
        <v>187</v>
      </c>
      <c r="C109" s="102" t="s">
        <v>188</v>
      </c>
      <c r="D109" s="102"/>
      <c r="E109" s="16"/>
      <c r="F109" s="16"/>
      <c r="G109" s="17"/>
      <c r="N109" s="7"/>
      <c r="O109" s="7"/>
      <c r="P109" s="7"/>
      <c r="Q109" s="7"/>
      <c r="R109" s="7"/>
      <c r="S109" s="7"/>
    </row>
    <row r="110" spans="1:19" ht="22.9" customHeight="1" x14ac:dyDescent="0.25">
      <c r="B110" s="22" t="s">
        <v>189</v>
      </c>
      <c r="C110" s="103" t="s">
        <v>190</v>
      </c>
      <c r="D110" s="103"/>
      <c r="E110" s="16"/>
      <c r="F110" s="16"/>
      <c r="G110" s="17"/>
      <c r="N110" s="7"/>
      <c r="O110" s="7"/>
      <c r="P110" s="7"/>
      <c r="Q110" s="7"/>
      <c r="R110" s="7"/>
      <c r="S110" s="7"/>
    </row>
    <row r="111" spans="1:19" ht="22.9" customHeight="1" x14ac:dyDescent="0.25">
      <c r="B111" s="22"/>
      <c r="C111" s="15"/>
      <c r="D111" s="16"/>
      <c r="E111" s="16"/>
      <c r="F111" s="16"/>
      <c r="G111" s="17"/>
      <c r="N111" s="7"/>
      <c r="O111" s="7"/>
      <c r="P111" s="7"/>
      <c r="Q111" s="7"/>
      <c r="R111" s="7"/>
      <c r="S111" s="7"/>
    </row>
    <row r="112" spans="1:19" s="8" customFormat="1" ht="22.9" customHeight="1" x14ac:dyDescent="0.25">
      <c r="A112" s="2"/>
      <c r="B112" s="17"/>
      <c r="C112" s="20"/>
      <c r="D112" s="17"/>
      <c r="E112" s="17"/>
      <c r="F112" s="16"/>
      <c r="G112" s="17"/>
      <c r="H112" s="11"/>
      <c r="I112" s="11"/>
      <c r="N112" s="9"/>
      <c r="O112" s="9"/>
      <c r="P112" s="9"/>
      <c r="Q112" s="9"/>
      <c r="R112" s="9"/>
      <c r="S112" s="9"/>
    </row>
    <row r="113" spans="1:19" s="8" customFormat="1" ht="22.9" customHeight="1" x14ac:dyDescent="0.25">
      <c r="A113" s="2"/>
      <c r="B113" s="19" t="s">
        <v>191</v>
      </c>
      <c r="C113" s="20"/>
      <c r="D113" s="17"/>
      <c r="E113" s="17"/>
      <c r="F113" s="99"/>
      <c r="G113" s="99"/>
      <c r="H113" s="11"/>
      <c r="I113" s="11"/>
      <c r="N113" s="9"/>
      <c r="O113" s="9"/>
      <c r="P113" s="9"/>
      <c r="Q113" s="9"/>
      <c r="R113" s="9"/>
      <c r="S113" s="9"/>
    </row>
    <row r="114" spans="1:19" ht="22.9" customHeight="1" x14ac:dyDescent="0.25">
      <c r="B114" s="14"/>
      <c r="C114" s="15"/>
      <c r="D114" s="16"/>
      <c r="E114" s="16"/>
      <c r="F114" s="16"/>
      <c r="G114" s="17"/>
    </row>
    <row r="115" spans="1:19" ht="22.9" customHeight="1" x14ac:dyDescent="0.25">
      <c r="B115" s="14"/>
      <c r="C115" s="15"/>
      <c r="D115" s="16"/>
      <c r="E115" s="16"/>
      <c r="F115" s="16"/>
      <c r="G115" s="17"/>
    </row>
    <row r="116" spans="1:19" ht="22.9" customHeight="1" x14ac:dyDescent="0.25">
      <c r="B116" s="14"/>
      <c r="C116" s="15"/>
      <c r="D116" s="16"/>
      <c r="E116" s="16"/>
      <c r="F116" s="16"/>
      <c r="G116" s="17"/>
    </row>
    <row r="117" spans="1:19" ht="22.9" customHeight="1" x14ac:dyDescent="0.25">
      <c r="B117" s="14"/>
      <c r="C117" s="15"/>
      <c r="D117" s="16"/>
      <c r="E117" s="16"/>
      <c r="F117" s="16"/>
      <c r="G117" s="17"/>
    </row>
    <row r="118" spans="1:19" ht="22.9" customHeight="1" x14ac:dyDescent="0.25">
      <c r="B118" s="22" t="s">
        <v>187</v>
      </c>
      <c r="C118" s="102" t="s">
        <v>192</v>
      </c>
      <c r="D118" s="102"/>
      <c r="E118" s="16"/>
      <c r="F118" s="16"/>
      <c r="G118" s="17"/>
    </row>
    <row r="119" spans="1:19" ht="22.9" customHeight="1" x14ac:dyDescent="0.25">
      <c r="B119" s="22" t="s">
        <v>189</v>
      </c>
      <c r="C119" s="103" t="s">
        <v>197</v>
      </c>
      <c r="D119" s="103"/>
      <c r="E119" s="16"/>
      <c r="F119" s="16"/>
      <c r="G119" s="17"/>
    </row>
    <row r="120" spans="1:19" ht="22.9" customHeight="1" x14ac:dyDescent="0.25">
      <c r="B120" s="14"/>
      <c r="C120" s="15"/>
      <c r="D120" s="16"/>
      <c r="E120" s="16"/>
      <c r="F120" s="16"/>
      <c r="G120" s="17"/>
    </row>
    <row r="121" spans="1:19" ht="22.9" customHeight="1" x14ac:dyDescent="0.25">
      <c r="B121" s="14"/>
      <c r="C121" s="15"/>
      <c r="D121" s="16"/>
      <c r="E121" s="16"/>
      <c r="F121" s="16"/>
      <c r="G121" s="17"/>
    </row>
    <row r="122" spans="1:19" ht="22.9" customHeight="1" x14ac:dyDescent="0.25">
      <c r="B122" s="19" t="s">
        <v>193</v>
      </c>
      <c r="C122" s="20"/>
      <c r="D122" s="17"/>
      <c r="E122" s="16"/>
      <c r="F122" s="16"/>
      <c r="G122" s="17"/>
    </row>
    <row r="123" spans="1:19" ht="22.9" customHeight="1" x14ac:dyDescent="0.25">
      <c r="B123" s="14"/>
      <c r="C123" s="15"/>
      <c r="D123" s="16"/>
      <c r="E123" s="16"/>
      <c r="F123" s="16"/>
      <c r="G123" s="17"/>
    </row>
    <row r="124" spans="1:19" ht="22.9" customHeight="1" x14ac:dyDescent="0.25">
      <c r="B124" s="14"/>
      <c r="C124" s="15"/>
      <c r="D124" s="16"/>
      <c r="E124" s="16"/>
      <c r="F124" s="16"/>
      <c r="G124" s="17"/>
    </row>
    <row r="125" spans="1:19" ht="22.9" customHeight="1" x14ac:dyDescent="0.25">
      <c r="B125" s="14"/>
      <c r="C125" s="15"/>
      <c r="D125" s="16"/>
      <c r="E125" s="16"/>
      <c r="F125" s="16"/>
      <c r="G125" s="17"/>
    </row>
    <row r="126" spans="1:19" ht="22.9" customHeight="1" x14ac:dyDescent="0.25">
      <c r="B126" s="14"/>
      <c r="C126" s="15"/>
      <c r="D126" s="16"/>
      <c r="E126" s="16"/>
      <c r="F126" s="16"/>
      <c r="G126" s="17"/>
    </row>
    <row r="127" spans="1:19" ht="22.9" customHeight="1" x14ac:dyDescent="0.25">
      <c r="B127" s="22" t="s">
        <v>187</v>
      </c>
      <c r="C127" s="102"/>
      <c r="D127" s="102"/>
      <c r="E127" s="16"/>
      <c r="F127" s="16"/>
      <c r="G127" s="17"/>
    </row>
    <row r="128" spans="1:19" ht="22.9" customHeight="1" x14ac:dyDescent="0.25">
      <c r="B128" s="22" t="s">
        <v>189</v>
      </c>
      <c r="C128" s="101"/>
      <c r="D128" s="101"/>
      <c r="E128" s="16"/>
      <c r="F128" s="16"/>
      <c r="G128" s="17"/>
    </row>
    <row r="129" spans="2:7" ht="22.9" customHeight="1" x14ac:dyDescent="0.25">
      <c r="B129" s="14"/>
      <c r="C129" s="15"/>
      <c r="D129" s="16"/>
      <c r="E129" s="16"/>
      <c r="F129" s="16"/>
      <c r="G129" s="17"/>
    </row>
    <row r="130" spans="2:7" ht="22.9" customHeight="1" x14ac:dyDescent="0.25">
      <c r="B130" s="14"/>
      <c r="C130" s="15"/>
      <c r="D130" s="16"/>
      <c r="E130" s="16"/>
      <c r="F130" s="16"/>
      <c r="G130" s="17"/>
    </row>
    <row r="131" spans="2:7" ht="22.9" customHeight="1" x14ac:dyDescent="0.25"/>
    <row r="132" spans="2:7" ht="22.9" customHeight="1" x14ac:dyDescent="0.25"/>
    <row r="133" spans="2:7" ht="22.9" customHeight="1" x14ac:dyDescent="0.25"/>
    <row r="134" spans="2:7" ht="22.9" customHeight="1" x14ac:dyDescent="0.25"/>
    <row r="135" spans="2:7" ht="22.9" customHeight="1" x14ac:dyDescent="0.25"/>
    <row r="136" spans="2:7" ht="22.9" customHeight="1" x14ac:dyDescent="0.25"/>
    <row r="137" spans="2:7" ht="22.9" customHeight="1" x14ac:dyDescent="0.25"/>
    <row r="138" spans="2:7" ht="22.9" customHeight="1" x14ac:dyDescent="0.25"/>
    <row r="139" spans="2:7" ht="22.9" customHeight="1" x14ac:dyDescent="0.25"/>
    <row r="140" spans="2:7" ht="22.9" customHeight="1" x14ac:dyDescent="0.25"/>
    <row r="141" spans="2:7" ht="22.9" customHeight="1" x14ac:dyDescent="0.25"/>
    <row r="142" spans="2:7" ht="22.9" customHeight="1" x14ac:dyDescent="0.25"/>
    <row r="143" spans="2:7" ht="22.9" customHeight="1" x14ac:dyDescent="0.25"/>
    <row r="144" spans="2:7" ht="22.9" customHeight="1" x14ac:dyDescent="0.25"/>
    <row r="145" ht="22.9" customHeight="1" x14ac:dyDescent="0.25"/>
    <row r="146" ht="22.9" customHeight="1" x14ac:dyDescent="0.25"/>
    <row r="147" ht="22.9" customHeight="1" x14ac:dyDescent="0.25"/>
    <row r="148" ht="22.9" customHeight="1" x14ac:dyDescent="0.25"/>
    <row r="149" ht="22.9" customHeight="1" x14ac:dyDescent="0.25"/>
    <row r="150" ht="22.9" customHeight="1" x14ac:dyDescent="0.25"/>
    <row r="151" ht="22.9" customHeight="1" x14ac:dyDescent="0.25"/>
    <row r="152" ht="22.9" customHeight="1" x14ac:dyDescent="0.25"/>
    <row r="153" ht="22.9" customHeight="1" x14ac:dyDescent="0.25"/>
    <row r="154" ht="22.9" customHeight="1" x14ac:dyDescent="0.25"/>
    <row r="155" ht="22.9" customHeight="1" x14ac:dyDescent="0.25"/>
    <row r="156" ht="22.9" customHeight="1" x14ac:dyDescent="0.25"/>
    <row r="157" ht="22.9" customHeight="1" x14ac:dyDescent="0.25"/>
    <row r="158" ht="22.9" customHeight="1" x14ac:dyDescent="0.25"/>
    <row r="159" ht="22.9" customHeight="1" x14ac:dyDescent="0.25"/>
    <row r="160" ht="22.9" customHeight="1" x14ac:dyDescent="0.25"/>
    <row r="161" ht="22.9" customHeight="1" x14ac:dyDescent="0.25"/>
    <row r="162" ht="22.9" customHeight="1" x14ac:dyDescent="0.25"/>
    <row r="163" ht="22.9" customHeight="1" x14ac:dyDescent="0.25"/>
    <row r="164" ht="22.9" customHeight="1" x14ac:dyDescent="0.25"/>
    <row r="165" ht="22.9" customHeight="1" x14ac:dyDescent="0.25"/>
    <row r="166" ht="22.9" customHeight="1" x14ac:dyDescent="0.25"/>
    <row r="167" ht="22.9" customHeight="1" x14ac:dyDescent="0.25"/>
    <row r="168" ht="22.9" customHeight="1" x14ac:dyDescent="0.25"/>
    <row r="169" ht="22.9" customHeight="1" x14ac:dyDescent="0.25"/>
    <row r="170" ht="22.9" customHeight="1" x14ac:dyDescent="0.25"/>
    <row r="171" ht="22.9" customHeight="1" x14ac:dyDescent="0.25"/>
    <row r="172" ht="22.9" customHeight="1" x14ac:dyDescent="0.25"/>
    <row r="173" ht="22.9" customHeight="1" x14ac:dyDescent="0.25"/>
    <row r="174" ht="22.9" customHeight="1" x14ac:dyDescent="0.25"/>
    <row r="175" ht="22.9" customHeight="1" x14ac:dyDescent="0.25"/>
    <row r="176" ht="22.9" customHeight="1" x14ac:dyDescent="0.25"/>
    <row r="177" ht="22.9" customHeight="1" x14ac:dyDescent="0.25"/>
    <row r="178" ht="22.9" customHeight="1" x14ac:dyDescent="0.25"/>
    <row r="179" ht="22.9" customHeight="1" x14ac:dyDescent="0.25"/>
    <row r="180" ht="22.9" customHeight="1" x14ac:dyDescent="0.25"/>
    <row r="181" ht="22.9" customHeight="1" x14ac:dyDescent="0.25"/>
    <row r="182" ht="22.9" customHeight="1" x14ac:dyDescent="0.25"/>
    <row r="183" ht="22.9" customHeight="1" x14ac:dyDescent="0.25"/>
    <row r="184" ht="22.9" customHeight="1" x14ac:dyDescent="0.25"/>
    <row r="185" ht="22.9" customHeight="1" x14ac:dyDescent="0.25"/>
    <row r="186" ht="22.9" customHeight="1" x14ac:dyDescent="0.25"/>
    <row r="187" ht="22.9" customHeight="1" x14ac:dyDescent="0.25"/>
    <row r="188" ht="22.9" customHeight="1" x14ac:dyDescent="0.25"/>
    <row r="189" ht="22.9" customHeight="1" x14ac:dyDescent="0.25"/>
    <row r="190" ht="22.9" customHeight="1" x14ac:dyDescent="0.25"/>
    <row r="191" ht="22.9" customHeight="1" x14ac:dyDescent="0.25"/>
  </sheetData>
  <mergeCells count="13">
    <mergeCell ref="F113:G113"/>
    <mergeCell ref="H7:I7"/>
    <mergeCell ref="C128:D128"/>
    <mergeCell ref="C109:D109"/>
    <mergeCell ref="C110:D110"/>
    <mergeCell ref="C118:D118"/>
    <mergeCell ref="C119:D119"/>
    <mergeCell ref="C127:D127"/>
    <mergeCell ref="C1:E1"/>
    <mergeCell ref="C3:E3"/>
    <mergeCell ref="C4:E4"/>
    <mergeCell ref="C5:E5"/>
    <mergeCell ref="C6:E6"/>
  </mergeCells>
  <printOptions horizontalCentered="1"/>
  <pageMargins left="0.19685039370078741" right="0.19685039370078741" top="0.59055118110236227" bottom="0.39370078740157483" header="0" footer="0"/>
  <pageSetup paperSize="8" scale="27" orientation="landscape" horizontalDpi="1200" verticalDpi="1200" r:id="rId1"/>
  <headerFooter alignWithMargins="0"/>
  <rowBreaks count="1" manualBreakCount="1">
    <brk id="64" max="32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E202F-A2DC-40AC-A427-29877EB2E2BC}">
  <dimension ref="A1:O185"/>
  <sheetViews>
    <sheetView showGridLines="0" tabSelected="1" zoomScale="85" zoomScaleNormal="85" zoomScaleSheetLayoutView="10" workbookViewId="0">
      <pane xSplit="2" ySplit="4" topLeftCell="C5" activePane="bottomRight" state="frozen"/>
      <selection pane="topRight" activeCell="C1" sqref="C1"/>
      <selection pane="bottomLeft" activeCell="A9" sqref="A9"/>
      <selection pane="bottomRight" activeCell="C3" sqref="C3"/>
    </sheetView>
  </sheetViews>
  <sheetFormatPr defaultColWidth="9.140625" defaultRowHeight="15.75" x14ac:dyDescent="0.25"/>
  <cols>
    <col min="1" max="1" width="7.28515625" style="11" customWidth="1"/>
    <col min="2" max="2" width="54.42578125" style="6" customWidth="1"/>
    <col min="3" max="3" width="15.85546875" style="3" customWidth="1"/>
    <col min="4" max="4" width="16.7109375" style="2" customWidth="1"/>
    <col min="5" max="5" width="16.7109375" style="11" customWidth="1"/>
    <col min="6" max="6" width="25" style="6" customWidth="1"/>
    <col min="7" max="7" width="24.7109375" style="6" customWidth="1"/>
    <col min="8" max="9" width="18.85546875" style="6" customWidth="1"/>
    <col min="10" max="11" width="17.5703125" style="6" customWidth="1"/>
    <col min="12" max="12" width="15" style="6" customWidth="1"/>
    <col min="13" max="13" width="17.140625" style="6" customWidth="1"/>
    <col min="14" max="14" width="18.140625" style="6" customWidth="1"/>
    <col min="15" max="15" width="19.5703125" style="6" customWidth="1"/>
    <col min="16" max="16" width="9.140625" style="6"/>
    <col min="17" max="17" width="16.42578125" style="6" customWidth="1"/>
    <col min="18" max="16384" width="9.140625" style="6"/>
  </cols>
  <sheetData>
    <row r="1" spans="1:15" s="1" customFormat="1" ht="18" x14ac:dyDescent="0.25">
      <c r="A1" s="21"/>
      <c r="B1" s="21" t="s">
        <v>6</v>
      </c>
      <c r="C1" s="90">
        <v>2025</v>
      </c>
      <c r="D1" s="21"/>
      <c r="E1" s="21"/>
    </row>
    <row r="2" spans="1:15" s="1" customFormat="1" ht="18" x14ac:dyDescent="0.25">
      <c r="A2" s="21"/>
      <c r="B2" s="21" t="s">
        <v>7</v>
      </c>
      <c r="C2" s="90" t="s">
        <v>239</v>
      </c>
      <c r="D2" s="21"/>
    </row>
    <row r="3" spans="1:15" s="5" customFormat="1" x14ac:dyDescent="0.25">
      <c r="A3" s="4"/>
      <c r="B3" s="30"/>
      <c r="C3" s="31"/>
      <c r="D3" s="4"/>
      <c r="E3" s="1"/>
    </row>
    <row r="4" spans="1:15" s="36" customFormat="1" ht="31.5" x14ac:dyDescent="0.25">
      <c r="A4" s="37" t="s">
        <v>9</v>
      </c>
      <c r="B4" s="37" t="s">
        <v>10</v>
      </c>
      <c r="C4" s="96" t="s">
        <v>222</v>
      </c>
      <c r="D4" s="32" t="s">
        <v>15</v>
      </c>
      <c r="E4" s="33" t="s">
        <v>16</v>
      </c>
      <c r="F4" s="104" t="s">
        <v>223</v>
      </c>
      <c r="G4" s="105" t="s">
        <v>224</v>
      </c>
      <c r="H4" s="105" t="s">
        <v>225</v>
      </c>
      <c r="I4" s="106" t="s">
        <v>226</v>
      </c>
    </row>
    <row r="5" spans="1:15" s="49" customFormat="1" ht="15" x14ac:dyDescent="0.25">
      <c r="A5" s="42">
        <v>1</v>
      </c>
      <c r="B5" s="43" t="s">
        <v>18</v>
      </c>
      <c r="C5" s="44">
        <v>500758</v>
      </c>
      <c r="D5" s="45">
        <v>45869</v>
      </c>
      <c r="E5" s="46">
        <v>100</v>
      </c>
      <c r="F5" s="47" t="str">
        <f>IFERROR(VLOOKUP($C5,'[1]MIA&amp;RATE-CONV-OCT25'!$D:$H,2,FALSE),"")</f>
        <v>FIXED</v>
      </c>
      <c r="G5" s="47">
        <f>IFERROR(VLOOKUP($C5,'[1]MIA&amp;RATE-CONV-OCT25'!$D:$H,3,FALSE),"")</f>
        <v>0</v>
      </c>
      <c r="H5" s="47">
        <f>IFERROR(VLOOKUP($C5,'[1]MIA&amp;RATE-CONV-OCT25'!$D:$H,4,FALSE),"")</f>
        <v>3</v>
      </c>
      <c r="I5" s="107">
        <f>IFERROR(VLOOKUP($C5,'[1]MIA&amp;RATE-CONV-OCT25'!$D:$H,5,FALSE),"")</f>
        <v>0.01</v>
      </c>
      <c r="J5" s="48"/>
      <c r="K5" s="48"/>
      <c r="L5" s="48"/>
      <c r="M5" s="48"/>
      <c r="N5" s="48"/>
      <c r="O5" s="48"/>
    </row>
    <row r="6" spans="1:15" s="49" customFormat="1" ht="15" x14ac:dyDescent="0.25">
      <c r="A6" s="42">
        <v>2</v>
      </c>
      <c r="B6" s="43" t="s">
        <v>21</v>
      </c>
      <c r="C6" s="44">
        <v>500771</v>
      </c>
      <c r="D6" s="45">
        <v>45869</v>
      </c>
      <c r="E6" s="46">
        <v>51</v>
      </c>
      <c r="F6" s="47" t="s">
        <v>231</v>
      </c>
      <c r="G6" s="47">
        <v>0</v>
      </c>
      <c r="H6" s="47">
        <v>0</v>
      </c>
      <c r="I6" s="107">
        <v>2.75E-2</v>
      </c>
      <c r="J6" s="48"/>
      <c r="K6" s="48"/>
      <c r="L6" s="48"/>
      <c r="M6" s="48"/>
      <c r="N6" s="48"/>
      <c r="O6" s="48"/>
    </row>
    <row r="7" spans="1:15" s="49" customFormat="1" ht="15" x14ac:dyDescent="0.25">
      <c r="A7" s="42">
        <v>3</v>
      </c>
      <c r="B7" s="43" t="s">
        <v>24</v>
      </c>
      <c r="C7" s="44">
        <v>500512</v>
      </c>
      <c r="D7" s="45">
        <v>45869</v>
      </c>
      <c r="E7" s="46">
        <v>100</v>
      </c>
      <c r="F7" s="47" t="str">
        <f>IFERROR(VLOOKUP($C7,'[1]MIA&amp;RATE-CONV-OCT25'!$D:$H,2,FALSE),"")</f>
        <v>FIXED</v>
      </c>
      <c r="G7" s="47">
        <f>IFERROR(VLOOKUP($C7,'[1]MIA&amp;RATE-CONV-OCT25'!$D:$H,3,FALSE),"")</f>
        <v>0</v>
      </c>
      <c r="H7" s="47">
        <f>IFERROR(VLOOKUP($C7,'[1]MIA&amp;RATE-CONV-OCT25'!$D:$H,4,FALSE),"")</f>
        <v>6</v>
      </c>
      <c r="I7" s="107">
        <f>IFERROR(VLOOKUP($C7,'[1]MIA&amp;RATE-CONV-OCT25'!$D:$H,5,FALSE),"")</f>
        <v>0.01</v>
      </c>
      <c r="J7" s="48"/>
      <c r="K7" s="48"/>
      <c r="L7" s="48"/>
      <c r="M7" s="48"/>
      <c r="N7" s="48"/>
      <c r="O7" s="48"/>
    </row>
    <row r="8" spans="1:15" s="49" customFormat="1" ht="15" x14ac:dyDescent="0.25">
      <c r="A8" s="42">
        <v>4</v>
      </c>
      <c r="B8" s="43" t="s">
        <v>31</v>
      </c>
      <c r="C8" s="91">
        <v>100374</v>
      </c>
      <c r="D8" s="45">
        <v>45869</v>
      </c>
      <c r="E8" s="46">
        <v>34</v>
      </c>
      <c r="F8" s="47" t="str">
        <f>IFERROR(VLOOKUP($C8,'[1]MIA&amp;RATE-CONV-OCT25'!$D:$H,2,FALSE),"")</f>
        <v>COF</v>
      </c>
      <c r="G8" s="47">
        <f>IFERROR(VLOOKUP($C8,'[1]MIA&amp;RATE-CONV-OCT25'!$D:$H,3,FALSE),"")</f>
        <v>1.75</v>
      </c>
      <c r="H8" s="47">
        <f>IFERROR(VLOOKUP($C8,'[1]MIA&amp;RATE-CONV-OCT25'!$D:$H,4,FALSE),"")</f>
        <v>8.08</v>
      </c>
      <c r="I8" s="107">
        <f>IFERROR(VLOOKUP($C8,'[1]MIA&amp;RATE-CONV-OCT25'!$D:$H,5,FALSE),"")</f>
        <v>0.02</v>
      </c>
      <c r="J8" s="48"/>
      <c r="K8" s="48"/>
      <c r="L8" s="48"/>
      <c r="M8" s="48"/>
      <c r="N8" s="48"/>
      <c r="O8" s="48"/>
    </row>
    <row r="9" spans="1:15" s="49" customFormat="1" ht="15" x14ac:dyDescent="0.25">
      <c r="A9" s="42">
        <v>7</v>
      </c>
      <c r="B9" s="54" t="s">
        <v>36</v>
      </c>
      <c r="C9" s="44">
        <v>501000</v>
      </c>
      <c r="D9" s="45">
        <v>45869</v>
      </c>
      <c r="E9" s="46">
        <v>78</v>
      </c>
      <c r="F9" s="47" t="str">
        <f>IFERROR(VLOOKUP($C9,'[1]MIA&amp;RATE-CONV-OCT25'!$D:$H,2,FALSE),"")</f>
        <v>COF</v>
      </c>
      <c r="G9" s="47">
        <f>IFERROR(VLOOKUP($C9,'[1]MIA&amp;RATE-CONV-OCT25'!$D:$H,3,FALSE),"")</f>
        <v>2</v>
      </c>
      <c r="H9" s="47">
        <f>IFERROR(VLOOKUP($C9,'[1]MIA&amp;RATE-CONV-OCT25'!$D:$H,4,FALSE),"")</f>
        <v>6.52</v>
      </c>
      <c r="I9" s="107">
        <f>IFERROR(VLOOKUP($C9,'[1]MIA&amp;RATE-CONV-OCT25'!$D:$H,5,FALSE),"")</f>
        <v>6.5199999999999994E-2</v>
      </c>
      <c r="J9" s="48"/>
      <c r="K9" s="48"/>
      <c r="N9" s="48"/>
      <c r="O9" s="48"/>
    </row>
    <row r="10" spans="1:15" s="49" customFormat="1" ht="15" x14ac:dyDescent="0.25">
      <c r="A10" s="42">
        <v>8</v>
      </c>
      <c r="B10" s="54" t="s">
        <v>38</v>
      </c>
      <c r="C10" s="44">
        <v>500850</v>
      </c>
      <c r="D10" s="45">
        <v>45869</v>
      </c>
      <c r="E10" s="46">
        <v>88</v>
      </c>
      <c r="F10" s="47" t="s">
        <v>229</v>
      </c>
      <c r="G10" s="47">
        <v>0</v>
      </c>
      <c r="H10" s="47">
        <v>0</v>
      </c>
      <c r="I10" s="107">
        <v>0.01</v>
      </c>
      <c r="J10" s="48"/>
      <c r="K10" s="48"/>
      <c r="N10" s="48"/>
      <c r="O10" s="48"/>
    </row>
    <row r="11" spans="1:15" s="52" customFormat="1" ht="15" x14ac:dyDescent="0.2">
      <c r="A11" s="42">
        <v>9</v>
      </c>
      <c r="B11" s="55" t="s">
        <v>40</v>
      </c>
      <c r="C11" s="44">
        <v>500676</v>
      </c>
      <c r="D11" s="45">
        <v>45869</v>
      </c>
      <c r="E11" s="46">
        <v>120</v>
      </c>
      <c r="F11" s="47" t="s">
        <v>230</v>
      </c>
      <c r="G11" s="47">
        <v>0</v>
      </c>
      <c r="H11" s="47">
        <v>0</v>
      </c>
      <c r="I11" s="107">
        <v>2.75E-2</v>
      </c>
      <c r="J11" s="53"/>
      <c r="K11" s="53"/>
    </row>
    <row r="12" spans="1:15" s="52" customFormat="1" ht="15" x14ac:dyDescent="0.2">
      <c r="A12" s="42">
        <v>10</v>
      </c>
      <c r="B12" s="55" t="s">
        <v>42</v>
      </c>
      <c r="C12" s="44">
        <v>500910</v>
      </c>
      <c r="D12" s="45">
        <v>45869</v>
      </c>
      <c r="E12" s="46">
        <v>85</v>
      </c>
      <c r="F12" s="47" t="s">
        <v>230</v>
      </c>
      <c r="G12" s="47">
        <v>0</v>
      </c>
      <c r="H12" s="47">
        <v>0</v>
      </c>
      <c r="I12" s="107">
        <v>2.75E-2</v>
      </c>
      <c r="J12" s="53"/>
      <c r="K12" s="53"/>
    </row>
    <row r="13" spans="1:15" s="57" customFormat="1" x14ac:dyDescent="0.25">
      <c r="A13" s="42">
        <v>11</v>
      </c>
      <c r="B13" s="55" t="s">
        <v>45</v>
      </c>
      <c r="C13" s="44">
        <v>500692</v>
      </c>
      <c r="D13" s="45">
        <v>45869</v>
      </c>
      <c r="E13" s="46">
        <v>85</v>
      </c>
      <c r="F13" s="47" t="s">
        <v>229</v>
      </c>
      <c r="G13" s="47">
        <v>0</v>
      </c>
      <c r="H13" s="47">
        <v>0</v>
      </c>
      <c r="I13" s="107">
        <v>2.76E-2</v>
      </c>
      <c r="J13" s="58"/>
      <c r="K13" s="58"/>
    </row>
    <row r="14" spans="1:15" s="57" customFormat="1" x14ac:dyDescent="0.25">
      <c r="A14" s="42">
        <v>13</v>
      </c>
      <c r="B14" s="55" t="s">
        <v>54</v>
      </c>
      <c r="C14" s="56">
        <v>500879</v>
      </c>
      <c r="D14" s="45">
        <v>45869</v>
      </c>
      <c r="E14" s="46">
        <v>78</v>
      </c>
      <c r="F14" s="47" t="s">
        <v>230</v>
      </c>
      <c r="G14" s="47">
        <v>0</v>
      </c>
      <c r="H14" s="47">
        <v>0</v>
      </c>
      <c r="I14" s="107">
        <v>2.7400000000000001E-2</v>
      </c>
      <c r="J14" s="58"/>
      <c r="K14" s="58"/>
    </row>
    <row r="15" spans="1:15" s="52" customFormat="1" ht="15" x14ac:dyDescent="0.2">
      <c r="A15" s="42">
        <v>14</v>
      </c>
      <c r="B15" s="55" t="s">
        <v>56</v>
      </c>
      <c r="C15" s="56">
        <v>500274</v>
      </c>
      <c r="D15" s="45">
        <v>45869</v>
      </c>
      <c r="E15" s="46">
        <v>150</v>
      </c>
      <c r="F15" s="47" t="str">
        <f>IFERROR(VLOOKUP($C15,'[1]MIA&amp;RATE-CONV-OCT25'!$D:$H,2,FALSE),"")</f>
        <v>3MLIBOR</v>
      </c>
      <c r="G15" s="47">
        <f>IFERROR(VLOOKUP($C15,'[1]MIA&amp;RATE-CONV-OCT25'!$D:$H,3,FALSE),"")</f>
        <v>3</v>
      </c>
      <c r="H15" s="47">
        <f>IFERROR(VLOOKUP($C15,'[1]MIA&amp;RATE-CONV-OCT25'!$D:$H,4,FALSE),"")</f>
        <v>9.19</v>
      </c>
      <c r="I15" s="107">
        <f>IFERROR(VLOOKUP($C15,'[1]MIA&amp;RATE-CONV-OCT25'!$D:$H,5,FALSE),"")</f>
        <v>0.01</v>
      </c>
      <c r="J15" s="53"/>
      <c r="K15" s="53"/>
    </row>
    <row r="16" spans="1:15" s="52" customFormat="1" ht="15" x14ac:dyDescent="0.2">
      <c r="A16" s="42">
        <v>15</v>
      </c>
      <c r="B16" s="55" t="s">
        <v>58</v>
      </c>
      <c r="C16" s="56">
        <v>500776</v>
      </c>
      <c r="D16" s="45">
        <v>45869</v>
      </c>
      <c r="E16" s="46">
        <v>79</v>
      </c>
      <c r="F16" s="47" t="str">
        <f>IFERROR(VLOOKUP($C16,'[1]MIA&amp;RATE-CONV-OCT25'!$D:$H,2,FALSE),"")</f>
        <v>FIXED</v>
      </c>
      <c r="G16" s="47">
        <f>IFERROR(VLOOKUP($C16,'[1]MIA&amp;RATE-CONV-OCT25'!$D:$H,3,FALSE),"")</f>
        <v>2.25</v>
      </c>
      <c r="H16" s="47">
        <f>IFERROR(VLOOKUP($C16,'[1]MIA&amp;RATE-CONV-OCT25'!$D:$H,4,FALSE),"")</f>
        <v>6.5640000000000001</v>
      </c>
      <c r="I16" s="107">
        <f>IFERROR(VLOOKUP($C16,'[1]MIA&amp;RATE-CONV-OCT25'!$D:$H,5,FALSE),"")</f>
        <v>8.5640999999999995E-2</v>
      </c>
      <c r="J16" s="53"/>
      <c r="K16" s="53"/>
    </row>
    <row r="17" spans="1:11" s="52" customFormat="1" ht="15" x14ac:dyDescent="0.2">
      <c r="A17" s="42">
        <v>16</v>
      </c>
      <c r="B17" s="55" t="s">
        <v>58</v>
      </c>
      <c r="C17" s="56">
        <v>500781</v>
      </c>
      <c r="D17" s="45">
        <v>45869</v>
      </c>
      <c r="E17" s="46">
        <v>79</v>
      </c>
      <c r="F17" s="47" t="str">
        <f>IFERROR(VLOOKUP($C17,'[1]MIA&amp;RATE-CONV-OCT25'!$D:$H,2,FALSE),"")</f>
        <v>FIXED</v>
      </c>
      <c r="G17" s="47">
        <f>IFERROR(VLOOKUP($C17,'[1]MIA&amp;RATE-CONV-OCT25'!$D:$H,3,FALSE),"")</f>
        <v>2.25</v>
      </c>
      <c r="H17" s="47">
        <f>IFERROR(VLOOKUP($C17,'[1]MIA&amp;RATE-CONV-OCT25'!$D:$H,4,FALSE),"")</f>
        <v>6.5640000000000001</v>
      </c>
      <c r="I17" s="107">
        <f>IFERROR(VLOOKUP($C17,'[1]MIA&amp;RATE-CONV-OCT25'!$D:$H,5,FALSE),"")</f>
        <v>8.5640999999999995E-2</v>
      </c>
      <c r="J17" s="53"/>
      <c r="K17" s="53"/>
    </row>
    <row r="18" spans="1:11" s="52" customFormat="1" ht="15" x14ac:dyDescent="0.2">
      <c r="A18" s="42">
        <v>17</v>
      </c>
      <c r="B18" s="55" t="s">
        <v>61</v>
      </c>
      <c r="C18" s="56">
        <v>500705</v>
      </c>
      <c r="D18" s="45">
        <v>45869</v>
      </c>
      <c r="E18" s="46">
        <v>129</v>
      </c>
      <c r="F18" s="47" t="s">
        <v>229</v>
      </c>
      <c r="G18" s="47">
        <v>3</v>
      </c>
      <c r="H18" s="47">
        <v>0</v>
      </c>
      <c r="I18" s="107">
        <v>2.7799999999999998E-2</v>
      </c>
      <c r="J18" s="53"/>
      <c r="K18" s="53"/>
    </row>
    <row r="19" spans="1:11" s="52" customFormat="1" ht="15" x14ac:dyDescent="0.2">
      <c r="A19" s="42">
        <v>18</v>
      </c>
      <c r="B19" s="55" t="s">
        <v>66</v>
      </c>
      <c r="C19" s="56">
        <v>501046</v>
      </c>
      <c r="D19" s="45">
        <v>45869</v>
      </c>
      <c r="E19" s="46">
        <v>22</v>
      </c>
      <c r="F19" s="47" t="s">
        <v>230</v>
      </c>
      <c r="G19" s="47">
        <v>2.75</v>
      </c>
      <c r="H19" s="47">
        <v>8.9700000000000006</v>
      </c>
      <c r="I19" s="107">
        <v>0.01</v>
      </c>
      <c r="J19" s="53"/>
      <c r="K19" s="53"/>
    </row>
    <row r="20" spans="1:11" s="52" customFormat="1" ht="15" x14ac:dyDescent="0.2">
      <c r="A20" s="42">
        <v>19</v>
      </c>
      <c r="B20" s="55" t="s">
        <v>68</v>
      </c>
      <c r="C20" s="56">
        <v>500722</v>
      </c>
      <c r="D20" s="45">
        <v>45869</v>
      </c>
      <c r="E20" s="46">
        <v>3</v>
      </c>
      <c r="F20" s="47" t="s">
        <v>232</v>
      </c>
      <c r="G20" s="47">
        <v>0</v>
      </c>
      <c r="H20" s="47">
        <v>7</v>
      </c>
      <c r="I20" s="107">
        <v>0.01</v>
      </c>
      <c r="J20" s="53"/>
      <c r="K20" s="53"/>
    </row>
    <row r="21" spans="1:11" s="52" customFormat="1" ht="15" x14ac:dyDescent="0.2">
      <c r="A21" s="42">
        <v>20</v>
      </c>
      <c r="B21" s="55" t="s">
        <v>71</v>
      </c>
      <c r="C21" s="56">
        <v>500826</v>
      </c>
      <c r="D21" s="45">
        <v>45869</v>
      </c>
      <c r="E21" s="46">
        <v>100</v>
      </c>
      <c r="F21" s="47" t="s">
        <v>230</v>
      </c>
      <c r="G21" s="47">
        <v>0</v>
      </c>
      <c r="H21" s="47">
        <v>0</v>
      </c>
      <c r="I21" s="107">
        <v>2.75E-2</v>
      </c>
      <c r="J21" s="53"/>
      <c r="K21" s="53"/>
    </row>
    <row r="22" spans="1:11" s="52" customFormat="1" ht="15" x14ac:dyDescent="0.2">
      <c r="A22" s="42">
        <v>21</v>
      </c>
      <c r="B22" s="55" t="s">
        <v>75</v>
      </c>
      <c r="C22" s="56">
        <v>500558</v>
      </c>
      <c r="D22" s="45">
        <v>45869</v>
      </c>
      <c r="E22" s="46">
        <v>129</v>
      </c>
      <c r="F22" s="47" t="str">
        <f>IFERROR(VLOOKUP($C22,'[1]MIA&amp;RATE-CONV-OCT25'!$D:$H,2,FALSE),"")</f>
        <v>3M LIBOR</v>
      </c>
      <c r="G22" s="47">
        <f>IFERROR(VLOOKUP($C22,'[1]MIA&amp;RATE-CONV-OCT25'!$D:$H,3,FALSE),"")</f>
        <v>3.5</v>
      </c>
      <c r="H22" s="47">
        <f>IFERROR(VLOOKUP($C22,'[1]MIA&amp;RATE-CONV-OCT25'!$D:$H,4,FALSE),"")</f>
        <v>9.69</v>
      </c>
      <c r="I22" s="107">
        <f>IFERROR(VLOOKUP($C22,'[1]MIA&amp;RATE-CONV-OCT25'!$D:$H,5,FALSE),"")</f>
        <v>0.01</v>
      </c>
      <c r="J22" s="53"/>
      <c r="K22" s="53"/>
    </row>
    <row r="23" spans="1:11" s="52" customFormat="1" ht="15" x14ac:dyDescent="0.2">
      <c r="A23" s="42">
        <v>22</v>
      </c>
      <c r="B23" s="55" t="s">
        <v>77</v>
      </c>
      <c r="C23" s="56">
        <v>500557</v>
      </c>
      <c r="D23" s="45">
        <v>45869</v>
      </c>
      <c r="E23" s="46">
        <v>129</v>
      </c>
      <c r="F23" s="47" t="str">
        <f>IFERROR(VLOOKUP($C23,'[1]MIA&amp;RATE-CONV-OCT25'!$D:$H,2,FALSE),"")</f>
        <v>3M LIBOR</v>
      </c>
      <c r="G23" s="47">
        <f>IFERROR(VLOOKUP($C23,'[1]MIA&amp;RATE-CONV-OCT25'!$D:$H,3,FALSE),"")</f>
        <v>3.5</v>
      </c>
      <c r="H23" s="47">
        <f>IFERROR(VLOOKUP($C23,'[1]MIA&amp;RATE-CONV-OCT25'!$D:$H,4,FALSE),"")</f>
        <v>9.69</v>
      </c>
      <c r="I23" s="107">
        <f>IFERROR(VLOOKUP($C23,'[1]MIA&amp;RATE-CONV-OCT25'!$D:$H,5,FALSE),"")</f>
        <v>0.01</v>
      </c>
      <c r="J23" s="53"/>
      <c r="K23" s="53"/>
    </row>
    <row r="24" spans="1:11" s="52" customFormat="1" ht="15" x14ac:dyDescent="0.2">
      <c r="A24" s="42">
        <v>23</v>
      </c>
      <c r="B24" s="55" t="s">
        <v>85</v>
      </c>
      <c r="C24" s="56">
        <v>500897</v>
      </c>
      <c r="D24" s="45">
        <v>45869</v>
      </c>
      <c r="E24" s="46">
        <v>74</v>
      </c>
      <c r="F24" s="47" t="s">
        <v>227</v>
      </c>
      <c r="G24" s="47">
        <v>0</v>
      </c>
      <c r="H24" s="47">
        <v>0</v>
      </c>
      <c r="I24" s="107">
        <v>2.5000000000000001E-3</v>
      </c>
      <c r="J24" s="53"/>
      <c r="K24" s="53"/>
    </row>
    <row r="25" spans="1:11" s="52" customFormat="1" ht="15" x14ac:dyDescent="0.2">
      <c r="A25" s="42">
        <v>24</v>
      </c>
      <c r="B25" s="55" t="s">
        <v>87</v>
      </c>
      <c r="C25" s="56">
        <v>500010</v>
      </c>
      <c r="D25" s="45">
        <v>45869</v>
      </c>
      <c r="E25" s="46">
        <v>190</v>
      </c>
      <c r="F25" s="47" t="str">
        <f>IFERROR(VLOOKUP($C25,'[1]MIA&amp;RATE-CONV-OCT25'!$D:$H,2,FALSE),"")</f>
        <v>3M LIBOR</v>
      </c>
      <c r="G25" s="47">
        <f>IFERROR(VLOOKUP($C25,'[1]MIA&amp;RATE-CONV-OCT25'!$D:$H,3,FALSE),"")</f>
        <v>0</v>
      </c>
      <c r="H25" s="47">
        <f>IFERROR(VLOOKUP($C25,'[1]MIA&amp;RATE-CONV-OCT25'!$D:$H,4,FALSE),"")</f>
        <v>2.75</v>
      </c>
      <c r="I25" s="107">
        <f>IFERROR(VLOOKUP($C25,'[1]MIA&amp;RATE-CONV-OCT25'!$D:$H,5,FALSE),"")</f>
        <v>0.01</v>
      </c>
      <c r="J25" s="53"/>
      <c r="K25" s="53"/>
    </row>
    <row r="26" spans="1:11" s="52" customFormat="1" ht="15" x14ac:dyDescent="0.2">
      <c r="A26" s="42">
        <v>25</v>
      </c>
      <c r="B26" s="55" t="s">
        <v>89</v>
      </c>
      <c r="C26" s="56">
        <v>500011</v>
      </c>
      <c r="D26" s="45">
        <v>45869</v>
      </c>
      <c r="E26" s="46">
        <v>191</v>
      </c>
      <c r="F26" s="47" t="str">
        <f>IFERROR(VLOOKUP($C26,'[1]MIA&amp;RATE-CONV-OCT25'!$D:$H,2,FALSE),"")</f>
        <v>3M LIBOR</v>
      </c>
      <c r="G26" s="47">
        <f>IFERROR(VLOOKUP($C26,'[1]MIA&amp;RATE-CONV-OCT25'!$D:$H,3,FALSE),"")</f>
        <v>0</v>
      </c>
      <c r="H26" s="47">
        <f>IFERROR(VLOOKUP($C26,'[1]MIA&amp;RATE-CONV-OCT25'!$D:$H,4,FALSE),"")</f>
        <v>2.75</v>
      </c>
      <c r="I26" s="107">
        <f>IFERROR(VLOOKUP($C26,'[1]MIA&amp;RATE-CONV-OCT25'!$D:$H,5,FALSE),"")</f>
        <v>0.01</v>
      </c>
      <c r="J26" s="53"/>
      <c r="K26" s="53"/>
    </row>
    <row r="27" spans="1:11" s="52" customFormat="1" ht="15" x14ac:dyDescent="0.2">
      <c r="A27" s="42">
        <v>26</v>
      </c>
      <c r="B27" s="55" t="s">
        <v>91</v>
      </c>
      <c r="C27" s="56">
        <v>500892</v>
      </c>
      <c r="D27" s="45">
        <v>45869</v>
      </c>
      <c r="E27" s="46">
        <v>94</v>
      </c>
      <c r="F27" s="47" t="s">
        <v>230</v>
      </c>
      <c r="G27" s="47">
        <v>0</v>
      </c>
      <c r="H27" s="47">
        <v>0</v>
      </c>
      <c r="I27" s="107">
        <v>2.75E-2</v>
      </c>
      <c r="J27" s="53"/>
      <c r="K27" s="53"/>
    </row>
    <row r="28" spans="1:11" s="52" customFormat="1" ht="15" x14ac:dyDescent="0.2">
      <c r="A28" s="42">
        <v>27</v>
      </c>
      <c r="B28" s="55" t="s">
        <v>93</v>
      </c>
      <c r="C28" s="56">
        <v>500042</v>
      </c>
      <c r="D28" s="45">
        <v>45869</v>
      </c>
      <c r="E28" s="46">
        <v>214</v>
      </c>
      <c r="F28" s="47" t="str">
        <f>IFERROR(VLOOKUP($C28,'[1]MIA&amp;RATE-CONV-OCT25'!$D:$H,2,FALSE),"")</f>
        <v>3M LIBOR</v>
      </c>
      <c r="G28" s="47">
        <f>IFERROR(VLOOKUP($C28,'[1]MIA&amp;RATE-CONV-OCT25'!$D:$H,3,FALSE),"")</f>
        <v>3</v>
      </c>
      <c r="H28" s="47">
        <f>IFERROR(VLOOKUP($C28,'[1]MIA&amp;RATE-CONV-OCT25'!$D:$H,4,FALSE),"")</f>
        <v>9.39</v>
      </c>
      <c r="I28" s="107">
        <f>IFERROR(VLOOKUP($C28,'[1]MIA&amp;RATE-CONV-OCT25'!$D:$H,5,FALSE),"")</f>
        <v>0.01</v>
      </c>
      <c r="J28" s="53"/>
      <c r="K28" s="53"/>
    </row>
    <row r="29" spans="1:11" s="52" customFormat="1" ht="15" x14ac:dyDescent="0.2">
      <c r="A29" s="42">
        <v>28</v>
      </c>
      <c r="B29" s="55" t="s">
        <v>96</v>
      </c>
      <c r="C29" s="56">
        <v>500707</v>
      </c>
      <c r="D29" s="45">
        <v>45869</v>
      </c>
      <c r="E29" s="46">
        <v>111</v>
      </c>
      <c r="F29" s="47" t="s">
        <v>229</v>
      </c>
      <c r="G29" s="47">
        <v>2.5</v>
      </c>
      <c r="H29" s="47">
        <v>8.91</v>
      </c>
      <c r="I29" s="107">
        <v>0.01</v>
      </c>
      <c r="J29" s="53"/>
      <c r="K29" s="53"/>
    </row>
    <row r="30" spans="1:11" s="52" customFormat="1" ht="15" x14ac:dyDescent="0.2">
      <c r="A30" s="42">
        <v>29</v>
      </c>
      <c r="B30" s="55" t="s">
        <v>98</v>
      </c>
      <c r="C30" s="56">
        <v>500039</v>
      </c>
      <c r="D30" s="45">
        <v>45869</v>
      </c>
      <c r="E30" s="46">
        <v>140</v>
      </c>
      <c r="F30" s="47" t="str">
        <f>IFERROR(VLOOKUP($C30,'[1]MIA&amp;RATE-CONV-OCT25'!$D:$H,2,FALSE),"")</f>
        <v>1M LIBOR</v>
      </c>
      <c r="G30" s="47">
        <f>IFERROR(VLOOKUP($C30,'[1]MIA&amp;RATE-CONV-OCT25'!$D:$H,3,FALSE),"")</f>
        <v>3</v>
      </c>
      <c r="H30" s="47">
        <f>IFERROR(VLOOKUP($C30,'[1]MIA&amp;RATE-CONV-OCT25'!$D:$H,4,FALSE),"")</f>
        <v>3</v>
      </c>
      <c r="I30" s="107">
        <f>IFERROR(VLOOKUP($C30,'[1]MIA&amp;RATE-CONV-OCT25'!$D:$H,5,FALSE),"")</f>
        <v>0.01</v>
      </c>
      <c r="J30" s="53"/>
      <c r="K30" s="53"/>
    </row>
    <row r="31" spans="1:11" s="52" customFormat="1" ht="15" x14ac:dyDescent="0.2">
      <c r="A31" s="42">
        <v>30</v>
      </c>
      <c r="B31" s="55" t="s">
        <v>101</v>
      </c>
      <c r="C31" s="56">
        <v>500265</v>
      </c>
      <c r="D31" s="45">
        <v>45869</v>
      </c>
      <c r="E31" s="46">
        <v>97</v>
      </c>
      <c r="F31" s="47" t="str">
        <f>IFERROR(VLOOKUP($C31,'[1]MIA&amp;RATE-CONV-OCT25'!$D:$H,2,FALSE),"")</f>
        <v>3M LIBOR</v>
      </c>
      <c r="G31" s="47">
        <f>IFERROR(VLOOKUP($C31,'[1]MIA&amp;RATE-CONV-OCT25'!$D:$H,3,FALSE),"")</f>
        <v>3</v>
      </c>
      <c r="H31" s="47">
        <f>IFERROR(VLOOKUP($C31,'[1]MIA&amp;RATE-CONV-OCT25'!$D:$H,4,FALSE),"")</f>
        <v>9.33</v>
      </c>
      <c r="I31" s="107">
        <f>IFERROR(VLOOKUP($C31,'[1]MIA&amp;RATE-CONV-OCT25'!$D:$H,5,FALSE),"")</f>
        <v>0.01</v>
      </c>
      <c r="J31" s="53"/>
      <c r="K31" s="53"/>
    </row>
    <row r="32" spans="1:11" s="52" customFormat="1" ht="15" x14ac:dyDescent="0.2">
      <c r="A32" s="42">
        <v>31</v>
      </c>
      <c r="B32" s="55" t="s">
        <v>104</v>
      </c>
      <c r="C32" s="56">
        <v>500913</v>
      </c>
      <c r="D32" s="45">
        <v>45869</v>
      </c>
      <c r="E32" s="46">
        <v>0</v>
      </c>
      <c r="F32" s="47" t="str">
        <f>IFERROR(VLOOKUP($C32,'[1]MIA&amp;RATE-CONV-OCT25'!$D:$H,2,FALSE),"")</f>
        <v>1M LIBOR</v>
      </c>
      <c r="G32" s="47">
        <f>IFERROR(VLOOKUP($C32,'[1]MIA&amp;RATE-CONV-OCT25'!$D:$H,3,FALSE),"")</f>
        <v>2.5</v>
      </c>
      <c r="H32" s="47">
        <f>IFERROR(VLOOKUP($C32,'[1]MIA&amp;RATE-CONV-OCT25'!$D:$H,4,FALSE),"")</f>
        <v>8.85</v>
      </c>
      <c r="I32" s="107">
        <f>IFERROR(VLOOKUP($C32,'[1]MIA&amp;RATE-CONV-OCT25'!$D:$H,5,FALSE),"")</f>
        <v>0.01</v>
      </c>
      <c r="J32" s="53"/>
      <c r="K32" s="53"/>
    </row>
    <row r="33" spans="1:11" s="52" customFormat="1" ht="15" x14ac:dyDescent="0.2">
      <c r="A33" s="42">
        <v>32</v>
      </c>
      <c r="B33" s="55" t="s">
        <v>107</v>
      </c>
      <c r="C33" s="56">
        <v>500918</v>
      </c>
      <c r="D33" s="45">
        <v>45869</v>
      </c>
      <c r="E33" s="46">
        <v>0</v>
      </c>
      <c r="F33" s="47" t="str">
        <f>IFERROR(VLOOKUP($C33,'[1]MIA&amp;RATE-CONV-OCT25'!$D:$H,2,FALSE),"")</f>
        <v>1M LIBOR</v>
      </c>
      <c r="G33" s="47">
        <f>IFERROR(VLOOKUP($C33,'[1]MIA&amp;RATE-CONV-OCT25'!$D:$H,3,FALSE),"")</f>
        <v>2.5</v>
      </c>
      <c r="H33" s="47">
        <f>IFERROR(VLOOKUP($C33,'[1]MIA&amp;RATE-CONV-OCT25'!$D:$H,4,FALSE),"")</f>
        <v>0</v>
      </c>
      <c r="I33" s="107">
        <f>IFERROR(VLOOKUP($C33,'[1]MIA&amp;RATE-CONV-OCT25'!$D:$H,5,FALSE),"")</f>
        <v>0.01</v>
      </c>
      <c r="J33" s="53"/>
      <c r="K33" s="53"/>
    </row>
    <row r="34" spans="1:11" s="52" customFormat="1" ht="15" x14ac:dyDescent="0.2">
      <c r="A34" s="42">
        <v>33</v>
      </c>
      <c r="B34" s="55" t="s">
        <v>111</v>
      </c>
      <c r="C34" s="56">
        <v>500883</v>
      </c>
      <c r="D34" s="45">
        <v>45869</v>
      </c>
      <c r="E34" s="46">
        <v>89</v>
      </c>
      <c r="F34" s="47" t="str">
        <f>IFERROR(VLOOKUP($C34,'[1]MIA&amp;RATE-CONV-OCT25'!$D:$H,2,FALSE),"")</f>
        <v>COF</v>
      </c>
      <c r="G34" s="47">
        <f>IFERROR(VLOOKUP($C34,'[1]MIA&amp;RATE-CONV-OCT25'!$D:$H,3,FALSE),"")</f>
        <v>3</v>
      </c>
      <c r="H34" s="47">
        <f>IFERROR(VLOOKUP($C34,'[1]MIA&amp;RATE-CONV-OCT25'!$D:$H,4,FALSE),"")</f>
        <v>9.35</v>
      </c>
      <c r="I34" s="107">
        <f>IFERROR(VLOOKUP($C34,'[1]MIA&amp;RATE-CONV-OCT25'!$D:$H,5,FALSE),"")</f>
        <v>0.01</v>
      </c>
      <c r="J34" s="53"/>
      <c r="K34" s="53"/>
    </row>
    <row r="35" spans="1:11" s="52" customFormat="1" ht="15" x14ac:dyDescent="0.2">
      <c r="A35" s="42">
        <v>34</v>
      </c>
      <c r="B35" s="55" t="s">
        <v>111</v>
      </c>
      <c r="C35" s="56">
        <v>500884</v>
      </c>
      <c r="D35" s="45">
        <v>45869</v>
      </c>
      <c r="E35" s="46">
        <v>89</v>
      </c>
      <c r="F35" s="47" t="str">
        <f>IFERROR(VLOOKUP($C35,'[1]MIA&amp;RATE-CONV-OCT25'!$D:$H,2,FALSE),"")</f>
        <v>COF</v>
      </c>
      <c r="G35" s="47">
        <f>IFERROR(VLOOKUP($C35,'[1]MIA&amp;RATE-CONV-OCT25'!$D:$H,3,FALSE),"")</f>
        <v>3</v>
      </c>
      <c r="H35" s="47">
        <f>IFERROR(VLOOKUP($C35,'[1]MIA&amp;RATE-CONV-OCT25'!$D:$H,4,FALSE),"")</f>
        <v>9.35</v>
      </c>
      <c r="I35" s="107">
        <f>IFERROR(VLOOKUP($C35,'[1]MIA&amp;RATE-CONV-OCT25'!$D:$H,5,FALSE),"")</f>
        <v>0.01</v>
      </c>
      <c r="J35" s="53"/>
      <c r="K35" s="53"/>
    </row>
    <row r="36" spans="1:11" s="52" customFormat="1" ht="15" x14ac:dyDescent="0.2">
      <c r="A36" s="42">
        <v>35</v>
      </c>
      <c r="B36" s="55" t="s">
        <v>114</v>
      </c>
      <c r="C36" s="56">
        <v>500980</v>
      </c>
      <c r="D36" s="45">
        <v>45869</v>
      </c>
      <c r="E36" s="46">
        <v>53</v>
      </c>
      <c r="F36" s="47" t="str">
        <f>IFERROR(VLOOKUP($C36,'[1]MIA&amp;RATE-CONV-OCT25'!$D:$H,2,FALSE),"")</f>
        <v>1M LIBOR</v>
      </c>
      <c r="G36" s="47">
        <f>IFERROR(VLOOKUP($C36,'[1]MIA&amp;RATE-CONV-OCT25'!$D:$H,3,FALSE),"")</f>
        <v>4.2</v>
      </c>
      <c r="H36" s="47">
        <f>IFERROR(VLOOKUP($C36,'[1]MIA&amp;RATE-CONV-OCT25'!$D:$H,4,FALSE),"")</f>
        <v>10.38</v>
      </c>
      <c r="I36" s="107">
        <f>IFERROR(VLOOKUP($C36,'[1]MIA&amp;RATE-CONV-OCT25'!$D:$H,5,FALSE),"")</f>
        <v>0.01</v>
      </c>
      <c r="J36" s="53"/>
      <c r="K36" s="53"/>
    </row>
    <row r="37" spans="1:11" s="52" customFormat="1" ht="15" x14ac:dyDescent="0.2">
      <c r="A37" s="42">
        <v>36</v>
      </c>
      <c r="B37" s="55" t="s">
        <v>116</v>
      </c>
      <c r="C37" s="56">
        <v>500522</v>
      </c>
      <c r="D37" s="45">
        <v>45869</v>
      </c>
      <c r="E37" s="46">
        <v>156</v>
      </c>
      <c r="F37" s="47" t="str">
        <f>IFERROR(VLOOKUP($C37,'[1]MIA&amp;RATE-CONV-OCT25'!$D:$H,2,FALSE),"")</f>
        <v>3M LIBOR</v>
      </c>
      <c r="G37" s="47">
        <f>IFERROR(VLOOKUP($C37,'[1]MIA&amp;RATE-CONV-OCT25'!$D:$H,3,FALSE),"")</f>
        <v>0</v>
      </c>
      <c r="H37" s="47">
        <f>IFERROR(VLOOKUP($C37,'[1]MIA&amp;RATE-CONV-OCT25'!$D:$H,4,FALSE),"")</f>
        <v>0</v>
      </c>
      <c r="I37" s="107">
        <f>IFERROR(VLOOKUP($C37,'[1]MIA&amp;RATE-CONV-OCT25'!$D:$H,5,FALSE),"")</f>
        <v>0</v>
      </c>
      <c r="J37" s="53"/>
      <c r="K37" s="53"/>
    </row>
    <row r="38" spans="1:11" s="52" customFormat="1" ht="15" x14ac:dyDescent="0.2">
      <c r="A38" s="42">
        <v>37</v>
      </c>
      <c r="B38" s="55" t="s">
        <v>121</v>
      </c>
      <c r="C38" s="56">
        <v>500885</v>
      </c>
      <c r="D38" s="45">
        <v>45869</v>
      </c>
      <c r="E38" s="46">
        <v>46</v>
      </c>
      <c r="F38" s="47" t="str">
        <f>IFERROR(VLOOKUP($C38,'[1]MIA&amp;RATE-CONV-OCT25'!$D:$H,2,FALSE),"")</f>
        <v>3M LIBOR</v>
      </c>
      <c r="G38" s="47">
        <f>IFERROR(VLOOKUP($C38,'[1]MIA&amp;RATE-CONV-OCT25'!$D:$H,3,FALSE),"")</f>
        <v>2</v>
      </c>
      <c r="H38" s="47">
        <f>IFERROR(VLOOKUP($C38,'[1]MIA&amp;RATE-CONV-OCT25'!$D:$H,4,FALSE),"")</f>
        <v>8.39</v>
      </c>
      <c r="I38" s="107">
        <f>IFERROR(VLOOKUP($C38,'[1]MIA&amp;RATE-CONV-OCT25'!$D:$H,5,FALSE),"")</f>
        <v>0.01</v>
      </c>
      <c r="J38" s="53"/>
      <c r="K38" s="53"/>
    </row>
    <row r="39" spans="1:11" s="52" customFormat="1" ht="15" x14ac:dyDescent="0.2">
      <c r="A39" s="42">
        <v>38</v>
      </c>
      <c r="B39" s="55" t="s">
        <v>123</v>
      </c>
      <c r="C39" s="56">
        <v>500914</v>
      </c>
      <c r="D39" s="45">
        <v>45869</v>
      </c>
      <c r="E39" s="46">
        <v>46</v>
      </c>
      <c r="F39" s="47" t="str">
        <f>IFERROR(VLOOKUP($C39,'[1]MIA&amp;RATE-CONV-OCT25'!$D:$H,2,FALSE),"")</f>
        <v>COF</v>
      </c>
      <c r="G39" s="47">
        <f>IFERROR(VLOOKUP($C39,'[1]MIA&amp;RATE-CONV-OCT25'!$D:$H,3,FALSE),"")</f>
        <v>2.25</v>
      </c>
      <c r="H39" s="47">
        <f>IFERROR(VLOOKUP($C39,'[1]MIA&amp;RATE-CONV-OCT25'!$D:$H,4,FALSE),"")</f>
        <v>8.43</v>
      </c>
      <c r="I39" s="107">
        <f>IFERROR(VLOOKUP($C39,'[1]MIA&amp;RATE-CONV-OCT25'!$D:$H,5,FALSE),"")</f>
        <v>0.01</v>
      </c>
      <c r="J39" s="53"/>
      <c r="K39" s="53"/>
    </row>
    <row r="40" spans="1:11" s="52" customFormat="1" ht="15" x14ac:dyDescent="0.2">
      <c r="A40" s="42">
        <v>39</v>
      </c>
      <c r="B40" s="55" t="s">
        <v>125</v>
      </c>
      <c r="C40" s="56">
        <v>500947</v>
      </c>
      <c r="D40" s="45">
        <v>45869</v>
      </c>
      <c r="E40" s="46">
        <v>46</v>
      </c>
      <c r="F40" s="47" t="s">
        <v>233</v>
      </c>
      <c r="G40" s="47">
        <v>0</v>
      </c>
      <c r="H40" s="47">
        <v>0</v>
      </c>
      <c r="I40" s="107">
        <v>0.01</v>
      </c>
      <c r="J40" s="53"/>
      <c r="K40" s="53"/>
    </row>
    <row r="41" spans="1:11" s="52" customFormat="1" ht="15" x14ac:dyDescent="0.2">
      <c r="A41" s="42">
        <v>41</v>
      </c>
      <c r="B41" s="55" t="s">
        <v>127</v>
      </c>
      <c r="C41" s="56">
        <v>501045</v>
      </c>
      <c r="D41" s="45">
        <v>45869</v>
      </c>
      <c r="E41" s="46">
        <v>34</v>
      </c>
      <c r="F41" s="47">
        <f>IFERROR(VLOOKUP($C41,'[1]MIA&amp;RATE-CONV-OCT25'!$D:$H,2,FALSE),"")</f>
        <v>0</v>
      </c>
      <c r="G41" s="47">
        <f>IFERROR(VLOOKUP($C41,'[1]MIA&amp;RATE-CONV-OCT25'!$D:$H,3,FALSE),"")</f>
        <v>0</v>
      </c>
      <c r="H41" s="47">
        <f>IFERROR(VLOOKUP($C41,'[1]MIA&amp;RATE-CONV-OCT25'!$D:$H,4,FALSE),"")</f>
        <v>0</v>
      </c>
      <c r="I41" s="107">
        <f>IFERROR(VLOOKUP($C41,'[1]MIA&amp;RATE-CONV-OCT25'!$D:$H,5,FALSE),"")</f>
        <v>0</v>
      </c>
      <c r="J41" s="53"/>
      <c r="K41" s="53"/>
    </row>
    <row r="42" spans="1:11" s="52" customFormat="1" ht="15" x14ac:dyDescent="0.2">
      <c r="A42" s="42">
        <v>42</v>
      </c>
      <c r="B42" s="55" t="s">
        <v>130</v>
      </c>
      <c r="C42" s="56">
        <v>501018</v>
      </c>
      <c r="D42" s="45">
        <v>45869</v>
      </c>
      <c r="E42" s="46">
        <v>0</v>
      </c>
      <c r="F42" s="47" t="s">
        <v>234</v>
      </c>
      <c r="G42" s="47">
        <v>0</v>
      </c>
      <c r="H42" s="47">
        <v>0.04</v>
      </c>
      <c r="I42" s="107">
        <v>0.01</v>
      </c>
      <c r="J42" s="53"/>
      <c r="K42" s="53"/>
    </row>
    <row r="43" spans="1:11" s="59" customFormat="1" ht="15" x14ac:dyDescent="0.25">
      <c r="A43" s="42">
        <v>43</v>
      </c>
      <c r="B43" s="43" t="s">
        <v>132</v>
      </c>
      <c r="C43" s="44">
        <v>500538</v>
      </c>
      <c r="D43" s="45">
        <v>45869</v>
      </c>
      <c r="E43" s="46">
        <v>36</v>
      </c>
      <c r="F43" s="47" t="str">
        <f>IFERROR(VLOOKUP($C43,'[1]MIA&amp;RATE-CONV-OCT25'!$D:$H,2,FALSE),"")</f>
        <v>COF</v>
      </c>
      <c r="G43" s="47">
        <f>IFERROR(VLOOKUP($C43,'[1]MIA&amp;RATE-CONV-OCT25'!$D:$H,3,FALSE),"")</f>
        <v>3.5</v>
      </c>
      <c r="H43" s="47">
        <f>IFERROR(VLOOKUP($C43,'[1]MIA&amp;RATE-CONV-OCT25'!$D:$H,4,FALSE),"")</f>
        <v>9.83</v>
      </c>
      <c r="I43" s="107">
        <f>IFERROR(VLOOKUP($C43,'[1]MIA&amp;RATE-CONV-OCT25'!$D:$H,5,FALSE),"")</f>
        <v>0.01</v>
      </c>
      <c r="J43" s="60"/>
      <c r="K43" s="60"/>
    </row>
    <row r="44" spans="1:11" s="59" customFormat="1" ht="15" x14ac:dyDescent="0.25">
      <c r="A44" s="42">
        <v>44</v>
      </c>
      <c r="B44" s="43" t="s">
        <v>132</v>
      </c>
      <c r="C44" s="44">
        <v>0</v>
      </c>
      <c r="D44" s="45">
        <v>45869</v>
      </c>
      <c r="E44" s="46">
        <v>0</v>
      </c>
      <c r="F44" s="47" t="str">
        <f>IFERROR(VLOOKUP($C44,'[1]MIA&amp;RATE-CONV-OCT25'!$D:$H,2,FALSE),"")</f>
        <v/>
      </c>
      <c r="G44" s="47" t="str">
        <f>IFERROR(VLOOKUP($C44,'[1]MIA&amp;RATE-CONV-OCT25'!$D:$H,3,FALSE),"")</f>
        <v/>
      </c>
      <c r="H44" s="47" t="str">
        <f>IFERROR(VLOOKUP($C44,'[1]MIA&amp;RATE-CONV-OCT25'!$D:$H,4,FALSE),"")</f>
        <v/>
      </c>
      <c r="I44" s="107" t="str">
        <f>IFERROR(VLOOKUP($C44,'[1]MIA&amp;RATE-CONV-OCT25'!$D:$H,5,FALSE),"")</f>
        <v/>
      </c>
      <c r="J44" s="60"/>
      <c r="K44" s="60"/>
    </row>
    <row r="45" spans="1:11" s="59" customFormat="1" ht="15" x14ac:dyDescent="0.25">
      <c r="A45" s="42">
        <v>45</v>
      </c>
      <c r="B45" s="55" t="s">
        <v>136</v>
      </c>
      <c r="C45" s="56">
        <v>500887</v>
      </c>
      <c r="D45" s="45">
        <v>45869</v>
      </c>
      <c r="E45" s="46">
        <v>35</v>
      </c>
      <c r="F45" s="47" t="s">
        <v>235</v>
      </c>
      <c r="G45" s="47">
        <v>0</v>
      </c>
      <c r="H45" s="47">
        <v>0</v>
      </c>
      <c r="I45" s="107">
        <v>2.7400000000000001E-2</v>
      </c>
      <c r="J45" s="60"/>
      <c r="K45" s="60"/>
    </row>
    <row r="46" spans="1:11" s="59" customFormat="1" ht="15" x14ac:dyDescent="0.25">
      <c r="A46" s="42">
        <v>46</v>
      </c>
      <c r="B46" s="55" t="s">
        <v>136</v>
      </c>
      <c r="C46" s="56">
        <v>0</v>
      </c>
      <c r="D46" s="45">
        <v>45869</v>
      </c>
      <c r="E46" s="46">
        <v>0</v>
      </c>
      <c r="F46" s="47" t="s">
        <v>228</v>
      </c>
      <c r="G46" s="47" t="s">
        <v>228</v>
      </c>
      <c r="H46" s="47" t="s">
        <v>228</v>
      </c>
      <c r="I46" s="107" t="s">
        <v>228</v>
      </c>
      <c r="J46" s="60"/>
      <c r="K46" s="60"/>
    </row>
    <row r="47" spans="1:11" s="59" customFormat="1" ht="15" x14ac:dyDescent="0.25">
      <c r="A47" s="42">
        <v>47</v>
      </c>
      <c r="B47" s="62" t="s">
        <v>136</v>
      </c>
      <c r="C47" s="63">
        <v>501040</v>
      </c>
      <c r="D47" s="45">
        <v>45869</v>
      </c>
      <c r="E47" s="46">
        <v>35</v>
      </c>
      <c r="F47" s="47" t="s">
        <v>235</v>
      </c>
      <c r="G47" s="47">
        <v>0</v>
      </c>
      <c r="H47" s="47">
        <v>0</v>
      </c>
      <c r="I47" s="107">
        <v>2.76E-2</v>
      </c>
      <c r="J47" s="60"/>
      <c r="K47" s="60"/>
    </row>
    <row r="48" spans="1:11" s="59" customFormat="1" ht="15" x14ac:dyDescent="0.25">
      <c r="A48" s="42">
        <v>48</v>
      </c>
      <c r="B48" s="64" t="s">
        <v>136</v>
      </c>
      <c r="C48" s="65">
        <v>0</v>
      </c>
      <c r="D48" s="45">
        <v>45869</v>
      </c>
      <c r="E48" s="46">
        <v>0</v>
      </c>
      <c r="F48" s="47" t="s">
        <v>228</v>
      </c>
      <c r="G48" s="47" t="s">
        <v>228</v>
      </c>
      <c r="H48" s="47" t="s">
        <v>228</v>
      </c>
      <c r="I48" s="107" t="s">
        <v>228</v>
      </c>
      <c r="J48" s="60"/>
      <c r="K48" s="60"/>
    </row>
    <row r="49" spans="1:11" s="52" customFormat="1" ht="15" x14ac:dyDescent="0.2">
      <c r="A49" s="42">
        <v>49</v>
      </c>
      <c r="B49" s="67" t="s">
        <v>202</v>
      </c>
      <c r="C49" s="68">
        <v>501162</v>
      </c>
      <c r="D49" s="45">
        <v>45869</v>
      </c>
      <c r="E49" s="46">
        <v>9</v>
      </c>
      <c r="F49" s="47" t="s">
        <v>236</v>
      </c>
      <c r="G49" s="47">
        <v>2</v>
      </c>
      <c r="H49" s="47">
        <v>6.52</v>
      </c>
      <c r="I49" s="107">
        <v>0.01</v>
      </c>
      <c r="J49" s="53"/>
      <c r="K49" s="53"/>
    </row>
    <row r="50" spans="1:11" s="52" customFormat="1" ht="15" x14ac:dyDescent="0.2">
      <c r="A50" s="42">
        <v>50</v>
      </c>
      <c r="B50" s="67" t="s">
        <v>201</v>
      </c>
      <c r="C50" s="68">
        <v>501163</v>
      </c>
      <c r="D50" s="45">
        <v>45869</v>
      </c>
      <c r="E50" s="46">
        <v>11</v>
      </c>
      <c r="F50" s="47" t="s">
        <v>236</v>
      </c>
      <c r="G50" s="47">
        <v>0</v>
      </c>
      <c r="H50" s="47">
        <v>0</v>
      </c>
      <c r="I50" s="107">
        <v>2.75E-2</v>
      </c>
      <c r="J50" s="53"/>
      <c r="K50" s="53"/>
    </row>
    <row r="51" spans="1:11" s="52" customFormat="1" ht="15" x14ac:dyDescent="0.2">
      <c r="A51" s="42">
        <v>51</v>
      </c>
      <c r="B51" s="71" t="s">
        <v>206</v>
      </c>
      <c r="C51" s="68">
        <v>501152</v>
      </c>
      <c r="D51" s="45">
        <v>45869</v>
      </c>
      <c r="E51" s="46">
        <v>8</v>
      </c>
      <c r="F51" s="47" t="s">
        <v>236</v>
      </c>
      <c r="G51" s="47">
        <v>2</v>
      </c>
      <c r="H51" s="47">
        <v>0</v>
      </c>
      <c r="I51" s="107">
        <v>2.76E-2</v>
      </c>
      <c r="J51" s="53"/>
      <c r="K51" s="53"/>
    </row>
    <row r="52" spans="1:11" s="52" customFormat="1" ht="15" x14ac:dyDescent="0.2">
      <c r="A52" s="42">
        <v>52</v>
      </c>
      <c r="B52" s="71" t="s">
        <v>196</v>
      </c>
      <c r="C52" s="68">
        <v>501256</v>
      </c>
      <c r="D52" s="45">
        <v>45869</v>
      </c>
      <c r="E52" s="46">
        <v>0</v>
      </c>
      <c r="F52" s="47" t="s">
        <v>237</v>
      </c>
      <c r="G52" s="47">
        <v>0</v>
      </c>
      <c r="H52" s="47">
        <v>7.52</v>
      </c>
      <c r="I52" s="107">
        <v>0.01</v>
      </c>
      <c r="J52" s="53"/>
      <c r="K52" s="53"/>
    </row>
    <row r="53" spans="1:11" s="52" customFormat="1" ht="15" x14ac:dyDescent="0.2">
      <c r="A53" s="42">
        <v>53</v>
      </c>
      <c r="B53" s="71" t="s">
        <v>208</v>
      </c>
      <c r="C53" s="68">
        <v>501116</v>
      </c>
      <c r="D53" s="45">
        <v>45869</v>
      </c>
      <c r="E53" s="46">
        <v>2</v>
      </c>
      <c r="F53" s="47" t="s">
        <v>236</v>
      </c>
      <c r="G53" s="47">
        <v>1.75</v>
      </c>
      <c r="H53" s="47">
        <v>7.27</v>
      </c>
      <c r="I53" s="107">
        <v>0.01</v>
      </c>
      <c r="J53" s="53"/>
      <c r="K53" s="53"/>
    </row>
    <row r="54" spans="1:11" s="52" customFormat="1" ht="15" x14ac:dyDescent="0.2">
      <c r="A54" s="42">
        <v>54</v>
      </c>
      <c r="B54" s="71" t="s">
        <v>209</v>
      </c>
      <c r="C54" s="68">
        <v>501117</v>
      </c>
      <c r="D54" s="45">
        <v>45869</v>
      </c>
      <c r="E54" s="46">
        <v>2</v>
      </c>
      <c r="F54" s="47" t="s">
        <v>236</v>
      </c>
      <c r="G54" s="47" t="s">
        <v>238</v>
      </c>
      <c r="H54" s="47" t="s">
        <v>238</v>
      </c>
      <c r="I54" s="107">
        <v>2.76E-2</v>
      </c>
      <c r="J54" s="53"/>
      <c r="K54" s="53"/>
    </row>
    <row r="55" spans="1:11" s="52" customFormat="1" ht="15" x14ac:dyDescent="0.2">
      <c r="A55" s="42">
        <v>55</v>
      </c>
      <c r="B55" s="71" t="s">
        <v>210</v>
      </c>
      <c r="C55" s="68">
        <v>501216</v>
      </c>
      <c r="D55" s="45">
        <v>45869</v>
      </c>
      <c r="E55" s="46">
        <v>4</v>
      </c>
      <c r="F55" s="47" t="s">
        <v>236</v>
      </c>
      <c r="G55" s="47">
        <v>1.5</v>
      </c>
      <c r="H55" s="47">
        <v>0</v>
      </c>
      <c r="I55" s="107">
        <v>2.76E-2</v>
      </c>
      <c r="J55" s="53"/>
      <c r="K55" s="53"/>
    </row>
    <row r="56" spans="1:11" s="52" customFormat="1" ht="15" x14ac:dyDescent="0.2">
      <c r="A56" s="42">
        <v>56</v>
      </c>
      <c r="B56" s="71" t="s">
        <v>211</v>
      </c>
      <c r="C56" s="68">
        <v>501223</v>
      </c>
      <c r="D56" s="45">
        <v>45869</v>
      </c>
      <c r="E56" s="46">
        <v>1</v>
      </c>
      <c r="F56" s="47" t="s">
        <v>236</v>
      </c>
      <c r="G56" s="47">
        <v>1.75</v>
      </c>
      <c r="H56" s="47">
        <v>0</v>
      </c>
      <c r="I56" s="107">
        <v>2.7699999999999999E-2</v>
      </c>
      <c r="J56" s="53"/>
      <c r="K56" s="53"/>
    </row>
    <row r="57" spans="1:11" s="52" customFormat="1" ht="17.25" x14ac:dyDescent="0.2">
      <c r="A57" s="42">
        <v>57</v>
      </c>
      <c r="B57" s="41" t="s">
        <v>213</v>
      </c>
      <c r="C57" s="68">
        <v>501090</v>
      </c>
      <c r="D57" s="45">
        <v>45869</v>
      </c>
      <c r="E57" s="46">
        <v>3</v>
      </c>
      <c r="F57" s="47" t="s">
        <v>227</v>
      </c>
      <c r="G57" s="47">
        <v>0</v>
      </c>
      <c r="H57" s="47">
        <v>4</v>
      </c>
      <c r="I57" s="107">
        <v>0.01</v>
      </c>
      <c r="J57" s="53"/>
      <c r="K57" s="53"/>
    </row>
    <row r="58" spans="1:11" s="52" customFormat="1" ht="17.25" x14ac:dyDescent="0.2">
      <c r="A58" s="42">
        <v>58</v>
      </c>
      <c r="B58" s="41" t="s">
        <v>214</v>
      </c>
      <c r="C58" s="68">
        <v>501257</v>
      </c>
      <c r="D58" s="45">
        <v>45869</v>
      </c>
      <c r="E58" s="46">
        <v>2</v>
      </c>
      <c r="F58" s="47" t="s">
        <v>236</v>
      </c>
      <c r="G58" s="47">
        <v>3</v>
      </c>
      <c r="H58" s="47">
        <v>7.52</v>
      </c>
      <c r="I58" s="107">
        <v>0.01</v>
      </c>
      <c r="J58" s="53"/>
      <c r="K58" s="53"/>
    </row>
    <row r="59" spans="1:11" s="52" customFormat="1" ht="15" x14ac:dyDescent="0.2">
      <c r="A59" s="42">
        <v>59</v>
      </c>
      <c r="B59" s="72" t="s">
        <v>143</v>
      </c>
      <c r="C59" s="92">
        <v>500900</v>
      </c>
      <c r="D59" s="45">
        <v>45869</v>
      </c>
      <c r="E59" s="46">
        <v>95</v>
      </c>
      <c r="F59" s="47" t="str">
        <f>IFERROR(VLOOKUP($C59,'[1]MIA&amp;RATE-CONV-OCT25'!$D:$H,2,FALSE),"")</f>
        <v/>
      </c>
      <c r="G59" s="47" t="str">
        <f>IFERROR(VLOOKUP($C59,'[1]MIA&amp;RATE-CONV-OCT25'!$D:$H,3,FALSE),"")</f>
        <v/>
      </c>
      <c r="H59" s="47" t="str">
        <f>IFERROR(VLOOKUP($C59,'[1]MIA&amp;RATE-CONV-OCT25'!$D:$H,4,FALSE),"")</f>
        <v/>
      </c>
      <c r="I59" s="107" t="str">
        <f>IFERROR(VLOOKUP($C59,'[1]MIA&amp;RATE-CONV-OCT25'!$D:$H,5,FALSE),"")</f>
        <v/>
      </c>
      <c r="J59" s="53"/>
      <c r="K59" s="53"/>
    </row>
    <row r="60" spans="1:11" s="52" customFormat="1" ht="15" x14ac:dyDescent="0.2">
      <c r="A60" s="42">
        <v>60</v>
      </c>
      <c r="B60" s="77" t="s">
        <v>146</v>
      </c>
      <c r="C60" s="93">
        <v>500317</v>
      </c>
      <c r="D60" s="45">
        <v>45869</v>
      </c>
      <c r="E60" s="46">
        <v>109</v>
      </c>
      <c r="F60" s="47" t="str">
        <f>IFERROR(VLOOKUP($C60,'[1]MIA&amp;RATE-CONV-OCT25'!$D:$H,2,FALSE),"")</f>
        <v/>
      </c>
      <c r="G60" s="47" t="str">
        <f>IFERROR(VLOOKUP($C60,'[1]MIA&amp;RATE-CONV-OCT25'!$D:$H,3,FALSE),"")</f>
        <v/>
      </c>
      <c r="H60" s="47" t="str">
        <f>IFERROR(VLOOKUP($C60,'[1]MIA&amp;RATE-CONV-OCT25'!$D:$H,4,FALSE),"")</f>
        <v/>
      </c>
      <c r="I60" s="107" t="str">
        <f>IFERROR(VLOOKUP($C60,'[1]MIA&amp;RATE-CONV-OCT25'!$D:$H,5,FALSE),"")</f>
        <v/>
      </c>
      <c r="J60" s="53"/>
      <c r="K60" s="53"/>
    </row>
    <row r="61" spans="1:11" s="52" customFormat="1" ht="15" x14ac:dyDescent="0.2">
      <c r="A61" s="42">
        <v>61</v>
      </c>
      <c r="B61" s="80" t="s">
        <v>148</v>
      </c>
      <c r="C61" s="94">
        <v>500702</v>
      </c>
      <c r="D61" s="45">
        <v>45869</v>
      </c>
      <c r="E61" s="46">
        <v>111</v>
      </c>
      <c r="F61" s="47" t="str">
        <f>IFERROR(VLOOKUP($C61,'[1]MIA&amp;RATE-CONV-OCT25'!$D:$H,2,FALSE),"")</f>
        <v/>
      </c>
      <c r="G61" s="47" t="str">
        <f>IFERROR(VLOOKUP($C61,'[1]MIA&amp;RATE-CONV-OCT25'!$D:$H,3,FALSE),"")</f>
        <v/>
      </c>
      <c r="H61" s="47" t="str">
        <f>IFERROR(VLOOKUP($C61,'[1]MIA&amp;RATE-CONV-OCT25'!$D:$H,4,FALSE),"")</f>
        <v/>
      </c>
      <c r="I61" s="107" t="str">
        <f>IFERROR(VLOOKUP($C61,'[1]MIA&amp;RATE-CONV-OCT25'!$D:$H,5,FALSE),"")</f>
        <v/>
      </c>
      <c r="J61" s="53"/>
      <c r="K61" s="53"/>
    </row>
    <row r="62" spans="1:11" s="52" customFormat="1" ht="15" x14ac:dyDescent="0.2">
      <c r="A62" s="42">
        <v>62</v>
      </c>
      <c r="B62" s="80" t="s">
        <v>151</v>
      </c>
      <c r="C62" s="94">
        <v>500716</v>
      </c>
      <c r="D62" s="45">
        <v>45869</v>
      </c>
      <c r="E62" s="46">
        <v>131</v>
      </c>
      <c r="F62" s="47" t="str">
        <f>IFERROR(VLOOKUP($C62,'[1]MIA&amp;RATE-CONV-OCT25'!$D:$H,2,FALSE),"")</f>
        <v/>
      </c>
      <c r="G62" s="47" t="str">
        <f>IFERROR(VLOOKUP($C62,'[1]MIA&amp;RATE-CONV-OCT25'!$D:$H,3,FALSE),"")</f>
        <v/>
      </c>
      <c r="H62" s="47" t="str">
        <f>IFERROR(VLOOKUP($C62,'[1]MIA&amp;RATE-CONV-OCT25'!$D:$H,4,FALSE),"")</f>
        <v/>
      </c>
      <c r="I62" s="107" t="str">
        <f>IFERROR(VLOOKUP($C62,'[1]MIA&amp;RATE-CONV-OCT25'!$D:$H,5,FALSE),"")</f>
        <v/>
      </c>
      <c r="J62" s="53"/>
      <c r="K62" s="53"/>
    </row>
    <row r="63" spans="1:11" s="52" customFormat="1" ht="15" x14ac:dyDescent="0.2">
      <c r="A63" s="42">
        <v>63</v>
      </c>
      <c r="B63" s="80" t="s">
        <v>154</v>
      </c>
      <c r="C63" s="94">
        <v>500051</v>
      </c>
      <c r="D63" s="45">
        <v>45869</v>
      </c>
      <c r="E63" s="46">
        <v>181</v>
      </c>
      <c r="F63" s="47" t="str">
        <f>IFERROR(VLOOKUP($C63,'[1]MIA&amp;RATE-CONV-OCT25'!$D:$H,2,FALSE),"")</f>
        <v/>
      </c>
      <c r="G63" s="47" t="str">
        <f>IFERROR(VLOOKUP($C63,'[1]MIA&amp;RATE-CONV-OCT25'!$D:$H,3,FALSE),"")</f>
        <v/>
      </c>
      <c r="H63" s="47" t="str">
        <f>IFERROR(VLOOKUP($C63,'[1]MIA&amp;RATE-CONV-OCT25'!$D:$H,4,FALSE),"")</f>
        <v/>
      </c>
      <c r="I63" s="107" t="str">
        <f>IFERROR(VLOOKUP($C63,'[1]MIA&amp;RATE-CONV-OCT25'!$D:$H,5,FALSE),"")</f>
        <v/>
      </c>
      <c r="J63" s="53"/>
      <c r="K63" s="53"/>
    </row>
    <row r="64" spans="1:11" s="52" customFormat="1" ht="15" x14ac:dyDescent="0.2">
      <c r="A64" s="42">
        <v>64</v>
      </c>
      <c r="B64" s="80" t="s">
        <v>156</v>
      </c>
      <c r="C64" s="94">
        <v>500665</v>
      </c>
      <c r="D64" s="45">
        <v>45869</v>
      </c>
      <c r="E64" s="46">
        <v>111</v>
      </c>
      <c r="F64" s="47" t="str">
        <f>IFERROR(VLOOKUP($C64,'[1]MIA&amp;RATE-CONV-OCT25'!$D:$H,2,FALSE),"")</f>
        <v/>
      </c>
      <c r="G64" s="47" t="str">
        <f>IFERROR(VLOOKUP($C64,'[1]MIA&amp;RATE-CONV-OCT25'!$D:$H,3,FALSE),"")</f>
        <v/>
      </c>
      <c r="H64" s="47" t="str">
        <f>IFERROR(VLOOKUP($C64,'[1]MIA&amp;RATE-CONV-OCT25'!$D:$H,4,FALSE),"")</f>
        <v/>
      </c>
      <c r="I64" s="107" t="str">
        <f>IFERROR(VLOOKUP($C64,'[1]MIA&amp;RATE-CONV-OCT25'!$D:$H,5,FALSE),"")</f>
        <v/>
      </c>
      <c r="J64" s="94">
        <v>500665</v>
      </c>
      <c r="K64" s="53"/>
    </row>
    <row r="65" spans="1:11" s="83" customFormat="1" ht="15" x14ac:dyDescent="0.2">
      <c r="A65" s="42">
        <v>65</v>
      </c>
      <c r="B65" s="80" t="s">
        <v>159</v>
      </c>
      <c r="C65" s="94">
        <v>500508</v>
      </c>
      <c r="D65" s="45">
        <v>45869</v>
      </c>
      <c r="E65" s="82">
        <v>152</v>
      </c>
      <c r="F65" s="47" t="str">
        <f>IFERROR(VLOOKUP($C65,'[1]MIA&amp;RATE-CONV-OCT25'!$D:$H,2,FALSE),"")</f>
        <v/>
      </c>
      <c r="G65" s="47" t="str">
        <f>IFERROR(VLOOKUP($C65,'[1]MIA&amp;RATE-CONV-OCT25'!$D:$H,3,FALSE),"")</f>
        <v/>
      </c>
      <c r="H65" s="47" t="str">
        <f>IFERROR(VLOOKUP($C65,'[1]MIA&amp;RATE-CONV-OCT25'!$D:$H,4,FALSE),"")</f>
        <v/>
      </c>
      <c r="I65" s="107" t="str">
        <f>IFERROR(VLOOKUP($C65,'[1]MIA&amp;RATE-CONV-OCT25'!$D:$H,5,FALSE),"")</f>
        <v/>
      </c>
      <c r="J65" s="84"/>
      <c r="K65" s="84"/>
    </row>
    <row r="66" spans="1:11" s="52" customFormat="1" ht="15" x14ac:dyDescent="0.2">
      <c r="A66" s="42">
        <v>66</v>
      </c>
      <c r="B66" s="80" t="s">
        <v>162</v>
      </c>
      <c r="C66" s="94">
        <v>500186</v>
      </c>
      <c r="D66" s="45">
        <v>45869</v>
      </c>
      <c r="E66" s="46">
        <v>168</v>
      </c>
      <c r="F66" s="47" t="str">
        <f>IFERROR(VLOOKUP($C66,'[1]MIA&amp;RATE-CONV-OCT25'!$D:$H,2,FALSE),"")</f>
        <v/>
      </c>
      <c r="G66" s="47" t="str">
        <f>IFERROR(VLOOKUP($C66,'[1]MIA&amp;RATE-CONV-OCT25'!$D:$H,3,FALSE),"")</f>
        <v/>
      </c>
      <c r="H66" s="47" t="str">
        <f>IFERROR(VLOOKUP($C66,'[1]MIA&amp;RATE-CONV-OCT25'!$D:$H,4,FALSE),"")</f>
        <v/>
      </c>
      <c r="I66" s="107" t="str">
        <f>IFERROR(VLOOKUP($C66,'[1]MIA&amp;RATE-CONV-OCT25'!$D:$H,5,FALSE),"")</f>
        <v/>
      </c>
      <c r="J66" s="53"/>
      <c r="K66" s="53"/>
    </row>
    <row r="67" spans="1:11" s="52" customFormat="1" ht="15" x14ac:dyDescent="0.2">
      <c r="A67" s="42">
        <v>67</v>
      </c>
      <c r="B67" s="80" t="s">
        <v>164</v>
      </c>
      <c r="C67" s="94">
        <v>500742</v>
      </c>
      <c r="D67" s="45">
        <v>45869</v>
      </c>
      <c r="E67" s="46">
        <v>123</v>
      </c>
      <c r="F67" s="47" t="str">
        <f>IFERROR(VLOOKUP($C67,'[1]MIA&amp;RATE-CONV-OCT25'!$D:$H,2,FALSE),"")</f>
        <v/>
      </c>
      <c r="G67" s="47" t="str">
        <f>IFERROR(VLOOKUP($C67,'[1]MIA&amp;RATE-CONV-OCT25'!$D:$H,3,FALSE),"")</f>
        <v/>
      </c>
      <c r="H67" s="47" t="str">
        <f>IFERROR(VLOOKUP($C67,'[1]MIA&amp;RATE-CONV-OCT25'!$D:$H,4,FALSE),"")</f>
        <v/>
      </c>
      <c r="I67" s="107" t="str">
        <f>IFERROR(VLOOKUP($C67,'[1]MIA&amp;RATE-CONV-OCT25'!$D:$H,5,FALSE),"")</f>
        <v/>
      </c>
      <c r="J67" s="53"/>
      <c r="K67" s="53"/>
    </row>
    <row r="68" spans="1:11" s="52" customFormat="1" ht="15" x14ac:dyDescent="0.2">
      <c r="A68" s="42">
        <v>68</v>
      </c>
      <c r="B68" s="80" t="s">
        <v>165</v>
      </c>
      <c r="C68" s="94">
        <v>500197</v>
      </c>
      <c r="D68" s="45">
        <v>45869</v>
      </c>
      <c r="E68" s="46">
        <v>199</v>
      </c>
      <c r="F68" s="47" t="str">
        <f>IFERROR(VLOOKUP($C68,'[1]MIA&amp;RATE-CONV-OCT25'!$D:$H,2,FALSE),"")</f>
        <v/>
      </c>
      <c r="G68" s="47" t="str">
        <f>IFERROR(VLOOKUP($C68,'[1]MIA&amp;RATE-CONV-OCT25'!$D:$H,3,FALSE),"")</f>
        <v/>
      </c>
      <c r="H68" s="47" t="str">
        <f>IFERROR(VLOOKUP($C68,'[1]MIA&amp;RATE-CONV-OCT25'!$D:$H,4,FALSE),"")</f>
        <v/>
      </c>
      <c r="I68" s="107" t="str">
        <f>IFERROR(VLOOKUP($C68,'[1]MIA&amp;RATE-CONV-OCT25'!$D:$H,5,FALSE),"")</f>
        <v/>
      </c>
      <c r="J68" s="53"/>
      <c r="K68" s="53"/>
    </row>
    <row r="69" spans="1:11" s="52" customFormat="1" ht="15" x14ac:dyDescent="0.2">
      <c r="A69" s="42">
        <v>69</v>
      </c>
      <c r="B69" s="80" t="s">
        <v>167</v>
      </c>
      <c r="C69" s="94">
        <v>500806</v>
      </c>
      <c r="D69" s="45">
        <v>45869</v>
      </c>
      <c r="E69" s="46">
        <v>99</v>
      </c>
      <c r="F69" s="47" t="str">
        <f>IFERROR(VLOOKUP($C69,'[1]MIA&amp;RATE-CONV-OCT25'!$D:$H,2,FALSE),"")</f>
        <v/>
      </c>
      <c r="G69" s="47" t="str">
        <f>IFERROR(VLOOKUP($C69,'[1]MIA&amp;RATE-CONV-OCT25'!$D:$H,3,FALSE),"")</f>
        <v/>
      </c>
      <c r="H69" s="47" t="str">
        <f>IFERROR(VLOOKUP($C69,'[1]MIA&amp;RATE-CONV-OCT25'!$D:$H,4,FALSE),"")</f>
        <v/>
      </c>
      <c r="I69" s="107" t="str">
        <f>IFERROR(VLOOKUP($C69,'[1]MIA&amp;RATE-CONV-OCT25'!$D:$H,5,FALSE),"")</f>
        <v/>
      </c>
      <c r="J69" s="53"/>
      <c r="K69" s="53"/>
    </row>
    <row r="70" spans="1:11" s="52" customFormat="1" ht="15" x14ac:dyDescent="0.2">
      <c r="A70" s="42">
        <v>70</v>
      </c>
      <c r="B70" s="80" t="s">
        <v>169</v>
      </c>
      <c r="C70" s="94">
        <v>500857</v>
      </c>
      <c r="D70" s="45">
        <v>45869</v>
      </c>
      <c r="E70" s="46">
        <v>74</v>
      </c>
      <c r="F70" s="47" t="str">
        <f>IFERROR(VLOOKUP($C70,'[1]MIA&amp;RATE-CONV-OCT25'!$D:$H,2,FALSE),"")</f>
        <v/>
      </c>
      <c r="G70" s="47" t="str">
        <f>IFERROR(VLOOKUP($C70,'[1]MIA&amp;RATE-CONV-OCT25'!$D:$H,3,FALSE),"")</f>
        <v/>
      </c>
      <c r="H70" s="47" t="str">
        <f>IFERROR(VLOOKUP($C70,'[1]MIA&amp;RATE-CONV-OCT25'!$D:$H,4,FALSE),"")</f>
        <v/>
      </c>
      <c r="I70" s="107" t="str">
        <f>IFERROR(VLOOKUP($C70,'[1]MIA&amp;RATE-CONV-OCT25'!$D:$H,5,FALSE),"")</f>
        <v/>
      </c>
      <c r="J70" s="53"/>
      <c r="K70" s="53"/>
    </row>
    <row r="71" spans="1:11" s="52" customFormat="1" ht="15" x14ac:dyDescent="0.2">
      <c r="A71" s="42">
        <v>71</v>
      </c>
      <c r="B71" s="80" t="s">
        <v>169</v>
      </c>
      <c r="C71" s="94">
        <v>500773</v>
      </c>
      <c r="D71" s="45">
        <v>45869</v>
      </c>
      <c r="E71" s="46">
        <v>71</v>
      </c>
      <c r="F71" s="47" t="str">
        <f>IFERROR(VLOOKUP($C71,'[1]MIA&amp;RATE-CONV-OCT25'!$D:$H,2,FALSE),"")</f>
        <v/>
      </c>
      <c r="G71" s="47" t="str">
        <f>IFERROR(VLOOKUP($C71,'[1]MIA&amp;RATE-CONV-OCT25'!$D:$H,3,FALSE),"")</f>
        <v/>
      </c>
      <c r="H71" s="47" t="str">
        <f>IFERROR(VLOOKUP($C71,'[1]MIA&amp;RATE-CONV-OCT25'!$D:$H,4,FALSE),"")</f>
        <v/>
      </c>
      <c r="I71" s="107" t="str">
        <f>IFERROR(VLOOKUP($C71,'[1]MIA&amp;RATE-CONV-OCT25'!$D:$H,5,FALSE),"")</f>
        <v/>
      </c>
      <c r="J71" s="53"/>
      <c r="K71" s="53"/>
    </row>
    <row r="72" spans="1:11" s="52" customFormat="1" ht="15" x14ac:dyDescent="0.2">
      <c r="A72" s="42">
        <v>72</v>
      </c>
      <c r="B72" s="80" t="s">
        <v>173</v>
      </c>
      <c r="C72" s="94">
        <v>500888</v>
      </c>
      <c r="D72" s="45">
        <v>45869</v>
      </c>
      <c r="E72" s="46">
        <v>96</v>
      </c>
      <c r="F72" s="47" t="str">
        <f>IFERROR(VLOOKUP($C72,'[1]MIA&amp;RATE-CONV-OCT25'!$D:$H,2,FALSE),"")</f>
        <v/>
      </c>
      <c r="G72" s="47" t="str">
        <f>IFERROR(VLOOKUP($C72,'[1]MIA&amp;RATE-CONV-OCT25'!$D:$H,3,FALSE),"")</f>
        <v/>
      </c>
      <c r="H72" s="47" t="str">
        <f>IFERROR(VLOOKUP($C72,'[1]MIA&amp;RATE-CONV-OCT25'!$D:$H,4,FALSE),"")</f>
        <v/>
      </c>
      <c r="I72" s="107" t="str">
        <f>IFERROR(VLOOKUP($C72,'[1]MIA&amp;RATE-CONV-OCT25'!$D:$H,5,FALSE),"")</f>
        <v/>
      </c>
      <c r="J72" s="53"/>
      <c r="K72" s="53"/>
    </row>
    <row r="73" spans="1:11" s="52" customFormat="1" ht="15" x14ac:dyDescent="0.2">
      <c r="A73" s="42">
        <v>73</v>
      </c>
      <c r="B73" s="80" t="s">
        <v>175</v>
      </c>
      <c r="C73" s="94">
        <v>500838</v>
      </c>
      <c r="D73" s="45">
        <v>45869</v>
      </c>
      <c r="E73" s="46">
        <v>104</v>
      </c>
      <c r="F73" s="47" t="str">
        <f>IFERROR(VLOOKUP($C73,'[1]MIA&amp;RATE-CONV-OCT25'!$D:$H,2,FALSE),"")</f>
        <v/>
      </c>
      <c r="G73" s="47" t="str">
        <f>IFERROR(VLOOKUP($C73,'[1]MIA&amp;RATE-CONV-OCT25'!$D:$H,3,FALSE),"")</f>
        <v/>
      </c>
      <c r="H73" s="47" t="str">
        <f>IFERROR(VLOOKUP($C73,'[1]MIA&amp;RATE-CONV-OCT25'!$D:$H,4,FALSE),"")</f>
        <v/>
      </c>
      <c r="I73" s="107" t="str">
        <f>IFERROR(VLOOKUP($C73,'[1]MIA&amp;RATE-CONV-OCT25'!$D:$H,5,FALSE),"")</f>
        <v/>
      </c>
      <c r="J73" s="53"/>
      <c r="K73" s="53"/>
    </row>
    <row r="74" spans="1:11" s="52" customFormat="1" ht="15" x14ac:dyDescent="0.2">
      <c r="A74" s="42">
        <v>74</v>
      </c>
      <c r="B74" s="80" t="s">
        <v>177</v>
      </c>
      <c r="C74" s="94">
        <v>500560</v>
      </c>
      <c r="D74" s="45">
        <v>45869</v>
      </c>
      <c r="E74" s="46">
        <v>150</v>
      </c>
      <c r="F74" s="47" t="str">
        <f>IFERROR(VLOOKUP($C74,'[1]MIA&amp;RATE-CONV-OCT25'!$D:$H,2,FALSE),"")</f>
        <v/>
      </c>
      <c r="G74" s="47" t="str">
        <f>IFERROR(VLOOKUP($C74,'[1]MIA&amp;RATE-CONV-OCT25'!$D:$H,3,FALSE),"")</f>
        <v/>
      </c>
      <c r="H74" s="47" t="str">
        <f>IFERROR(VLOOKUP($C74,'[1]MIA&amp;RATE-CONV-OCT25'!$D:$H,4,FALSE),"")</f>
        <v/>
      </c>
      <c r="I74" s="107" t="str">
        <f>IFERROR(VLOOKUP($C74,'[1]MIA&amp;RATE-CONV-OCT25'!$D:$H,5,FALSE),"")</f>
        <v/>
      </c>
      <c r="J74" s="53"/>
      <c r="K74" s="53"/>
    </row>
    <row r="75" spans="1:11" s="52" customFormat="1" ht="15" x14ac:dyDescent="0.2">
      <c r="A75" s="42">
        <v>75</v>
      </c>
      <c r="B75" s="80" t="s">
        <v>179</v>
      </c>
      <c r="C75" s="94">
        <v>500297</v>
      </c>
      <c r="D75" s="45">
        <v>45869</v>
      </c>
      <c r="E75" s="46">
        <v>131</v>
      </c>
      <c r="F75" s="47" t="str">
        <f>IFERROR(VLOOKUP($C75,'[1]MIA&amp;RATE-CONV-OCT25'!$D:$H,2,FALSE),"")</f>
        <v/>
      </c>
      <c r="G75" s="47" t="str">
        <f>IFERROR(VLOOKUP($C75,'[1]MIA&amp;RATE-CONV-OCT25'!$D:$H,3,FALSE),"")</f>
        <v/>
      </c>
      <c r="H75" s="47" t="str">
        <f>IFERROR(VLOOKUP($C75,'[1]MIA&amp;RATE-CONV-OCT25'!$D:$H,4,FALSE),"")</f>
        <v/>
      </c>
      <c r="I75" s="107" t="str">
        <f>IFERROR(VLOOKUP($C75,'[1]MIA&amp;RATE-CONV-OCT25'!$D:$H,5,FALSE),"")</f>
        <v/>
      </c>
      <c r="J75" s="53"/>
      <c r="K75" s="53"/>
    </row>
    <row r="76" spans="1:11" s="52" customFormat="1" ht="15" x14ac:dyDescent="0.2">
      <c r="A76" s="42">
        <v>76</v>
      </c>
      <c r="B76" s="80" t="s">
        <v>181</v>
      </c>
      <c r="C76" s="94">
        <v>500962</v>
      </c>
      <c r="D76" s="45">
        <v>45869</v>
      </c>
      <c r="E76" s="46">
        <v>94</v>
      </c>
      <c r="F76" s="47" t="str">
        <f>IFERROR(VLOOKUP($C76,'[1]MIA&amp;RATE-CONV-OCT25'!$D:$H,2,FALSE),"")</f>
        <v/>
      </c>
      <c r="G76" s="47" t="str">
        <f>IFERROR(VLOOKUP($C76,'[1]MIA&amp;RATE-CONV-OCT25'!$D:$H,3,FALSE),"")</f>
        <v/>
      </c>
      <c r="H76" s="47" t="str">
        <f>IFERROR(VLOOKUP($C76,'[1]MIA&amp;RATE-CONV-OCT25'!$D:$H,4,FALSE),"")</f>
        <v/>
      </c>
      <c r="I76" s="107" t="str">
        <f>IFERROR(VLOOKUP($C76,'[1]MIA&amp;RATE-CONV-OCT25'!$D:$H,5,FALSE),"")</f>
        <v/>
      </c>
      <c r="J76" s="53"/>
      <c r="K76" s="53"/>
    </row>
    <row r="77" spans="1:11" s="52" customFormat="1" ht="15" x14ac:dyDescent="0.2">
      <c r="A77" s="42">
        <v>77</v>
      </c>
      <c r="B77" s="80" t="s">
        <v>183</v>
      </c>
      <c r="C77" s="94">
        <v>500515</v>
      </c>
      <c r="D77" s="45">
        <v>45869</v>
      </c>
      <c r="E77" s="46">
        <v>94</v>
      </c>
      <c r="F77" s="47" t="str">
        <f>IFERROR(VLOOKUP($C77,'[1]MIA&amp;RATE-CONV-OCT25'!$D:$H,2,FALSE),"")</f>
        <v/>
      </c>
      <c r="G77" s="47" t="str">
        <f>IFERROR(VLOOKUP($C77,'[1]MIA&amp;RATE-CONV-OCT25'!$D:$H,3,FALSE),"")</f>
        <v/>
      </c>
      <c r="H77" s="47" t="str">
        <f>IFERROR(VLOOKUP($C77,'[1]MIA&amp;RATE-CONV-OCT25'!$D:$H,4,FALSE),"")</f>
        <v/>
      </c>
      <c r="I77" s="107" t="str">
        <f>IFERROR(VLOOKUP($C77,'[1]MIA&amp;RATE-CONV-OCT25'!$D:$H,5,FALSE),"")</f>
        <v/>
      </c>
      <c r="J77" s="53"/>
      <c r="K77" s="53"/>
    </row>
    <row r="78" spans="1:11" s="52" customFormat="1" ht="15" x14ac:dyDescent="0.2">
      <c r="A78" s="42">
        <v>78</v>
      </c>
      <c r="B78" s="85" t="s">
        <v>26</v>
      </c>
      <c r="C78" s="94">
        <v>500529</v>
      </c>
      <c r="D78" s="45">
        <v>45869</v>
      </c>
      <c r="E78" s="46">
        <v>118</v>
      </c>
      <c r="F78" s="47" t="str">
        <f>IFERROR(VLOOKUP($C78,'[1]MIA&amp;RATE-CONV-OCT25'!$D:$H,2,FALSE),"")</f>
        <v/>
      </c>
      <c r="G78" s="47" t="str">
        <f>IFERROR(VLOOKUP($C78,'[1]MIA&amp;RATE-CONV-OCT25'!$D:$H,3,FALSE),"")</f>
        <v/>
      </c>
      <c r="H78" s="47" t="str">
        <f>IFERROR(VLOOKUP($C78,'[1]MIA&amp;RATE-CONV-OCT25'!$D:$H,4,FALSE),"")</f>
        <v/>
      </c>
      <c r="I78" s="107" t="str">
        <f>IFERROR(VLOOKUP($C78,'[1]MIA&amp;RATE-CONV-OCT25'!$D:$H,5,FALSE),"")</f>
        <v/>
      </c>
      <c r="J78" s="53"/>
      <c r="K78" s="53"/>
    </row>
    <row r="79" spans="1:11" s="52" customFormat="1" ht="15" x14ac:dyDescent="0.2">
      <c r="A79" s="42">
        <v>79</v>
      </c>
      <c r="B79" s="80" t="s">
        <v>48</v>
      </c>
      <c r="C79" s="95">
        <v>500546</v>
      </c>
      <c r="D79" s="45">
        <v>45869</v>
      </c>
      <c r="E79" s="46">
        <v>113</v>
      </c>
      <c r="F79" s="47" t="str">
        <f>IFERROR(VLOOKUP($C79,'[1]MIA&amp;RATE-CONV-OCT25'!$D:$H,2,FALSE),"")</f>
        <v/>
      </c>
      <c r="G79" s="47" t="str">
        <f>IFERROR(VLOOKUP($C79,'[1]MIA&amp;RATE-CONV-OCT25'!$D:$H,3,FALSE),"")</f>
        <v/>
      </c>
      <c r="H79" s="47" t="str">
        <f>IFERROR(VLOOKUP($C79,'[1]MIA&amp;RATE-CONV-OCT25'!$D:$H,4,FALSE),"")</f>
        <v/>
      </c>
      <c r="I79" s="107" t="str">
        <f>IFERROR(VLOOKUP($C79,'[1]MIA&amp;RATE-CONV-OCT25'!$D:$H,5,FALSE),"")</f>
        <v/>
      </c>
      <c r="J79" s="53"/>
      <c r="K79" s="53"/>
    </row>
    <row r="80" spans="1:11" s="52" customFormat="1" ht="15" x14ac:dyDescent="0.2">
      <c r="A80" s="42">
        <v>80</v>
      </c>
      <c r="B80" s="80" t="s">
        <v>50</v>
      </c>
      <c r="C80" s="94">
        <v>500644</v>
      </c>
      <c r="D80" s="45">
        <v>45869</v>
      </c>
      <c r="E80" s="46">
        <v>129</v>
      </c>
      <c r="F80" s="47" t="str">
        <f>IFERROR(VLOOKUP($C80,'[1]MIA&amp;RATE-CONV-OCT25'!$D:$H,2,FALSE),"")</f>
        <v/>
      </c>
      <c r="G80" s="47" t="str">
        <f>IFERROR(VLOOKUP($C80,'[1]MIA&amp;RATE-CONV-OCT25'!$D:$H,3,FALSE),"")</f>
        <v/>
      </c>
      <c r="H80" s="47" t="str">
        <f>IFERROR(VLOOKUP($C80,'[1]MIA&amp;RATE-CONV-OCT25'!$D:$H,4,FALSE),"")</f>
        <v/>
      </c>
      <c r="I80" s="107" t="str">
        <f>IFERROR(VLOOKUP($C80,'[1]MIA&amp;RATE-CONV-OCT25'!$D:$H,5,FALSE),"")</f>
        <v/>
      </c>
      <c r="J80" s="53"/>
      <c r="K80" s="53"/>
    </row>
    <row r="81" spans="1:15" s="52" customFormat="1" ht="15" x14ac:dyDescent="0.2">
      <c r="A81" s="42">
        <v>81</v>
      </c>
      <c r="B81" s="80" t="s">
        <v>52</v>
      </c>
      <c r="C81" s="94">
        <v>500613</v>
      </c>
      <c r="D81" s="45">
        <v>45869</v>
      </c>
      <c r="E81" s="46">
        <v>79</v>
      </c>
      <c r="F81" s="47" t="str">
        <f>IFERROR(VLOOKUP($C81,'[1]MIA&amp;RATE-CONV-OCT25'!$D:$H,2,FALSE),"")</f>
        <v/>
      </c>
      <c r="G81" s="47" t="str">
        <f>IFERROR(VLOOKUP($C81,'[1]MIA&amp;RATE-CONV-OCT25'!$D:$H,3,FALSE),"")</f>
        <v/>
      </c>
      <c r="H81" s="47" t="str">
        <f>IFERROR(VLOOKUP($C81,'[1]MIA&amp;RATE-CONV-OCT25'!$D:$H,4,FALSE),"")</f>
        <v/>
      </c>
      <c r="I81" s="107" t="str">
        <f>IFERROR(VLOOKUP($C81,'[1]MIA&amp;RATE-CONV-OCT25'!$D:$H,5,FALSE),"")</f>
        <v/>
      </c>
      <c r="J81" s="53"/>
      <c r="K81" s="53"/>
    </row>
    <row r="82" spans="1:15" s="52" customFormat="1" ht="15" x14ac:dyDescent="0.2">
      <c r="A82" s="42">
        <v>82</v>
      </c>
      <c r="B82" s="80" t="s">
        <v>64</v>
      </c>
      <c r="C82" s="94">
        <v>500576</v>
      </c>
      <c r="D82" s="45">
        <v>45869</v>
      </c>
      <c r="E82" s="46">
        <v>148</v>
      </c>
      <c r="F82" s="47" t="str">
        <f>IFERROR(VLOOKUP($C82,'[1]MIA&amp;RATE-CONV-OCT25'!$D:$H,2,FALSE),"")</f>
        <v/>
      </c>
      <c r="G82" s="47" t="str">
        <f>IFERROR(VLOOKUP($C82,'[1]MIA&amp;RATE-CONV-OCT25'!$D:$H,3,FALSE),"")</f>
        <v/>
      </c>
      <c r="H82" s="47" t="str">
        <f>IFERROR(VLOOKUP($C82,'[1]MIA&amp;RATE-CONV-OCT25'!$D:$H,4,FALSE),"")</f>
        <v/>
      </c>
      <c r="I82" s="107" t="str">
        <f>IFERROR(VLOOKUP($C82,'[1]MIA&amp;RATE-CONV-OCT25'!$D:$H,5,FALSE),"")</f>
        <v/>
      </c>
      <c r="J82" s="53"/>
      <c r="K82" s="53"/>
    </row>
    <row r="83" spans="1:15" s="52" customFormat="1" ht="15" x14ac:dyDescent="0.2">
      <c r="A83" s="42">
        <v>83</v>
      </c>
      <c r="B83" s="80" t="s">
        <v>73</v>
      </c>
      <c r="C83" s="94">
        <v>500631</v>
      </c>
      <c r="D83" s="45">
        <v>45869</v>
      </c>
      <c r="E83" s="46">
        <v>143</v>
      </c>
      <c r="F83" s="47" t="str">
        <f>IFERROR(VLOOKUP($C83,'[1]MIA&amp;RATE-CONV-OCT25'!$D:$H,2,FALSE),"")</f>
        <v/>
      </c>
      <c r="G83" s="47" t="str">
        <f>IFERROR(VLOOKUP($C83,'[1]MIA&amp;RATE-CONV-OCT25'!$D:$H,3,FALSE),"")</f>
        <v/>
      </c>
      <c r="H83" s="47" t="str">
        <f>IFERROR(VLOOKUP($C83,'[1]MIA&amp;RATE-CONV-OCT25'!$D:$H,4,FALSE),"")</f>
        <v/>
      </c>
      <c r="I83" s="107" t="str">
        <f>IFERROR(VLOOKUP($C83,'[1]MIA&amp;RATE-CONV-OCT25'!$D:$H,5,FALSE),"")</f>
        <v/>
      </c>
      <c r="J83" s="53"/>
      <c r="K83" s="53"/>
    </row>
    <row r="84" spans="1:15" s="52" customFormat="1" ht="15" x14ac:dyDescent="0.2">
      <c r="A84" s="42">
        <v>84</v>
      </c>
      <c r="B84" s="80" t="s">
        <v>109</v>
      </c>
      <c r="C84" s="94">
        <v>500922</v>
      </c>
      <c r="D84" s="45">
        <v>45869</v>
      </c>
      <c r="E84" s="46">
        <v>96</v>
      </c>
      <c r="F84" s="47" t="str">
        <f>IFERROR(VLOOKUP($C84,'[1]MIA&amp;RATE-CONV-OCT25'!$D:$H,2,FALSE),"")</f>
        <v/>
      </c>
      <c r="G84" s="47" t="str">
        <f>IFERROR(VLOOKUP($C84,'[1]MIA&amp;RATE-CONV-OCT25'!$D:$H,3,FALSE),"")</f>
        <v/>
      </c>
      <c r="H84" s="47" t="str">
        <f>IFERROR(VLOOKUP($C84,'[1]MIA&amp;RATE-CONV-OCT25'!$D:$H,4,FALSE),"")</f>
        <v/>
      </c>
      <c r="I84" s="107" t="str">
        <f>IFERROR(VLOOKUP($C84,'[1]MIA&amp;RATE-CONV-OCT25'!$D:$H,5,FALSE),"")</f>
        <v/>
      </c>
      <c r="J84" s="53"/>
      <c r="K84" s="53"/>
    </row>
    <row r="85" spans="1:15" s="52" customFormat="1" ht="15" x14ac:dyDescent="0.2">
      <c r="A85" s="42">
        <v>85</v>
      </c>
      <c r="B85" s="80" t="s">
        <v>119</v>
      </c>
      <c r="C85" s="94">
        <v>501025</v>
      </c>
      <c r="D85" s="45">
        <v>45869</v>
      </c>
      <c r="E85" s="46">
        <v>57</v>
      </c>
      <c r="F85" s="47" t="str">
        <f>IFERROR(VLOOKUP($C85,'[1]MIA&amp;RATE-CONV-OCT25'!$D:$H,2,FALSE),"")</f>
        <v/>
      </c>
      <c r="G85" s="47" t="str">
        <f>IFERROR(VLOOKUP($C85,'[1]MIA&amp;RATE-CONV-OCT25'!$D:$H,3,FALSE),"")</f>
        <v/>
      </c>
      <c r="H85" s="47" t="str">
        <f>IFERROR(VLOOKUP($C85,'[1]MIA&amp;RATE-CONV-OCT25'!$D:$H,4,FALSE),"")</f>
        <v/>
      </c>
      <c r="I85" s="107" t="str">
        <f>IFERROR(VLOOKUP($C85,'[1]MIA&amp;RATE-CONV-OCT25'!$D:$H,5,FALSE),"")</f>
        <v/>
      </c>
      <c r="J85" s="53"/>
      <c r="K85" s="53"/>
    </row>
    <row r="86" spans="1:15" s="52" customFormat="1" ht="15" x14ac:dyDescent="0.2">
      <c r="A86" s="42">
        <v>86</v>
      </c>
      <c r="B86" s="80" t="s">
        <v>194</v>
      </c>
      <c r="C86" s="94">
        <v>500190</v>
      </c>
      <c r="D86" s="45">
        <v>45869</v>
      </c>
      <c r="E86" s="46">
        <v>61</v>
      </c>
      <c r="F86" s="47" t="str">
        <f>IFERROR(VLOOKUP($C86,'[1]MIA&amp;RATE-CONV-OCT25'!$D:$H,2,FALSE),"")</f>
        <v/>
      </c>
      <c r="G86" s="47" t="str">
        <f>IFERROR(VLOOKUP($C86,'[1]MIA&amp;RATE-CONV-OCT25'!$D:$H,3,FALSE),"")</f>
        <v/>
      </c>
      <c r="H86" s="47" t="str">
        <f>IFERROR(VLOOKUP($C86,'[1]MIA&amp;RATE-CONV-OCT25'!$D:$H,4,FALSE),"")</f>
        <v/>
      </c>
      <c r="I86" s="107" t="str">
        <f>IFERROR(VLOOKUP($C86,'[1]MIA&amp;RATE-CONV-OCT25'!$D:$H,5,FALSE),"")</f>
        <v/>
      </c>
      <c r="J86" s="53"/>
      <c r="K86" s="53"/>
    </row>
    <row r="87" spans="1:15" s="49" customFormat="1" ht="15" x14ac:dyDescent="0.25">
      <c r="A87" s="42">
        <v>87</v>
      </c>
      <c r="B87" s="86" t="s">
        <v>29</v>
      </c>
      <c r="C87" s="95">
        <v>500663</v>
      </c>
      <c r="D87" s="45">
        <v>45869</v>
      </c>
      <c r="E87" s="46">
        <v>84</v>
      </c>
      <c r="F87" s="47" t="str">
        <f>IFERROR(VLOOKUP($C87,'[1]MIA&amp;RATE-CONV-OCT25'!$D:$H,2,FALSE),"")</f>
        <v/>
      </c>
      <c r="G87" s="47" t="str">
        <f>IFERROR(VLOOKUP($C87,'[1]MIA&amp;RATE-CONV-OCT25'!$D:$H,3,FALSE),"")</f>
        <v/>
      </c>
      <c r="H87" s="47" t="str">
        <f>IFERROR(VLOOKUP($C87,'[1]MIA&amp;RATE-CONV-OCT25'!$D:$H,4,FALSE),"")</f>
        <v/>
      </c>
      <c r="I87" s="107" t="str">
        <f>IFERROR(VLOOKUP($C87,'[1]MIA&amp;RATE-CONV-OCT25'!$D:$H,5,FALSE),"")</f>
        <v/>
      </c>
      <c r="J87" s="48"/>
      <c r="K87" s="48"/>
      <c r="L87" s="48"/>
      <c r="M87" s="48"/>
      <c r="N87" s="48"/>
      <c r="O87" s="48"/>
    </row>
    <row r="88" spans="1:15" s="52" customFormat="1" ht="15" x14ac:dyDescent="0.2">
      <c r="A88" s="42">
        <v>88</v>
      </c>
      <c r="B88" s="80" t="s">
        <v>79</v>
      </c>
      <c r="C88" s="94">
        <v>500866</v>
      </c>
      <c r="D88" s="45">
        <v>45869</v>
      </c>
      <c r="E88" s="46">
        <v>104</v>
      </c>
      <c r="F88" s="47" t="str">
        <f>IFERROR(VLOOKUP($C88,'[1]MIA&amp;RATE-CONV-OCT25'!$D:$H,2,FALSE),"")</f>
        <v/>
      </c>
      <c r="G88" s="47" t="str">
        <f>IFERROR(VLOOKUP($C88,'[1]MIA&amp;RATE-CONV-OCT25'!$D:$H,3,FALSE),"")</f>
        <v/>
      </c>
      <c r="H88" s="47" t="str">
        <f>IFERROR(VLOOKUP($C88,'[1]MIA&amp;RATE-CONV-OCT25'!$D:$H,4,FALSE),"")</f>
        <v/>
      </c>
      <c r="I88" s="107" t="str">
        <f>IFERROR(VLOOKUP($C88,'[1]MIA&amp;RATE-CONV-OCT25'!$D:$H,5,FALSE),"")</f>
        <v/>
      </c>
      <c r="J88" s="53"/>
      <c r="K88" s="53"/>
    </row>
    <row r="89" spans="1:15" s="52" customFormat="1" ht="15" x14ac:dyDescent="0.2">
      <c r="A89" s="42">
        <v>89</v>
      </c>
      <c r="B89" s="80" t="s">
        <v>81</v>
      </c>
      <c r="C89" s="94">
        <v>500852</v>
      </c>
      <c r="D89" s="45">
        <v>45869</v>
      </c>
      <c r="E89" s="46">
        <v>104</v>
      </c>
      <c r="F89" s="47" t="str">
        <f>IFERROR(VLOOKUP($C89,'[1]MIA&amp;RATE-CONV-OCT25'!$D:$H,2,FALSE),"")</f>
        <v/>
      </c>
      <c r="G89" s="47" t="str">
        <f>IFERROR(VLOOKUP($C89,'[1]MIA&amp;RATE-CONV-OCT25'!$D:$H,3,FALSE),"")</f>
        <v/>
      </c>
      <c r="H89" s="47" t="str">
        <f>IFERROR(VLOOKUP($C89,'[1]MIA&amp;RATE-CONV-OCT25'!$D:$H,4,FALSE),"")</f>
        <v/>
      </c>
      <c r="I89" s="107" t="str">
        <f>IFERROR(VLOOKUP($C89,'[1]MIA&amp;RATE-CONV-OCT25'!$D:$H,5,FALSE),"")</f>
        <v/>
      </c>
      <c r="J89" s="46">
        <v>147</v>
      </c>
      <c r="K89" s="53"/>
    </row>
    <row r="90" spans="1:15" s="52" customFormat="1" ht="15" x14ac:dyDescent="0.2">
      <c r="A90" s="42">
        <v>90</v>
      </c>
      <c r="B90" s="80" t="s">
        <v>83</v>
      </c>
      <c r="C90" s="94">
        <v>500577</v>
      </c>
      <c r="D90" s="45">
        <v>45869</v>
      </c>
      <c r="E90" s="46">
        <v>9999</v>
      </c>
      <c r="F90" s="47" t="str">
        <f>IFERROR(VLOOKUP($C90,'[1]MIA&amp;RATE-CONV-OCT25'!$D:$H,2,FALSE),"")</f>
        <v/>
      </c>
      <c r="G90" s="47" t="str">
        <f>IFERROR(VLOOKUP($C90,'[1]MIA&amp;RATE-CONV-OCT25'!$D:$H,3,FALSE),"")</f>
        <v/>
      </c>
      <c r="H90" s="47" t="str">
        <f>IFERROR(VLOOKUP($C90,'[1]MIA&amp;RATE-CONV-OCT25'!$D:$H,4,FALSE),"")</f>
        <v/>
      </c>
      <c r="I90" s="107" t="str">
        <f>IFERROR(VLOOKUP($C90,'[1]MIA&amp;RATE-CONV-OCT25'!$D:$H,5,FALSE),"")</f>
        <v/>
      </c>
      <c r="J90" s="53"/>
      <c r="K90" s="53"/>
    </row>
    <row r="91" spans="1:15" s="8" customFormat="1" x14ac:dyDescent="0.25">
      <c r="A91" s="10"/>
      <c r="B91" s="27"/>
      <c r="C91" s="28"/>
      <c r="D91" s="24"/>
      <c r="E91" s="24"/>
      <c r="J91" s="9"/>
      <c r="K91" s="9"/>
    </row>
    <row r="92" spans="1:15" s="8" customFormat="1" x14ac:dyDescent="0.25">
      <c r="A92" s="10"/>
      <c r="B92" s="27"/>
      <c r="C92" s="28"/>
      <c r="D92" s="24"/>
      <c r="E92" s="13"/>
      <c r="J92" s="9"/>
      <c r="K92" s="9"/>
    </row>
    <row r="93" spans="1:15" s="8" customFormat="1" x14ac:dyDescent="0.25">
      <c r="A93" s="10"/>
      <c r="B93" s="27"/>
      <c r="C93" s="28"/>
      <c r="D93" s="24"/>
      <c r="E93" s="13"/>
      <c r="J93" s="9"/>
      <c r="K93" s="9"/>
    </row>
    <row r="94" spans="1:15" s="8" customFormat="1" x14ac:dyDescent="0.25">
      <c r="A94" s="10"/>
      <c r="B94" s="27"/>
      <c r="C94" s="28"/>
      <c r="D94" s="24"/>
      <c r="E94" s="40"/>
      <c r="J94" s="9"/>
      <c r="K94" s="9"/>
    </row>
    <row r="95" spans="1:15" s="8" customFormat="1" x14ac:dyDescent="0.25">
      <c r="A95" s="10"/>
      <c r="B95" s="27"/>
      <c r="C95" s="28"/>
      <c r="D95" s="24"/>
      <c r="E95" s="13"/>
      <c r="J95" s="9"/>
      <c r="K95" s="9"/>
    </row>
    <row r="96" spans="1:15" ht="18" x14ac:dyDescent="0.25">
      <c r="A96" s="10"/>
      <c r="B96" s="14"/>
      <c r="C96" s="15"/>
      <c r="D96" s="16"/>
      <c r="E96" s="16"/>
      <c r="F96" s="16"/>
      <c r="G96" s="16"/>
      <c r="H96" s="16"/>
      <c r="I96" s="16"/>
      <c r="J96" s="16"/>
      <c r="K96" s="16"/>
    </row>
    <row r="97" spans="1:11" s="8" customFormat="1" ht="18" x14ac:dyDescent="0.25">
      <c r="A97" s="12"/>
      <c r="B97" s="19" t="s">
        <v>186</v>
      </c>
      <c r="C97" s="20"/>
      <c r="D97" s="17"/>
      <c r="E97" s="17"/>
      <c r="F97" s="17"/>
      <c r="G97" s="17"/>
      <c r="H97" s="17"/>
      <c r="I97" s="17"/>
      <c r="J97" s="17"/>
      <c r="K97" s="17"/>
    </row>
    <row r="98" spans="1:11" ht="18" x14ac:dyDescent="0.25">
      <c r="A98" s="10"/>
      <c r="B98" s="19"/>
      <c r="C98" s="15"/>
      <c r="D98" s="21"/>
      <c r="E98" s="21"/>
      <c r="F98" s="21"/>
      <c r="G98" s="21"/>
      <c r="H98" s="21"/>
      <c r="I98" s="21"/>
      <c r="J98" s="21"/>
      <c r="K98" s="21"/>
    </row>
    <row r="99" spans="1:11" ht="18" x14ac:dyDescent="0.25">
      <c r="A99" s="10"/>
      <c r="B99" s="19"/>
      <c r="C99" s="15"/>
      <c r="D99" s="17"/>
      <c r="E99" s="18"/>
      <c r="J99" s="7"/>
      <c r="K99" s="7"/>
    </row>
    <row r="100" spans="1:11" ht="18" x14ac:dyDescent="0.25">
      <c r="B100" s="19"/>
      <c r="C100" s="15"/>
      <c r="D100" s="17"/>
      <c r="J100" s="7"/>
      <c r="K100" s="7"/>
    </row>
    <row r="101" spans="1:11" ht="18" x14ac:dyDescent="0.25">
      <c r="B101" s="19"/>
      <c r="C101" s="15"/>
      <c r="D101" s="17"/>
      <c r="J101" s="7"/>
      <c r="K101" s="7"/>
    </row>
    <row r="102" spans="1:11" ht="18" x14ac:dyDescent="0.25">
      <c r="B102" s="22"/>
      <c r="C102" s="15"/>
      <c r="D102" s="17"/>
      <c r="J102" s="7"/>
      <c r="K102" s="7"/>
    </row>
    <row r="103" spans="1:11" ht="18" x14ac:dyDescent="0.25">
      <c r="B103" s="22" t="s">
        <v>187</v>
      </c>
      <c r="C103" s="88" t="s">
        <v>188</v>
      </c>
      <c r="D103" s="17"/>
      <c r="J103" s="7"/>
      <c r="K103" s="7"/>
    </row>
    <row r="104" spans="1:11" ht="18" x14ac:dyDescent="0.25">
      <c r="B104" s="22" t="s">
        <v>189</v>
      </c>
      <c r="C104" s="89" t="s">
        <v>190</v>
      </c>
      <c r="D104" s="17"/>
      <c r="J104" s="7"/>
      <c r="K104" s="7"/>
    </row>
    <row r="105" spans="1:11" ht="18" x14ac:dyDescent="0.25">
      <c r="B105" s="22"/>
      <c r="C105" s="15"/>
      <c r="D105" s="17"/>
      <c r="J105" s="7"/>
      <c r="K105" s="7"/>
    </row>
    <row r="106" spans="1:11" s="8" customFormat="1" ht="18" x14ac:dyDescent="0.25">
      <c r="A106" s="2"/>
      <c r="B106" s="17"/>
      <c r="C106" s="20"/>
      <c r="D106" s="17"/>
      <c r="E106" s="11"/>
      <c r="J106" s="9"/>
      <c r="K106" s="9"/>
    </row>
    <row r="107" spans="1:11" s="8" customFormat="1" ht="18" x14ac:dyDescent="0.25">
      <c r="A107" s="2"/>
      <c r="B107" s="19" t="s">
        <v>191</v>
      </c>
      <c r="C107" s="20"/>
      <c r="D107" s="17"/>
      <c r="E107" s="11"/>
      <c r="J107" s="9"/>
      <c r="K107" s="9"/>
    </row>
    <row r="108" spans="1:11" ht="18" x14ac:dyDescent="0.25">
      <c r="B108" s="14"/>
      <c r="C108" s="15"/>
      <c r="D108" s="17"/>
    </row>
    <row r="109" spans="1:11" ht="18" x14ac:dyDescent="0.25">
      <c r="B109" s="14"/>
      <c r="C109" s="15"/>
      <c r="D109" s="17"/>
    </row>
    <row r="110" spans="1:11" ht="18" x14ac:dyDescent="0.25">
      <c r="B110" s="14"/>
      <c r="C110" s="15"/>
      <c r="D110" s="17"/>
    </row>
    <row r="111" spans="1:11" ht="18" x14ac:dyDescent="0.25">
      <c r="B111" s="14"/>
      <c r="C111" s="15"/>
      <c r="D111" s="17"/>
    </row>
    <row r="112" spans="1:11" ht="18" x14ac:dyDescent="0.25">
      <c r="B112" s="22" t="s">
        <v>187</v>
      </c>
      <c r="C112" s="88" t="s">
        <v>192</v>
      </c>
      <c r="D112" s="17"/>
    </row>
    <row r="113" spans="2:15" ht="18" x14ac:dyDescent="0.25">
      <c r="B113" s="22" t="s">
        <v>189</v>
      </c>
      <c r="C113" s="89" t="s">
        <v>197</v>
      </c>
      <c r="D113" s="17"/>
    </row>
    <row r="114" spans="2:15" ht="18" x14ac:dyDescent="0.25">
      <c r="B114" s="14"/>
      <c r="C114" s="15"/>
      <c r="D114" s="17"/>
    </row>
    <row r="115" spans="2:15" ht="18" x14ac:dyDescent="0.25">
      <c r="B115" s="14"/>
      <c r="C115" s="15"/>
      <c r="D115" s="17"/>
    </row>
    <row r="116" spans="2:15" ht="18" x14ac:dyDescent="0.25">
      <c r="B116" s="19" t="s">
        <v>193</v>
      </c>
      <c r="C116" s="20"/>
      <c r="D116" s="17"/>
    </row>
    <row r="117" spans="2:15" ht="18" x14ac:dyDescent="0.25">
      <c r="B117" s="14"/>
      <c r="C117" s="15"/>
      <c r="D117" s="17"/>
    </row>
    <row r="118" spans="2:15" ht="18" x14ac:dyDescent="0.25">
      <c r="B118" s="14"/>
      <c r="C118" s="15"/>
      <c r="D118" s="17"/>
    </row>
    <row r="119" spans="2:15" ht="18" x14ac:dyDescent="0.25">
      <c r="B119" s="14"/>
      <c r="C119" s="15"/>
      <c r="D119" s="17"/>
    </row>
    <row r="120" spans="2:15" ht="18" x14ac:dyDescent="0.25">
      <c r="B120" s="14"/>
      <c r="C120" s="15"/>
      <c r="D120" s="17"/>
    </row>
    <row r="121" spans="2:15" ht="18" x14ac:dyDescent="0.25">
      <c r="B121" s="22" t="s">
        <v>187</v>
      </c>
      <c r="C121" s="88"/>
      <c r="D121" s="17"/>
    </row>
    <row r="122" spans="2:15" ht="18" x14ac:dyDescent="0.25">
      <c r="B122" s="22" t="s">
        <v>189</v>
      </c>
      <c r="C122" s="87"/>
      <c r="D122" s="17"/>
    </row>
    <row r="123" spans="2:15" s="11" customFormat="1" ht="18" x14ac:dyDescent="0.25">
      <c r="B123" s="14"/>
      <c r="C123" s="15"/>
      <c r="D123" s="17"/>
      <c r="F123" s="6"/>
      <c r="G123" s="6"/>
      <c r="H123" s="6"/>
      <c r="I123" s="6"/>
      <c r="J123" s="6"/>
      <c r="K123" s="6"/>
      <c r="L123" s="6"/>
      <c r="M123" s="6"/>
      <c r="N123" s="6"/>
      <c r="O123" s="6"/>
    </row>
    <row r="124" spans="2:15" s="11" customFormat="1" ht="18" x14ac:dyDescent="0.25">
      <c r="B124" s="14"/>
      <c r="C124" s="15"/>
      <c r="D124" s="17"/>
      <c r="F124" s="6"/>
      <c r="G124" s="6"/>
      <c r="H124" s="6"/>
      <c r="I124" s="6"/>
      <c r="J124" s="6"/>
      <c r="K124" s="6"/>
      <c r="L124" s="6"/>
      <c r="M124" s="6"/>
      <c r="N124" s="6"/>
      <c r="O124" s="6"/>
    </row>
    <row r="125" spans="2:15" s="11" customFormat="1" x14ac:dyDescent="0.25">
      <c r="B125" s="6"/>
      <c r="C125" s="3"/>
      <c r="D125" s="2"/>
      <c r="F125" s="6"/>
      <c r="G125" s="6"/>
      <c r="H125" s="6"/>
      <c r="I125" s="6"/>
      <c r="J125" s="6"/>
      <c r="K125" s="6"/>
      <c r="L125" s="6"/>
      <c r="M125" s="6"/>
      <c r="N125" s="6"/>
      <c r="O125" s="6"/>
    </row>
    <row r="126" spans="2:15" s="11" customFormat="1" x14ac:dyDescent="0.25">
      <c r="B126" s="6"/>
      <c r="C126" s="3"/>
      <c r="D126" s="2"/>
      <c r="F126" s="6"/>
      <c r="G126" s="6"/>
      <c r="H126" s="6"/>
      <c r="I126" s="6"/>
      <c r="J126" s="6"/>
      <c r="K126" s="6"/>
      <c r="L126" s="6"/>
      <c r="M126" s="6"/>
      <c r="N126" s="6"/>
      <c r="O126" s="6"/>
    </row>
    <row r="127" spans="2:15" s="11" customFormat="1" x14ac:dyDescent="0.25">
      <c r="B127" s="6"/>
      <c r="C127" s="3"/>
      <c r="D127" s="2"/>
      <c r="F127" s="6"/>
      <c r="G127" s="6"/>
      <c r="H127" s="6"/>
      <c r="I127" s="6"/>
      <c r="J127" s="6"/>
      <c r="K127" s="6"/>
      <c r="L127" s="6"/>
      <c r="M127" s="6"/>
      <c r="N127" s="6"/>
      <c r="O127" s="6"/>
    </row>
    <row r="128" spans="2:15" s="11" customFormat="1" x14ac:dyDescent="0.25">
      <c r="B128" s="6"/>
      <c r="C128" s="3"/>
      <c r="D128" s="2"/>
      <c r="F128" s="6"/>
      <c r="G128" s="6"/>
      <c r="H128" s="6"/>
      <c r="I128" s="6"/>
      <c r="J128" s="6"/>
      <c r="K128" s="6"/>
      <c r="L128" s="6"/>
      <c r="M128" s="6"/>
      <c r="N128" s="6"/>
      <c r="O128" s="6"/>
    </row>
    <row r="129" spans="2:15" s="11" customFormat="1" x14ac:dyDescent="0.25">
      <c r="B129" s="6"/>
      <c r="C129" s="3"/>
      <c r="D129" s="2"/>
      <c r="F129" s="6"/>
      <c r="G129" s="6"/>
      <c r="H129" s="6"/>
      <c r="I129" s="6"/>
      <c r="J129" s="6"/>
      <c r="K129" s="6"/>
      <c r="L129" s="6"/>
      <c r="M129" s="6"/>
      <c r="N129" s="6"/>
      <c r="O129" s="6"/>
    </row>
    <row r="130" spans="2:15" s="11" customFormat="1" x14ac:dyDescent="0.25">
      <c r="B130" s="6"/>
      <c r="C130" s="3"/>
      <c r="D130" s="2"/>
      <c r="F130" s="6"/>
      <c r="G130" s="6"/>
      <c r="H130" s="6"/>
      <c r="I130" s="6"/>
      <c r="J130" s="6"/>
      <c r="K130" s="6"/>
      <c r="L130" s="6"/>
      <c r="M130" s="6"/>
      <c r="N130" s="6"/>
      <c r="O130" s="6"/>
    </row>
    <row r="131" spans="2:15" s="11" customFormat="1" x14ac:dyDescent="0.25">
      <c r="B131" s="6"/>
      <c r="C131" s="3"/>
      <c r="D131" s="2"/>
      <c r="F131" s="6"/>
      <c r="G131" s="6"/>
      <c r="H131" s="6"/>
      <c r="I131" s="6"/>
      <c r="J131" s="6"/>
      <c r="K131" s="6"/>
      <c r="L131" s="6"/>
      <c r="M131" s="6"/>
      <c r="N131" s="6"/>
      <c r="O131" s="6"/>
    </row>
    <row r="132" spans="2:15" s="11" customFormat="1" x14ac:dyDescent="0.25">
      <c r="B132" s="6"/>
      <c r="C132" s="3"/>
      <c r="D132" s="2"/>
      <c r="F132" s="6"/>
      <c r="G132" s="6"/>
      <c r="H132" s="6"/>
      <c r="I132" s="6"/>
      <c r="J132" s="6"/>
      <c r="K132" s="6"/>
      <c r="L132" s="6"/>
      <c r="M132" s="6"/>
      <c r="N132" s="6"/>
      <c r="O132" s="6"/>
    </row>
    <row r="133" spans="2:15" s="11" customFormat="1" x14ac:dyDescent="0.25">
      <c r="B133" s="6"/>
      <c r="C133" s="3"/>
      <c r="D133" s="2"/>
      <c r="F133" s="6"/>
      <c r="G133" s="6"/>
      <c r="H133" s="6"/>
      <c r="I133" s="6"/>
      <c r="J133" s="6"/>
      <c r="K133" s="6"/>
      <c r="L133" s="6"/>
      <c r="M133" s="6"/>
      <c r="N133" s="6"/>
      <c r="O133" s="6"/>
    </row>
    <row r="134" spans="2:15" s="11" customFormat="1" x14ac:dyDescent="0.25">
      <c r="B134" s="6"/>
      <c r="C134" s="3"/>
      <c r="D134" s="2"/>
      <c r="F134" s="6"/>
      <c r="G134" s="6"/>
      <c r="H134" s="6"/>
      <c r="I134" s="6"/>
      <c r="J134" s="6"/>
      <c r="K134" s="6"/>
      <c r="L134" s="6"/>
      <c r="M134" s="6"/>
      <c r="N134" s="6"/>
      <c r="O134" s="6"/>
    </row>
    <row r="135" spans="2:15" s="11" customFormat="1" x14ac:dyDescent="0.25">
      <c r="B135" s="6"/>
      <c r="C135" s="3"/>
      <c r="D135" s="2"/>
      <c r="F135" s="6"/>
      <c r="G135" s="6"/>
      <c r="H135" s="6"/>
      <c r="I135" s="6"/>
      <c r="J135" s="6"/>
      <c r="K135" s="6"/>
      <c r="L135" s="6"/>
      <c r="M135" s="6"/>
      <c r="N135" s="6"/>
      <c r="O135" s="6"/>
    </row>
    <row r="136" spans="2:15" s="11" customFormat="1" x14ac:dyDescent="0.25">
      <c r="B136" s="6"/>
      <c r="C136" s="3"/>
      <c r="D136" s="2"/>
      <c r="F136" s="6"/>
      <c r="G136" s="6"/>
      <c r="H136" s="6"/>
      <c r="I136" s="6"/>
      <c r="J136" s="6"/>
      <c r="K136" s="6"/>
      <c r="L136" s="6"/>
      <c r="M136" s="6"/>
      <c r="N136" s="6"/>
      <c r="O136" s="6"/>
    </row>
    <row r="137" spans="2:15" s="11" customFormat="1" x14ac:dyDescent="0.25">
      <c r="B137" s="6"/>
      <c r="C137" s="3"/>
      <c r="D137" s="2"/>
      <c r="F137" s="6"/>
      <c r="G137" s="6"/>
      <c r="H137" s="6"/>
      <c r="I137" s="6"/>
      <c r="J137" s="6"/>
      <c r="K137" s="6"/>
      <c r="L137" s="6"/>
      <c r="M137" s="6"/>
      <c r="N137" s="6"/>
      <c r="O137" s="6"/>
    </row>
    <row r="138" spans="2:15" s="11" customFormat="1" x14ac:dyDescent="0.25">
      <c r="B138" s="6"/>
      <c r="C138" s="3"/>
      <c r="D138" s="2"/>
      <c r="F138" s="6"/>
      <c r="G138" s="6"/>
      <c r="H138" s="6"/>
      <c r="I138" s="6"/>
      <c r="J138" s="6"/>
      <c r="K138" s="6"/>
      <c r="L138" s="6"/>
      <c r="M138" s="6"/>
      <c r="N138" s="6"/>
      <c r="O138" s="6"/>
    </row>
    <row r="139" spans="2:15" s="11" customFormat="1" x14ac:dyDescent="0.25">
      <c r="B139" s="6"/>
      <c r="C139" s="3"/>
      <c r="D139" s="2"/>
      <c r="F139" s="6"/>
      <c r="G139" s="6"/>
      <c r="H139" s="6"/>
      <c r="I139" s="6"/>
      <c r="J139" s="6"/>
      <c r="K139" s="6"/>
      <c r="L139" s="6"/>
      <c r="M139" s="6"/>
      <c r="N139" s="6"/>
      <c r="O139" s="6"/>
    </row>
    <row r="140" spans="2:15" s="11" customFormat="1" x14ac:dyDescent="0.25">
      <c r="B140" s="6"/>
      <c r="C140" s="3"/>
      <c r="D140" s="2"/>
      <c r="F140" s="6"/>
      <c r="G140" s="6"/>
      <c r="H140" s="6"/>
      <c r="I140" s="6"/>
      <c r="J140" s="6"/>
      <c r="K140" s="6"/>
      <c r="L140" s="6"/>
      <c r="M140" s="6"/>
      <c r="N140" s="6"/>
      <c r="O140" s="6"/>
    </row>
    <row r="141" spans="2:15" s="11" customFormat="1" x14ac:dyDescent="0.25">
      <c r="B141" s="6"/>
      <c r="C141" s="3"/>
      <c r="D141" s="2"/>
      <c r="F141" s="6"/>
      <c r="G141" s="6"/>
      <c r="H141" s="6"/>
      <c r="I141" s="6"/>
      <c r="J141" s="6"/>
      <c r="K141" s="6"/>
      <c r="L141" s="6"/>
      <c r="M141" s="6"/>
      <c r="N141" s="6"/>
      <c r="O141" s="6"/>
    </row>
    <row r="142" spans="2:15" s="11" customFormat="1" x14ac:dyDescent="0.25">
      <c r="B142" s="6"/>
      <c r="C142" s="3"/>
      <c r="D142" s="2"/>
      <c r="F142" s="6"/>
      <c r="G142" s="6"/>
      <c r="H142" s="6"/>
      <c r="I142" s="6"/>
      <c r="J142" s="6"/>
      <c r="K142" s="6"/>
      <c r="L142" s="6"/>
      <c r="M142" s="6"/>
      <c r="N142" s="6"/>
      <c r="O142" s="6"/>
    </row>
    <row r="143" spans="2:15" s="11" customFormat="1" x14ac:dyDescent="0.25">
      <c r="B143" s="6"/>
      <c r="C143" s="3"/>
      <c r="D143" s="2"/>
      <c r="F143" s="6"/>
      <c r="G143" s="6"/>
      <c r="H143" s="6"/>
      <c r="I143" s="6"/>
      <c r="J143" s="6"/>
      <c r="K143" s="6"/>
      <c r="L143" s="6"/>
      <c r="M143" s="6"/>
      <c r="N143" s="6"/>
      <c r="O143" s="6"/>
    </row>
    <row r="144" spans="2:15" s="11" customFormat="1" x14ac:dyDescent="0.25">
      <c r="B144" s="6"/>
      <c r="C144" s="3"/>
      <c r="D144" s="2"/>
      <c r="F144" s="6"/>
      <c r="G144" s="6"/>
      <c r="H144" s="6"/>
      <c r="I144" s="6"/>
      <c r="J144" s="6"/>
      <c r="K144" s="6"/>
      <c r="L144" s="6"/>
      <c r="M144" s="6"/>
      <c r="N144" s="6"/>
      <c r="O144" s="6"/>
    </row>
    <row r="145" spans="2:15" s="11" customFormat="1" x14ac:dyDescent="0.25">
      <c r="B145" s="6"/>
      <c r="C145" s="3"/>
      <c r="D145" s="2"/>
      <c r="F145" s="6"/>
      <c r="G145" s="6"/>
      <c r="H145" s="6"/>
      <c r="I145" s="6"/>
      <c r="J145" s="6"/>
      <c r="K145" s="6"/>
      <c r="L145" s="6"/>
      <c r="M145" s="6"/>
      <c r="N145" s="6"/>
      <c r="O145" s="6"/>
    </row>
    <row r="146" spans="2:15" s="11" customFormat="1" x14ac:dyDescent="0.25">
      <c r="B146" s="6"/>
      <c r="C146" s="3"/>
      <c r="D146" s="2"/>
      <c r="F146" s="6"/>
      <c r="G146" s="6"/>
      <c r="H146" s="6"/>
      <c r="I146" s="6"/>
      <c r="J146" s="6"/>
      <c r="K146" s="6"/>
      <c r="L146" s="6"/>
      <c r="M146" s="6"/>
      <c r="N146" s="6"/>
      <c r="O146" s="6"/>
    </row>
    <row r="147" spans="2:15" s="11" customFormat="1" x14ac:dyDescent="0.25">
      <c r="B147" s="6"/>
      <c r="C147" s="3"/>
      <c r="D147" s="2"/>
      <c r="F147" s="6"/>
      <c r="G147" s="6"/>
      <c r="H147" s="6"/>
      <c r="I147" s="6"/>
      <c r="J147" s="6"/>
      <c r="K147" s="6"/>
      <c r="L147" s="6"/>
      <c r="M147" s="6"/>
      <c r="N147" s="6"/>
      <c r="O147" s="6"/>
    </row>
    <row r="148" spans="2:15" s="11" customFormat="1" x14ac:dyDescent="0.25">
      <c r="B148" s="6"/>
      <c r="C148" s="3"/>
      <c r="D148" s="2"/>
      <c r="F148" s="6"/>
      <c r="G148" s="6"/>
      <c r="H148" s="6"/>
      <c r="I148" s="6"/>
      <c r="J148" s="6"/>
      <c r="K148" s="6"/>
      <c r="L148" s="6"/>
      <c r="M148" s="6"/>
      <c r="N148" s="6"/>
      <c r="O148" s="6"/>
    </row>
    <row r="149" spans="2:15" s="11" customFormat="1" x14ac:dyDescent="0.25">
      <c r="B149" s="6"/>
      <c r="C149" s="3"/>
      <c r="D149" s="2"/>
      <c r="F149" s="6"/>
      <c r="G149" s="6"/>
      <c r="H149" s="6"/>
      <c r="I149" s="6"/>
      <c r="J149" s="6"/>
      <c r="K149" s="6"/>
      <c r="L149" s="6"/>
      <c r="M149" s="6"/>
      <c r="N149" s="6"/>
      <c r="O149" s="6"/>
    </row>
    <row r="150" spans="2:15" s="11" customFormat="1" x14ac:dyDescent="0.25">
      <c r="B150" s="6"/>
      <c r="C150" s="3"/>
      <c r="D150" s="2"/>
      <c r="F150" s="6"/>
      <c r="G150" s="6"/>
      <c r="H150" s="6"/>
      <c r="I150" s="6"/>
      <c r="J150" s="6"/>
      <c r="K150" s="6"/>
      <c r="L150" s="6"/>
      <c r="M150" s="6"/>
      <c r="N150" s="6"/>
      <c r="O150" s="6"/>
    </row>
    <row r="151" spans="2:15" s="11" customFormat="1" x14ac:dyDescent="0.25">
      <c r="B151" s="6"/>
      <c r="C151" s="3"/>
      <c r="D151" s="2"/>
      <c r="F151" s="6"/>
      <c r="G151" s="6"/>
      <c r="H151" s="6"/>
      <c r="I151" s="6"/>
      <c r="J151" s="6"/>
      <c r="K151" s="6"/>
      <c r="L151" s="6"/>
      <c r="M151" s="6"/>
      <c r="N151" s="6"/>
      <c r="O151" s="6"/>
    </row>
    <row r="152" spans="2:15" s="11" customFormat="1" x14ac:dyDescent="0.25">
      <c r="B152" s="6"/>
      <c r="C152" s="3"/>
      <c r="D152" s="2"/>
      <c r="F152" s="6"/>
      <c r="G152" s="6"/>
      <c r="H152" s="6"/>
      <c r="I152" s="6"/>
      <c r="J152" s="6"/>
      <c r="K152" s="6"/>
      <c r="L152" s="6"/>
      <c r="M152" s="6"/>
      <c r="N152" s="6"/>
      <c r="O152" s="6"/>
    </row>
    <row r="153" spans="2:15" s="11" customFormat="1" x14ac:dyDescent="0.25">
      <c r="B153" s="6"/>
      <c r="C153" s="3"/>
      <c r="D153" s="2"/>
      <c r="F153" s="6"/>
      <c r="G153" s="6"/>
      <c r="H153" s="6"/>
      <c r="I153" s="6"/>
      <c r="J153" s="6"/>
      <c r="K153" s="6"/>
      <c r="L153" s="6"/>
      <c r="M153" s="6"/>
      <c r="N153" s="6"/>
      <c r="O153" s="6"/>
    </row>
    <row r="154" spans="2:15" s="11" customFormat="1" x14ac:dyDescent="0.25">
      <c r="B154" s="6"/>
      <c r="C154" s="3"/>
      <c r="D154" s="2"/>
      <c r="F154" s="6"/>
      <c r="G154" s="6"/>
      <c r="H154" s="6"/>
      <c r="I154" s="6"/>
      <c r="J154" s="6"/>
      <c r="K154" s="6"/>
      <c r="L154" s="6"/>
      <c r="M154" s="6"/>
      <c r="N154" s="6"/>
      <c r="O154" s="6"/>
    </row>
    <row r="155" spans="2:15" s="11" customFormat="1" x14ac:dyDescent="0.25">
      <c r="B155" s="6"/>
      <c r="C155" s="3"/>
      <c r="D155" s="2"/>
      <c r="F155" s="6"/>
      <c r="G155" s="6"/>
      <c r="H155" s="6"/>
      <c r="I155" s="6"/>
      <c r="J155" s="6"/>
      <c r="K155" s="6"/>
      <c r="L155" s="6"/>
      <c r="M155" s="6"/>
      <c r="N155" s="6"/>
      <c r="O155" s="6"/>
    </row>
    <row r="156" spans="2:15" s="11" customFormat="1" x14ac:dyDescent="0.25">
      <c r="B156" s="6"/>
      <c r="C156" s="3"/>
      <c r="D156" s="2"/>
      <c r="F156" s="6"/>
      <c r="G156" s="6"/>
      <c r="H156" s="6"/>
      <c r="I156" s="6"/>
      <c r="J156" s="6"/>
      <c r="K156" s="6"/>
      <c r="L156" s="6"/>
      <c r="M156" s="6"/>
      <c r="N156" s="6"/>
      <c r="O156" s="6"/>
    </row>
    <row r="157" spans="2:15" s="11" customFormat="1" x14ac:dyDescent="0.25">
      <c r="B157" s="6"/>
      <c r="C157" s="3"/>
      <c r="D157" s="2"/>
      <c r="F157" s="6"/>
      <c r="G157" s="6"/>
      <c r="H157" s="6"/>
      <c r="I157" s="6"/>
      <c r="J157" s="6"/>
      <c r="K157" s="6"/>
      <c r="L157" s="6"/>
      <c r="M157" s="6"/>
      <c r="N157" s="6"/>
      <c r="O157" s="6"/>
    </row>
    <row r="158" spans="2:15" s="11" customFormat="1" x14ac:dyDescent="0.25">
      <c r="B158" s="6"/>
      <c r="C158" s="3"/>
      <c r="D158" s="2"/>
      <c r="F158" s="6"/>
      <c r="G158" s="6"/>
      <c r="H158" s="6"/>
      <c r="I158" s="6"/>
      <c r="J158" s="6"/>
      <c r="K158" s="6"/>
      <c r="L158" s="6"/>
      <c r="M158" s="6"/>
      <c r="N158" s="6"/>
      <c r="O158" s="6"/>
    </row>
    <row r="159" spans="2:15" s="11" customFormat="1" x14ac:dyDescent="0.25">
      <c r="B159" s="6"/>
      <c r="C159" s="3"/>
      <c r="D159" s="2"/>
      <c r="F159" s="6"/>
      <c r="G159" s="6"/>
      <c r="H159" s="6"/>
      <c r="I159" s="6"/>
      <c r="J159" s="6"/>
      <c r="K159" s="6"/>
      <c r="L159" s="6"/>
      <c r="M159" s="6"/>
      <c r="N159" s="6"/>
      <c r="O159" s="6"/>
    </row>
    <row r="160" spans="2:15" s="11" customFormat="1" x14ac:dyDescent="0.25">
      <c r="B160" s="6"/>
      <c r="C160" s="3"/>
      <c r="D160" s="2"/>
      <c r="F160" s="6"/>
      <c r="G160" s="6"/>
      <c r="H160" s="6"/>
      <c r="I160" s="6"/>
      <c r="J160" s="6"/>
      <c r="K160" s="6"/>
      <c r="L160" s="6"/>
      <c r="M160" s="6"/>
      <c r="N160" s="6"/>
      <c r="O160" s="6"/>
    </row>
    <row r="161" spans="2:15" s="11" customFormat="1" x14ac:dyDescent="0.25">
      <c r="B161" s="6"/>
      <c r="C161" s="3"/>
      <c r="D161" s="2"/>
      <c r="F161" s="6"/>
      <c r="G161" s="6"/>
      <c r="H161" s="6"/>
      <c r="I161" s="6"/>
      <c r="J161" s="6"/>
      <c r="K161" s="6"/>
      <c r="L161" s="6"/>
      <c r="M161" s="6"/>
      <c r="N161" s="6"/>
      <c r="O161" s="6"/>
    </row>
    <row r="162" spans="2:15" s="11" customFormat="1" x14ac:dyDescent="0.25">
      <c r="B162" s="6"/>
      <c r="C162" s="3"/>
      <c r="D162" s="2"/>
      <c r="F162" s="6"/>
      <c r="G162" s="6"/>
      <c r="H162" s="6"/>
      <c r="I162" s="6"/>
      <c r="J162" s="6"/>
      <c r="K162" s="6"/>
      <c r="L162" s="6"/>
      <c r="M162" s="6"/>
      <c r="N162" s="6"/>
      <c r="O162" s="6"/>
    </row>
    <row r="163" spans="2:15" s="11" customFormat="1" x14ac:dyDescent="0.25">
      <c r="B163" s="6"/>
      <c r="C163" s="3"/>
      <c r="D163" s="2"/>
      <c r="F163" s="6"/>
      <c r="G163" s="6"/>
      <c r="H163" s="6"/>
      <c r="I163" s="6"/>
      <c r="J163" s="6"/>
      <c r="K163" s="6"/>
      <c r="L163" s="6"/>
      <c r="M163" s="6"/>
      <c r="N163" s="6"/>
      <c r="O163" s="6"/>
    </row>
    <row r="164" spans="2:15" s="11" customFormat="1" x14ac:dyDescent="0.25">
      <c r="B164" s="6"/>
      <c r="C164" s="3"/>
      <c r="D164" s="2"/>
      <c r="F164" s="6"/>
      <c r="G164" s="6"/>
      <c r="H164" s="6"/>
      <c r="I164" s="6"/>
      <c r="J164" s="6"/>
      <c r="K164" s="6"/>
      <c r="L164" s="6"/>
      <c r="M164" s="6"/>
      <c r="N164" s="6"/>
      <c r="O164" s="6"/>
    </row>
    <row r="165" spans="2:15" s="11" customFormat="1" x14ac:dyDescent="0.25">
      <c r="B165" s="6"/>
      <c r="C165" s="3"/>
      <c r="D165" s="2"/>
      <c r="F165" s="6"/>
      <c r="G165" s="6"/>
      <c r="H165" s="6"/>
      <c r="I165" s="6"/>
      <c r="J165" s="6"/>
      <c r="K165" s="6"/>
      <c r="L165" s="6"/>
      <c r="M165" s="6"/>
      <c r="N165" s="6"/>
      <c r="O165" s="6"/>
    </row>
    <row r="166" spans="2:15" s="11" customFormat="1" x14ac:dyDescent="0.25">
      <c r="B166" s="6"/>
      <c r="C166" s="3"/>
      <c r="D166" s="2"/>
      <c r="F166" s="6"/>
      <c r="G166" s="6"/>
      <c r="H166" s="6"/>
      <c r="I166" s="6"/>
      <c r="J166" s="6"/>
      <c r="K166" s="6"/>
      <c r="L166" s="6"/>
      <c r="M166" s="6"/>
      <c r="N166" s="6"/>
      <c r="O166" s="6"/>
    </row>
    <row r="167" spans="2:15" s="11" customFormat="1" x14ac:dyDescent="0.25">
      <c r="B167" s="6"/>
      <c r="C167" s="3"/>
      <c r="D167" s="2"/>
      <c r="F167" s="6"/>
      <c r="G167" s="6"/>
      <c r="H167" s="6"/>
      <c r="I167" s="6"/>
      <c r="J167" s="6"/>
      <c r="K167" s="6"/>
      <c r="L167" s="6"/>
      <c r="M167" s="6"/>
      <c r="N167" s="6"/>
      <c r="O167" s="6"/>
    </row>
    <row r="168" spans="2:15" s="11" customFormat="1" x14ac:dyDescent="0.25">
      <c r="B168" s="6"/>
      <c r="C168" s="3"/>
      <c r="D168" s="2"/>
      <c r="F168" s="6"/>
      <c r="G168" s="6"/>
      <c r="H168" s="6"/>
      <c r="I168" s="6"/>
      <c r="J168" s="6"/>
      <c r="K168" s="6"/>
      <c r="L168" s="6"/>
      <c r="M168" s="6"/>
      <c r="N168" s="6"/>
      <c r="O168" s="6"/>
    </row>
    <row r="169" spans="2:15" s="11" customFormat="1" x14ac:dyDescent="0.25">
      <c r="B169" s="6"/>
      <c r="C169" s="3"/>
      <c r="D169" s="2"/>
      <c r="F169" s="6"/>
      <c r="G169" s="6"/>
      <c r="H169" s="6"/>
      <c r="I169" s="6"/>
      <c r="J169" s="6"/>
      <c r="K169" s="6"/>
      <c r="L169" s="6"/>
      <c r="M169" s="6"/>
      <c r="N169" s="6"/>
      <c r="O169" s="6"/>
    </row>
    <row r="170" spans="2:15" s="11" customFormat="1" x14ac:dyDescent="0.25">
      <c r="B170" s="6"/>
      <c r="C170" s="3"/>
      <c r="D170" s="2"/>
      <c r="F170" s="6"/>
      <c r="G170" s="6"/>
      <c r="H170" s="6"/>
      <c r="I170" s="6"/>
      <c r="J170" s="6"/>
      <c r="K170" s="6"/>
      <c r="L170" s="6"/>
      <c r="M170" s="6"/>
      <c r="N170" s="6"/>
      <c r="O170" s="6"/>
    </row>
    <row r="171" spans="2:15" s="11" customFormat="1" x14ac:dyDescent="0.25">
      <c r="B171" s="6"/>
      <c r="C171" s="3"/>
      <c r="D171" s="2"/>
      <c r="F171" s="6"/>
      <c r="G171" s="6"/>
      <c r="H171" s="6"/>
      <c r="I171" s="6"/>
      <c r="J171" s="6"/>
      <c r="K171" s="6"/>
      <c r="L171" s="6"/>
      <c r="M171" s="6"/>
      <c r="N171" s="6"/>
      <c r="O171" s="6"/>
    </row>
    <row r="172" spans="2:15" s="11" customFormat="1" x14ac:dyDescent="0.25">
      <c r="B172" s="6"/>
      <c r="C172" s="3"/>
      <c r="D172" s="2"/>
      <c r="F172" s="6"/>
      <c r="G172" s="6"/>
      <c r="H172" s="6"/>
      <c r="I172" s="6"/>
      <c r="J172" s="6"/>
      <c r="K172" s="6"/>
      <c r="L172" s="6"/>
      <c r="M172" s="6"/>
      <c r="N172" s="6"/>
      <c r="O172" s="6"/>
    </row>
    <row r="173" spans="2:15" s="11" customFormat="1" x14ac:dyDescent="0.25">
      <c r="B173" s="6"/>
      <c r="C173" s="3"/>
      <c r="D173" s="2"/>
      <c r="F173" s="6"/>
      <c r="G173" s="6"/>
      <c r="H173" s="6"/>
      <c r="I173" s="6"/>
      <c r="J173" s="6"/>
      <c r="K173" s="6"/>
      <c r="L173" s="6"/>
      <c r="M173" s="6"/>
      <c r="N173" s="6"/>
      <c r="O173" s="6"/>
    </row>
    <row r="174" spans="2:15" s="11" customFormat="1" x14ac:dyDescent="0.25">
      <c r="B174" s="6"/>
      <c r="C174" s="3"/>
      <c r="D174" s="2"/>
      <c r="F174" s="6"/>
      <c r="G174" s="6"/>
      <c r="H174" s="6"/>
      <c r="I174" s="6"/>
      <c r="J174" s="6"/>
      <c r="K174" s="6"/>
      <c r="L174" s="6"/>
      <c r="M174" s="6"/>
      <c r="N174" s="6"/>
      <c r="O174" s="6"/>
    </row>
    <row r="175" spans="2:15" s="11" customFormat="1" x14ac:dyDescent="0.25">
      <c r="B175" s="6"/>
      <c r="C175" s="3"/>
      <c r="D175" s="2"/>
      <c r="F175" s="6"/>
      <c r="G175" s="6"/>
      <c r="H175" s="6"/>
      <c r="I175" s="6"/>
      <c r="J175" s="6"/>
      <c r="K175" s="6"/>
      <c r="L175" s="6"/>
      <c r="M175" s="6"/>
      <c r="N175" s="6"/>
      <c r="O175" s="6"/>
    </row>
    <row r="176" spans="2:15" s="11" customFormat="1" x14ac:dyDescent="0.25">
      <c r="B176" s="6"/>
      <c r="C176" s="3"/>
      <c r="D176" s="2"/>
      <c r="F176" s="6"/>
      <c r="G176" s="6"/>
      <c r="H176" s="6"/>
      <c r="I176" s="6"/>
      <c r="J176" s="6"/>
      <c r="K176" s="6"/>
      <c r="L176" s="6"/>
      <c r="M176" s="6"/>
      <c r="N176" s="6"/>
      <c r="O176" s="6"/>
    </row>
    <row r="177" spans="2:15" s="11" customFormat="1" x14ac:dyDescent="0.25">
      <c r="B177" s="6"/>
      <c r="C177" s="3"/>
      <c r="D177" s="2"/>
      <c r="F177" s="6"/>
      <c r="G177" s="6"/>
      <c r="H177" s="6"/>
      <c r="I177" s="6"/>
      <c r="J177" s="6"/>
      <c r="K177" s="6"/>
      <c r="L177" s="6"/>
      <c r="M177" s="6"/>
      <c r="N177" s="6"/>
      <c r="O177" s="6"/>
    </row>
    <row r="178" spans="2:15" s="11" customFormat="1" x14ac:dyDescent="0.25">
      <c r="B178" s="6"/>
      <c r="C178" s="3"/>
      <c r="D178" s="2"/>
      <c r="F178" s="6"/>
      <c r="G178" s="6"/>
      <c r="H178" s="6"/>
      <c r="I178" s="6"/>
      <c r="J178" s="6"/>
      <c r="K178" s="6"/>
      <c r="L178" s="6"/>
      <c r="M178" s="6"/>
      <c r="N178" s="6"/>
      <c r="O178" s="6"/>
    </row>
    <row r="179" spans="2:15" s="11" customFormat="1" x14ac:dyDescent="0.25">
      <c r="B179" s="6"/>
      <c r="C179" s="3"/>
      <c r="D179" s="2"/>
      <c r="F179" s="6"/>
      <c r="G179" s="6"/>
      <c r="H179" s="6"/>
      <c r="I179" s="6"/>
      <c r="J179" s="6"/>
      <c r="K179" s="6"/>
      <c r="L179" s="6"/>
      <c r="M179" s="6"/>
      <c r="N179" s="6"/>
      <c r="O179" s="6"/>
    </row>
    <row r="180" spans="2:15" s="11" customFormat="1" x14ac:dyDescent="0.25">
      <c r="B180" s="6"/>
      <c r="C180" s="3"/>
      <c r="D180" s="2"/>
      <c r="F180" s="6"/>
      <c r="G180" s="6"/>
      <c r="H180" s="6"/>
      <c r="I180" s="6"/>
      <c r="J180" s="6"/>
      <c r="K180" s="6"/>
      <c r="L180" s="6"/>
      <c r="M180" s="6"/>
      <c r="N180" s="6"/>
      <c r="O180" s="6"/>
    </row>
    <row r="181" spans="2:15" s="11" customFormat="1" x14ac:dyDescent="0.25">
      <c r="B181" s="6"/>
      <c r="C181" s="3"/>
      <c r="D181" s="2"/>
      <c r="F181" s="6"/>
      <c r="G181" s="6"/>
      <c r="H181" s="6"/>
      <c r="I181" s="6"/>
      <c r="J181" s="6"/>
      <c r="K181" s="6"/>
      <c r="L181" s="6"/>
      <c r="M181" s="6"/>
      <c r="N181" s="6"/>
      <c r="O181" s="6"/>
    </row>
    <row r="182" spans="2:15" s="11" customFormat="1" x14ac:dyDescent="0.25">
      <c r="B182" s="6"/>
      <c r="C182" s="3"/>
      <c r="D182" s="2"/>
      <c r="F182" s="6"/>
      <c r="G182" s="6"/>
      <c r="H182" s="6"/>
      <c r="I182" s="6"/>
      <c r="J182" s="6"/>
      <c r="K182" s="6"/>
      <c r="L182" s="6"/>
      <c r="M182" s="6"/>
      <c r="N182" s="6"/>
      <c r="O182" s="6"/>
    </row>
    <row r="183" spans="2:15" s="11" customFormat="1" x14ac:dyDescent="0.25">
      <c r="B183" s="6"/>
      <c r="C183" s="3"/>
      <c r="D183" s="2"/>
      <c r="F183" s="6"/>
      <c r="G183" s="6"/>
      <c r="H183" s="6"/>
      <c r="I183" s="6"/>
      <c r="J183" s="6"/>
      <c r="K183" s="6"/>
      <c r="L183" s="6"/>
      <c r="M183" s="6"/>
      <c r="N183" s="6"/>
      <c r="O183" s="6"/>
    </row>
    <row r="184" spans="2:15" s="11" customFormat="1" x14ac:dyDescent="0.25">
      <c r="B184" s="6"/>
      <c r="C184" s="3"/>
      <c r="D184" s="2"/>
      <c r="F184" s="6"/>
      <c r="G184" s="6"/>
      <c r="H184" s="6"/>
      <c r="I184" s="6"/>
      <c r="J184" s="6"/>
      <c r="K184" s="6"/>
      <c r="L184" s="6"/>
      <c r="M184" s="6"/>
      <c r="N184" s="6"/>
      <c r="O184" s="6"/>
    </row>
    <row r="185" spans="2:15" s="11" customFormat="1" x14ac:dyDescent="0.25">
      <c r="B185" s="6"/>
      <c r="C185" s="3"/>
      <c r="D185" s="2"/>
      <c r="F185" s="6"/>
      <c r="G185" s="6"/>
      <c r="H185" s="6"/>
      <c r="I185" s="6"/>
      <c r="J185" s="6"/>
      <c r="K185" s="6"/>
      <c r="L185" s="6"/>
      <c r="M185" s="6"/>
      <c r="N185" s="6"/>
      <c r="O185" s="6"/>
    </row>
  </sheetData>
  <autoFilter ref="A4:Q90" xr:uid="{5CBE202F-A2DC-40AC-A427-29877EB2E2BC}"/>
  <printOptions horizontalCentered="1"/>
  <pageMargins left="0.19685039370078741" right="0.19685039370078741" top="0.59055118110236227" bottom="0.39370078740157483" header="0" footer="0"/>
  <pageSetup paperSize="8" scale="27" orientation="landscape" horizontalDpi="1200" verticalDpi="1200" r:id="rId1"/>
  <headerFooter alignWithMargins="0"/>
  <rowBreaks count="1" manualBreakCount="1">
    <brk id="58" max="32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E7CEDB8B19D7944B69D079E39AB67DE" ma:contentTypeVersion="20" ma:contentTypeDescription="Create a new document." ma:contentTypeScope="" ma:versionID="200e8e8982d04011a55af736df87e26b">
  <xsd:schema xmlns:xsd="http://www.w3.org/2001/XMLSchema" xmlns:xs="http://www.w3.org/2001/XMLSchema" xmlns:p="http://schemas.microsoft.com/office/2006/metadata/properties" xmlns:ns2="76c72855-1590-4beb-9185-7b4168383c13" xmlns:ns3="69561875-a830-4c90-ba37-e8fa1ff650f8" targetNamespace="http://schemas.microsoft.com/office/2006/metadata/properties" ma:root="true" ma:fieldsID="e16bb3e61fda2342d0454706ba02b8b3" ns2:_="" ns3:_="">
    <xsd:import namespace="76c72855-1590-4beb-9185-7b4168383c13"/>
    <xsd:import namespace="69561875-a830-4c90-ba37-e8fa1ff650f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TaxCatchAll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c72855-1590-4beb-9185-7b4168383c1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1fbe647-114e-4184-936e-069e4df0e1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5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561875-a830-4c90-ba37-e8fa1ff650f8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37d55172-319b-480f-b9ab-40cdfdaf3794}" ma:internalName="TaxCatchAll" ma:showField="CatchAllData" ma:web="69561875-a830-4c90-ba37-e8fa1ff650f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9561875-a830-4c90-ba37-e8fa1ff650f8" xsi:nil="true"/>
    <lcf76f155ced4ddcb4097134ff3c332f xmlns="76c72855-1590-4beb-9185-7b4168383c1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3583368-1DF6-427E-8468-ADC7D1D358A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6c72855-1590-4beb-9185-7b4168383c13"/>
    <ds:schemaRef ds:uri="69561875-a830-4c90-ba37-e8fa1ff650f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CC973AC-20CE-4556-9087-775B45E7E35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85B0F08-FA21-4613-9DD3-955CE96722A6}">
  <ds:schemaRefs>
    <ds:schemaRef ds:uri="http://purl.org/dc/terms/"/>
    <ds:schemaRef ds:uri="http://purl.org/dc/elements/1.1/"/>
    <ds:schemaRef ds:uri="http://purl.org/dc/dcmitype/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schemas.microsoft.com/office/infopath/2007/PartnerControls"/>
    <ds:schemaRef ds:uri="http://www.w3.org/XML/1998/namespace"/>
    <ds:schemaRef ds:uri="76c72855-1590-4beb-9185-7b4168383c13"/>
    <ds:schemaRef ds:uri="69561875-a830-4c90-ba37-e8fa1ff650f8"/>
    <ds:schemaRef ds:uri="72cab3d5-73f9-4d5f-9e98-e18150545b53"/>
    <ds:schemaRef ds:uri="89ee63bb-a495-4e11-94d3-47a27b62be42"/>
  </ds:schemaRefs>
</ds:datastoreItem>
</file>

<file path=docMetadata/LabelInfo.xml><?xml version="1.0" encoding="utf-8"?>
<clbl:labelList xmlns:clbl="http://schemas.microsoft.com/office/2020/mipLabelMetadata">
  <clbl:label id="{de3e0bd1-8a42-4fca-bd15-c152a08a9459}" enabled="1" method="Privileged" siteId="{d703bd9e-2913-4bf9-8dd7-49ce1b18bd1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ARRD</vt:lpstr>
      <vt:lpstr>autoupload_MIS</vt:lpstr>
      <vt:lpstr>ARRD!Print_Area</vt:lpstr>
      <vt:lpstr>autoupload_MIS!Print_Area</vt:lpstr>
      <vt:lpstr>ARRD!Print_Titles</vt:lpstr>
      <vt:lpstr>autoupload_MIS!Print_Titles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Zorba Mohd Yusof</dc:creator>
  <cp:keywords/>
  <dc:description/>
  <cp:lastModifiedBy>Muhammad Syahid Bin Abd Halid</cp:lastModifiedBy>
  <cp:revision/>
  <cp:lastPrinted>2025-02-18T08:25:35Z</cp:lastPrinted>
  <dcterms:created xsi:type="dcterms:W3CDTF">2023-01-09T09:15:28Z</dcterms:created>
  <dcterms:modified xsi:type="dcterms:W3CDTF">2025-11-28T02:20:08Z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0x0101002E7CEDB8B19D7944B69D079E39AB67DE</vt:lpwstr>
  </property>
  <property fmtid="{D5CDD505-2E9C-101B-9397-08002B2CF9AE}" pid="3" name="MediaServiceImageTags">
    <vt:lpwstr/>
  </property>
  <property fmtid="{D5CDD505-2E9C-101B-9397-08002B2CF9AE}" pid="4" name="MSIP_Label_de3e0bd1-8a42-4fca-bd15-c152a08a9459_Enabled">
    <vt:lpwstr>true</vt:lpwstr>
  </property>
  <property fmtid="{D5CDD505-2E9C-101B-9397-08002B2CF9AE}" pid="5" name="MSIP_Label_de3e0bd1-8a42-4fca-bd15-c152a08a9459_SetDate">
    <vt:lpwstr>2023-07-07T07:02:06Z</vt:lpwstr>
  </property>
  <property fmtid="{D5CDD505-2E9C-101B-9397-08002B2CF9AE}" pid="6" name="MSIP_Label_de3e0bd1-8a42-4fca-bd15-c152a08a9459_Method">
    <vt:lpwstr>Privileged</vt:lpwstr>
  </property>
  <property fmtid="{D5CDD505-2E9C-101B-9397-08002B2CF9AE}" pid="7" name="MSIP_Label_de3e0bd1-8a42-4fca-bd15-c152a08a9459_Name">
    <vt:lpwstr>Public</vt:lpwstr>
  </property>
  <property fmtid="{D5CDD505-2E9C-101B-9397-08002B2CF9AE}" pid="8" name="MSIP_Label_de3e0bd1-8a42-4fca-bd15-c152a08a9459_SiteId">
    <vt:lpwstr>d703bd9e-2913-4bf9-8dd7-49ce1b18bd11</vt:lpwstr>
  </property>
  <property fmtid="{D5CDD505-2E9C-101B-9397-08002B2CF9AE}" pid="9" name="MSIP_Label_de3e0bd1-8a42-4fca-bd15-c152a08a9459_ActionId">
    <vt:lpwstr>bc792230-3afa-4311-a39f-eeeeb666f456</vt:lpwstr>
  </property>
  <property fmtid="{D5CDD505-2E9C-101B-9397-08002B2CF9AE}" pid="10" name="MSIP_Label_de3e0bd1-8a42-4fca-bd15-c152a08a9459_ContentBits">
    <vt:lpwstr>0</vt:lpwstr>
  </property>
</Properties>
</file>